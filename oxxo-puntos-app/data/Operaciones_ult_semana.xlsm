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04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femcom-my.sharepoint.com/personal/pra_inteligencia2_oxxo_com/Documents/Visitas Expansión UNETE/"/>
    </mc:Choice>
  </mc:AlternateContent>
  <xr:revisionPtr revIDLastSave="0" documentId="8_{C9D79734-4A8F-4C56-B5BD-DAB2EF49E8B1}" xr6:coauthVersionLast="47" xr6:coauthVersionMax="47" xr10:uidLastSave="{00000000-0000-0000-0000-000000000000}"/>
  <bookViews>
    <workbookView xWindow="-110" yWindow="-110" windowWidth="19420" windowHeight="11500" firstSheet="5" activeTab="5" xr2:uid="{1B7F6A43-E552-48EB-845D-F16C083DE54D}"/>
  </bookViews>
  <sheets>
    <sheet name="Hoja4" sheetId="17" r:id="rId1"/>
    <sheet name="Listas" sheetId="28" r:id="rId2"/>
    <sheet name="Hoja3" sheetId="29" r:id="rId3"/>
    <sheet name="Hoja5" sheetId="36" r:id="rId4"/>
    <sheet name="JEFE REGIONAL" sheetId="18" r:id="rId5"/>
    <sheet name="Visitas_Operaciones" sheetId="2" r:id="rId6"/>
    <sheet name="Hoja6" sheetId="37" r:id="rId7"/>
    <sheet name="Puntos potenciales Ope" sheetId="16" r:id="rId8"/>
    <sheet name="Metas_Generales" sheetId="9" state="hidden" r:id="rId9"/>
    <sheet name="Hoja1" sheetId="8" state="hidden" r:id="rId10"/>
    <sheet name="Hoja2" sheetId="13" state="hidden" r:id="rId11"/>
    <sheet name="Festivos Colombia 2025-2026" sheetId="5" state="hidden" r:id="rId12"/>
  </sheets>
  <definedNames>
    <definedName name="_xlnm._FilterDatabase" localSheetId="0" hidden="1">Hoja4!$A$22:$B$37</definedName>
    <definedName name="_xlnm._FilterDatabase" localSheetId="7" hidden="1">'Puntos potenciales Ope'!$A$1:$B$15</definedName>
    <definedName name="_xlnm._FilterDatabase" localSheetId="5" hidden="1">Visitas_Operaciones!$A$1:$AN$208</definedName>
    <definedName name="_xleta.AND" hidden="1" xlm="1">#NAME?</definedName>
    <definedName name="_xleta.MONTH" hidden="1" xlm="1">#NAME?</definedName>
    <definedName name="_xleta.SUM" hidden="1" xlm="1">#NAME?</definedName>
  </definedNames>
  <calcPr calcId="191028"/>
  <pivotCaches>
    <pivotCache cacheId="283" r:id="rId13"/>
    <pivotCache cacheId="284" r:id="rId14"/>
    <pivotCache cacheId="285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09" i="2" l="1"/>
  <c r="Y210" i="2"/>
  <c r="Y211" i="2"/>
  <c r="Y212" i="2"/>
  <c r="Y213" i="2"/>
  <c r="Y214" i="2"/>
  <c r="Y215" i="2"/>
  <c r="Y216" i="2"/>
  <c r="Y217" i="2"/>
  <c r="Y218" i="2"/>
  <c r="Y219" i="2"/>
  <c r="Y220" i="2"/>
  <c r="Y221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X201" i="2"/>
  <c r="X202" i="2"/>
  <c r="X203" i="2"/>
  <c r="X204" i="2"/>
  <c r="X205" i="2"/>
  <c r="X206" i="2"/>
  <c r="X207" i="2"/>
  <c r="X208" i="2"/>
  <c r="W201" i="2"/>
  <c r="W202" i="2"/>
  <c r="W203" i="2"/>
  <c r="W204" i="2"/>
  <c r="W205" i="2"/>
  <c r="W206" i="2"/>
  <c r="W207" i="2"/>
  <c r="W208" i="2"/>
  <c r="V201" i="2"/>
  <c r="Y201" i="2" s="1"/>
  <c r="V202" i="2"/>
  <c r="Y202" i="2" s="1"/>
  <c r="V203" i="2"/>
  <c r="Y203" i="2" s="1"/>
  <c r="V204" i="2"/>
  <c r="Y204" i="2" s="1"/>
  <c r="V205" i="2"/>
  <c r="Y205" i="2" s="1"/>
  <c r="V206" i="2"/>
  <c r="Y206" i="2" s="1"/>
  <c r="V207" i="2"/>
  <c r="Y207" i="2" s="1"/>
  <c r="V208" i="2"/>
  <c r="Y208" i="2" s="1"/>
  <c r="X199" i="2"/>
  <c r="X200" i="2"/>
  <c r="W199" i="2"/>
  <c r="W200" i="2"/>
  <c r="V199" i="2"/>
  <c r="V200" i="2"/>
  <c r="V193" i="2"/>
  <c r="W193" i="2"/>
  <c r="X193" i="2"/>
  <c r="V194" i="2"/>
  <c r="W194" i="2"/>
  <c r="X194" i="2"/>
  <c r="V195" i="2"/>
  <c r="W195" i="2"/>
  <c r="X195" i="2"/>
  <c r="V196" i="2"/>
  <c r="W196" i="2"/>
  <c r="X196" i="2"/>
  <c r="V197" i="2"/>
  <c r="W197" i="2"/>
  <c r="X197" i="2"/>
  <c r="V198" i="2"/>
  <c r="W198" i="2"/>
  <c r="X198" i="2"/>
  <c r="Y199" i="2" l="1"/>
  <c r="Y200" i="2"/>
  <c r="Y195" i="2"/>
  <c r="Y196" i="2"/>
  <c r="Y193" i="2"/>
  <c r="Y194" i="2"/>
  <c r="Y198" i="2"/>
  <c r="Y197" i="2"/>
  <c r="V192" i="2" l="1"/>
  <c r="W192" i="2"/>
  <c r="X192" i="2"/>
  <c r="Y192" i="2" l="1"/>
  <c r="V187" i="2" l="1"/>
  <c r="W187" i="2"/>
  <c r="X187" i="2"/>
  <c r="V188" i="2"/>
  <c r="W188" i="2"/>
  <c r="X188" i="2"/>
  <c r="V189" i="2"/>
  <c r="W189" i="2"/>
  <c r="X189" i="2"/>
  <c r="V190" i="2"/>
  <c r="W190" i="2"/>
  <c r="X190" i="2"/>
  <c r="V191" i="2"/>
  <c r="W191" i="2"/>
  <c r="X191" i="2"/>
  <c r="Y191" i="2" l="1"/>
  <c r="Y190" i="2"/>
  <c r="Y188" i="2"/>
  <c r="Y189" i="2"/>
  <c r="Y187" i="2"/>
  <c r="V175" i="2"/>
  <c r="W175" i="2"/>
  <c r="X175" i="2"/>
  <c r="V176" i="2"/>
  <c r="W176" i="2"/>
  <c r="X176" i="2"/>
  <c r="V177" i="2"/>
  <c r="W177" i="2"/>
  <c r="X177" i="2"/>
  <c r="V178" i="2"/>
  <c r="W178" i="2"/>
  <c r="X178" i="2"/>
  <c r="V179" i="2"/>
  <c r="W179" i="2"/>
  <c r="X179" i="2"/>
  <c r="V180" i="2"/>
  <c r="W180" i="2"/>
  <c r="X180" i="2"/>
  <c r="V181" i="2"/>
  <c r="W181" i="2"/>
  <c r="X181" i="2"/>
  <c r="V182" i="2"/>
  <c r="W182" i="2"/>
  <c r="X182" i="2"/>
  <c r="V183" i="2"/>
  <c r="W183" i="2"/>
  <c r="X183" i="2"/>
  <c r="V184" i="2"/>
  <c r="W184" i="2"/>
  <c r="X184" i="2"/>
  <c r="V185" i="2"/>
  <c r="W185" i="2"/>
  <c r="X185" i="2"/>
  <c r="V186" i="2"/>
  <c r="W186" i="2"/>
  <c r="X186" i="2"/>
  <c r="V170" i="2"/>
  <c r="W170" i="2"/>
  <c r="X170" i="2"/>
  <c r="V171" i="2"/>
  <c r="W171" i="2"/>
  <c r="X171" i="2"/>
  <c r="V172" i="2"/>
  <c r="W172" i="2"/>
  <c r="X172" i="2"/>
  <c r="V173" i="2"/>
  <c r="W173" i="2"/>
  <c r="X173" i="2"/>
  <c r="V174" i="2"/>
  <c r="W174" i="2"/>
  <c r="X174" i="2"/>
  <c r="Y184" i="2" l="1"/>
  <c r="Y183" i="2"/>
  <c r="Y179" i="2"/>
  <c r="Y175" i="2"/>
  <c r="Y186" i="2"/>
  <c r="Y178" i="2"/>
  <c r="Y171" i="2"/>
  <c r="Y181" i="2"/>
  <c r="Y180" i="2"/>
  <c r="Y177" i="2"/>
  <c r="Y176" i="2"/>
  <c r="Y182" i="2"/>
  <c r="Y185" i="2"/>
  <c r="Y170" i="2"/>
  <c r="Y172" i="2"/>
  <c r="Y174" i="2"/>
  <c r="Y173" i="2"/>
  <c r="V164" i="2"/>
  <c r="W164" i="2"/>
  <c r="X164" i="2"/>
  <c r="V165" i="2"/>
  <c r="W165" i="2"/>
  <c r="X165" i="2"/>
  <c r="V166" i="2"/>
  <c r="W166" i="2"/>
  <c r="X166" i="2"/>
  <c r="V167" i="2"/>
  <c r="W167" i="2"/>
  <c r="X167" i="2"/>
  <c r="V168" i="2"/>
  <c r="W168" i="2"/>
  <c r="X168" i="2"/>
  <c r="V169" i="2"/>
  <c r="W169" i="2"/>
  <c r="X169" i="2"/>
  <c r="Y166" i="2" l="1"/>
  <c r="Y169" i="2"/>
  <c r="Y168" i="2"/>
  <c r="Y164" i="2"/>
  <c r="Y167" i="2"/>
  <c r="Y165" i="2"/>
  <c r="V162" i="2"/>
  <c r="W162" i="2"/>
  <c r="X162" i="2"/>
  <c r="V163" i="2"/>
  <c r="W163" i="2"/>
  <c r="X163" i="2"/>
  <c r="Y162" i="2" l="1"/>
  <c r="Y163" i="2"/>
  <c r="V157" i="2"/>
  <c r="W157" i="2"/>
  <c r="X157" i="2"/>
  <c r="V160" i="2"/>
  <c r="W160" i="2"/>
  <c r="X160" i="2"/>
  <c r="V161" i="2"/>
  <c r="W161" i="2"/>
  <c r="X161" i="2"/>
  <c r="V158" i="2"/>
  <c r="W158" i="2"/>
  <c r="X158" i="2"/>
  <c r="Y158" i="2" l="1"/>
  <c r="Y160" i="2"/>
  <c r="Y161" i="2"/>
  <c r="Y157" i="2"/>
  <c r="V155" i="2"/>
  <c r="W155" i="2"/>
  <c r="X155" i="2"/>
  <c r="V159" i="2"/>
  <c r="W159" i="2"/>
  <c r="X159" i="2"/>
  <c r="V156" i="2"/>
  <c r="W156" i="2"/>
  <c r="X156" i="2"/>
  <c r="Y159" i="2" l="1"/>
  <c r="Y155" i="2"/>
  <c r="Y156" i="2"/>
  <c r="V125" i="2"/>
  <c r="W125" i="2"/>
  <c r="X125" i="2"/>
  <c r="V126" i="2"/>
  <c r="W126" i="2"/>
  <c r="X126" i="2"/>
  <c r="V127" i="2"/>
  <c r="W127" i="2"/>
  <c r="X127" i="2"/>
  <c r="V128" i="2"/>
  <c r="W128" i="2"/>
  <c r="X128" i="2"/>
  <c r="V129" i="2"/>
  <c r="W129" i="2"/>
  <c r="X129" i="2"/>
  <c r="V130" i="2"/>
  <c r="W130" i="2"/>
  <c r="X130" i="2"/>
  <c r="V131" i="2"/>
  <c r="W131" i="2"/>
  <c r="X131" i="2"/>
  <c r="V132" i="2"/>
  <c r="W132" i="2"/>
  <c r="X132" i="2"/>
  <c r="V133" i="2"/>
  <c r="W133" i="2"/>
  <c r="X133" i="2"/>
  <c r="V134" i="2"/>
  <c r="W134" i="2"/>
  <c r="X134" i="2"/>
  <c r="V135" i="2"/>
  <c r="W135" i="2"/>
  <c r="X135" i="2"/>
  <c r="V136" i="2"/>
  <c r="W136" i="2"/>
  <c r="X136" i="2"/>
  <c r="V137" i="2"/>
  <c r="W137" i="2"/>
  <c r="X137" i="2"/>
  <c r="V138" i="2"/>
  <c r="W138" i="2"/>
  <c r="X138" i="2"/>
  <c r="V139" i="2"/>
  <c r="W139" i="2"/>
  <c r="X139" i="2"/>
  <c r="V140" i="2"/>
  <c r="W140" i="2"/>
  <c r="X140" i="2"/>
  <c r="V141" i="2"/>
  <c r="W141" i="2"/>
  <c r="X141" i="2"/>
  <c r="V142" i="2"/>
  <c r="W142" i="2"/>
  <c r="X142" i="2"/>
  <c r="V143" i="2"/>
  <c r="W143" i="2"/>
  <c r="X143" i="2"/>
  <c r="V144" i="2"/>
  <c r="W144" i="2"/>
  <c r="X144" i="2"/>
  <c r="V145" i="2"/>
  <c r="W145" i="2"/>
  <c r="X145" i="2"/>
  <c r="V146" i="2"/>
  <c r="W146" i="2"/>
  <c r="X146" i="2"/>
  <c r="V147" i="2"/>
  <c r="W147" i="2"/>
  <c r="X147" i="2"/>
  <c r="V148" i="2"/>
  <c r="W148" i="2"/>
  <c r="X148" i="2"/>
  <c r="V149" i="2"/>
  <c r="W149" i="2"/>
  <c r="X149" i="2"/>
  <c r="V150" i="2"/>
  <c r="W150" i="2"/>
  <c r="X150" i="2"/>
  <c r="V151" i="2"/>
  <c r="W151" i="2"/>
  <c r="X151" i="2"/>
  <c r="V152" i="2"/>
  <c r="W152" i="2"/>
  <c r="X152" i="2"/>
  <c r="V153" i="2"/>
  <c r="W153" i="2"/>
  <c r="X153" i="2"/>
  <c r="V154" i="2"/>
  <c r="W154" i="2"/>
  <c r="X154" i="2"/>
  <c r="Y153" i="2" l="1"/>
  <c r="Y141" i="2"/>
  <c r="Y134" i="2"/>
  <c r="Y143" i="2"/>
  <c r="Y131" i="2"/>
  <c r="Y152" i="2"/>
  <c r="Y133" i="2"/>
  <c r="Y135" i="2"/>
  <c r="Y127" i="2"/>
  <c r="Y125" i="2"/>
  <c r="Y128" i="2"/>
  <c r="Y144" i="2"/>
  <c r="Y132" i="2"/>
  <c r="Y147" i="2"/>
  <c r="Y149" i="2"/>
  <c r="Y140" i="2"/>
  <c r="Y151" i="2"/>
  <c r="Y130" i="2"/>
  <c r="Y126" i="2"/>
  <c r="Y137" i="2"/>
  <c r="Y146" i="2"/>
  <c r="Y138" i="2"/>
  <c r="Y145" i="2"/>
  <c r="Y150" i="2"/>
  <c r="Y148" i="2"/>
  <c r="Y154" i="2"/>
  <c r="Y136" i="2"/>
  <c r="Y139" i="2"/>
  <c r="Y142" i="2"/>
  <c r="Y129" i="2"/>
  <c r="A2" i="16" a="1"/>
  <c r="V120" i="2"/>
  <c r="W120" i="2"/>
  <c r="X120" i="2"/>
  <c r="V121" i="2"/>
  <c r="W121" i="2"/>
  <c r="X121" i="2"/>
  <c r="V122" i="2"/>
  <c r="W122" i="2"/>
  <c r="X122" i="2"/>
  <c r="V114" i="2"/>
  <c r="W114" i="2"/>
  <c r="X114" i="2"/>
  <c r="V115" i="2"/>
  <c r="W115" i="2"/>
  <c r="X115" i="2"/>
  <c r="V123" i="2"/>
  <c r="W123" i="2"/>
  <c r="X123" i="2"/>
  <c r="V116" i="2"/>
  <c r="W116" i="2"/>
  <c r="X116" i="2"/>
  <c r="V117" i="2"/>
  <c r="W117" i="2"/>
  <c r="X117" i="2"/>
  <c r="V118" i="2"/>
  <c r="W118" i="2"/>
  <c r="X118" i="2"/>
  <c r="V119" i="2"/>
  <c r="W119" i="2"/>
  <c r="X119" i="2"/>
  <c r="V124" i="2"/>
  <c r="W124" i="2"/>
  <c r="X124" i="2"/>
  <c r="V110" i="2"/>
  <c r="W110" i="2"/>
  <c r="X110" i="2"/>
  <c r="V111" i="2"/>
  <c r="W111" i="2"/>
  <c r="X111" i="2"/>
  <c r="V112" i="2"/>
  <c r="W112" i="2"/>
  <c r="X112" i="2"/>
  <c r="V113" i="2"/>
  <c r="W113" i="2"/>
  <c r="X113" i="2"/>
  <c r="C15" i="16" l="1"/>
  <c r="D15" i="16"/>
  <c r="B15" i="16"/>
  <c r="B35" i="16"/>
  <c r="C35" i="16"/>
  <c r="B36" i="16"/>
  <c r="D35" i="16"/>
  <c r="C36" i="16"/>
  <c r="D36" i="16"/>
  <c r="Y113" i="2"/>
  <c r="Y124" i="2"/>
  <c r="Y119" i="2"/>
  <c r="Y118" i="2"/>
  <c r="Y117" i="2"/>
  <c r="Y116" i="2"/>
  <c r="Y123" i="2"/>
  <c r="Y115" i="2"/>
  <c r="Y114" i="2"/>
  <c r="Y122" i="2"/>
  <c r="Y121" i="2"/>
  <c r="Y120" i="2"/>
  <c r="Y112" i="2"/>
  <c r="Y111" i="2"/>
  <c r="Y110" i="2"/>
  <c r="V109" i="2"/>
  <c r="W109" i="2"/>
  <c r="X109" i="2"/>
  <c r="V102" i="2"/>
  <c r="W102" i="2"/>
  <c r="X102" i="2"/>
  <c r="V103" i="2"/>
  <c r="W103" i="2"/>
  <c r="X103" i="2"/>
  <c r="V104" i="2"/>
  <c r="W104" i="2"/>
  <c r="X104" i="2"/>
  <c r="V105" i="2"/>
  <c r="W105" i="2"/>
  <c r="X105" i="2"/>
  <c r="V106" i="2"/>
  <c r="W106" i="2"/>
  <c r="X106" i="2"/>
  <c r="V107" i="2"/>
  <c r="W107" i="2"/>
  <c r="X107" i="2"/>
  <c r="V108" i="2"/>
  <c r="W108" i="2"/>
  <c r="X108" i="2"/>
  <c r="V101" i="2"/>
  <c r="W101" i="2"/>
  <c r="X101" i="2"/>
  <c r="V98" i="2"/>
  <c r="W98" i="2"/>
  <c r="X98" i="2"/>
  <c r="V67" i="2"/>
  <c r="W67" i="2"/>
  <c r="X67" i="2"/>
  <c r="V68" i="2"/>
  <c r="W68" i="2"/>
  <c r="X68" i="2"/>
  <c r="V69" i="2"/>
  <c r="W69" i="2"/>
  <c r="X69" i="2"/>
  <c r="V70" i="2"/>
  <c r="W70" i="2"/>
  <c r="X70" i="2"/>
  <c r="V71" i="2"/>
  <c r="W71" i="2"/>
  <c r="X71" i="2"/>
  <c r="V72" i="2"/>
  <c r="W72" i="2"/>
  <c r="X72" i="2"/>
  <c r="V73" i="2"/>
  <c r="W73" i="2"/>
  <c r="X73" i="2"/>
  <c r="V74" i="2"/>
  <c r="W74" i="2"/>
  <c r="X74" i="2"/>
  <c r="V75" i="2"/>
  <c r="W75" i="2"/>
  <c r="X75" i="2"/>
  <c r="V76" i="2"/>
  <c r="W76" i="2"/>
  <c r="X76" i="2"/>
  <c r="V77" i="2"/>
  <c r="W77" i="2"/>
  <c r="X77" i="2"/>
  <c r="V78" i="2"/>
  <c r="W78" i="2"/>
  <c r="X78" i="2"/>
  <c r="V79" i="2"/>
  <c r="W79" i="2"/>
  <c r="X79" i="2"/>
  <c r="V80" i="2"/>
  <c r="W80" i="2"/>
  <c r="X80" i="2"/>
  <c r="V81" i="2"/>
  <c r="W81" i="2"/>
  <c r="X81" i="2"/>
  <c r="V82" i="2"/>
  <c r="W82" i="2"/>
  <c r="X82" i="2"/>
  <c r="V83" i="2"/>
  <c r="W83" i="2"/>
  <c r="X83" i="2"/>
  <c r="V84" i="2"/>
  <c r="W84" i="2"/>
  <c r="X84" i="2"/>
  <c r="V85" i="2"/>
  <c r="W85" i="2"/>
  <c r="X85" i="2"/>
  <c r="V86" i="2"/>
  <c r="W86" i="2"/>
  <c r="X86" i="2"/>
  <c r="V87" i="2"/>
  <c r="W87" i="2"/>
  <c r="X87" i="2"/>
  <c r="V88" i="2"/>
  <c r="W88" i="2"/>
  <c r="X88" i="2"/>
  <c r="V89" i="2"/>
  <c r="W89" i="2"/>
  <c r="X89" i="2"/>
  <c r="V99" i="2"/>
  <c r="W99" i="2"/>
  <c r="X99" i="2"/>
  <c r="V90" i="2"/>
  <c r="W90" i="2"/>
  <c r="X90" i="2"/>
  <c r="V91" i="2"/>
  <c r="W91" i="2"/>
  <c r="X91" i="2"/>
  <c r="V92" i="2"/>
  <c r="W92" i="2"/>
  <c r="X92" i="2"/>
  <c r="V93" i="2"/>
  <c r="W93" i="2"/>
  <c r="X93" i="2"/>
  <c r="V94" i="2"/>
  <c r="W94" i="2"/>
  <c r="X94" i="2"/>
  <c r="V95" i="2"/>
  <c r="W95" i="2"/>
  <c r="X95" i="2"/>
  <c r="V96" i="2"/>
  <c r="W96" i="2"/>
  <c r="X96" i="2"/>
  <c r="V97" i="2"/>
  <c r="W97" i="2"/>
  <c r="X97" i="2"/>
  <c r="V100" i="2"/>
  <c r="W100" i="2"/>
  <c r="X100" i="2"/>
  <c r="V32" i="2"/>
  <c r="W32" i="2"/>
  <c r="X32" i="2"/>
  <c r="V33" i="2"/>
  <c r="W33" i="2"/>
  <c r="X33" i="2"/>
  <c r="V34" i="2"/>
  <c r="W34" i="2"/>
  <c r="X34" i="2"/>
  <c r="V35" i="2"/>
  <c r="W35" i="2"/>
  <c r="X35" i="2"/>
  <c r="V36" i="2"/>
  <c r="W36" i="2"/>
  <c r="X36" i="2"/>
  <c r="V37" i="2"/>
  <c r="W37" i="2"/>
  <c r="X37" i="2"/>
  <c r="V38" i="2"/>
  <c r="W38" i="2"/>
  <c r="X38" i="2"/>
  <c r="V39" i="2"/>
  <c r="W39" i="2"/>
  <c r="X39" i="2"/>
  <c r="V40" i="2"/>
  <c r="W40" i="2"/>
  <c r="X40" i="2"/>
  <c r="V41" i="2"/>
  <c r="W41" i="2"/>
  <c r="X41" i="2"/>
  <c r="V42" i="2"/>
  <c r="W42" i="2"/>
  <c r="X42" i="2"/>
  <c r="V43" i="2"/>
  <c r="W43" i="2"/>
  <c r="X43" i="2"/>
  <c r="V44" i="2"/>
  <c r="W44" i="2"/>
  <c r="X44" i="2"/>
  <c r="V45" i="2"/>
  <c r="W45" i="2"/>
  <c r="X45" i="2"/>
  <c r="V46" i="2"/>
  <c r="W46" i="2"/>
  <c r="X46" i="2"/>
  <c r="V47" i="2"/>
  <c r="W47" i="2"/>
  <c r="X47" i="2"/>
  <c r="V48" i="2"/>
  <c r="W48" i="2"/>
  <c r="X48" i="2"/>
  <c r="V49" i="2"/>
  <c r="W49" i="2"/>
  <c r="X49" i="2"/>
  <c r="V50" i="2"/>
  <c r="W50" i="2"/>
  <c r="X50" i="2"/>
  <c r="V51" i="2"/>
  <c r="W51" i="2"/>
  <c r="X51" i="2"/>
  <c r="V52" i="2"/>
  <c r="W52" i="2"/>
  <c r="X52" i="2"/>
  <c r="V53" i="2"/>
  <c r="W53" i="2"/>
  <c r="X53" i="2"/>
  <c r="V54" i="2"/>
  <c r="W54" i="2"/>
  <c r="X54" i="2"/>
  <c r="V55" i="2"/>
  <c r="W55" i="2"/>
  <c r="X55" i="2"/>
  <c r="V56" i="2"/>
  <c r="W56" i="2"/>
  <c r="X56" i="2"/>
  <c r="V57" i="2"/>
  <c r="W57" i="2"/>
  <c r="X57" i="2"/>
  <c r="V58" i="2"/>
  <c r="W58" i="2"/>
  <c r="X58" i="2"/>
  <c r="V59" i="2"/>
  <c r="W59" i="2"/>
  <c r="X59" i="2"/>
  <c r="V60" i="2"/>
  <c r="W60" i="2"/>
  <c r="X60" i="2"/>
  <c r="V61" i="2"/>
  <c r="W61" i="2"/>
  <c r="X61" i="2"/>
  <c r="V62" i="2"/>
  <c r="W62" i="2"/>
  <c r="X62" i="2"/>
  <c r="V63" i="2"/>
  <c r="W63" i="2"/>
  <c r="X63" i="2"/>
  <c r="V64" i="2"/>
  <c r="W64" i="2"/>
  <c r="X64" i="2"/>
  <c r="V65" i="2"/>
  <c r="W65" i="2"/>
  <c r="X65" i="2"/>
  <c r="V66" i="2"/>
  <c r="W66" i="2"/>
  <c r="X66" i="2"/>
  <c r="V2" i="2"/>
  <c r="W2" i="2"/>
  <c r="X2" i="2"/>
  <c r="V3" i="2"/>
  <c r="W3" i="2"/>
  <c r="X3" i="2"/>
  <c r="V4" i="2"/>
  <c r="W4" i="2"/>
  <c r="X4" i="2"/>
  <c r="V5" i="2"/>
  <c r="W5" i="2"/>
  <c r="X5" i="2"/>
  <c r="V6" i="2"/>
  <c r="W6" i="2"/>
  <c r="X6" i="2"/>
  <c r="V7" i="2"/>
  <c r="W7" i="2"/>
  <c r="X7" i="2"/>
  <c r="V8" i="2"/>
  <c r="W8" i="2"/>
  <c r="X8" i="2"/>
  <c r="V9" i="2"/>
  <c r="W9" i="2"/>
  <c r="X9" i="2"/>
  <c r="V10" i="2"/>
  <c r="W10" i="2"/>
  <c r="X10" i="2"/>
  <c r="V11" i="2"/>
  <c r="W11" i="2"/>
  <c r="X11" i="2"/>
  <c r="V12" i="2"/>
  <c r="W12" i="2"/>
  <c r="X12" i="2"/>
  <c r="V13" i="2"/>
  <c r="W13" i="2"/>
  <c r="X13" i="2"/>
  <c r="V14" i="2"/>
  <c r="W14" i="2"/>
  <c r="X14" i="2"/>
  <c r="V15" i="2"/>
  <c r="W15" i="2"/>
  <c r="X15" i="2"/>
  <c r="V16" i="2"/>
  <c r="W16" i="2"/>
  <c r="X16" i="2"/>
  <c r="V17" i="2"/>
  <c r="W17" i="2"/>
  <c r="X17" i="2"/>
  <c r="V18" i="2"/>
  <c r="W18" i="2"/>
  <c r="X18" i="2"/>
  <c r="V19" i="2"/>
  <c r="W19" i="2"/>
  <c r="X19" i="2"/>
  <c r="V20" i="2"/>
  <c r="W20" i="2"/>
  <c r="X20" i="2"/>
  <c r="V21" i="2"/>
  <c r="W21" i="2"/>
  <c r="X21" i="2"/>
  <c r="V22" i="2"/>
  <c r="W22" i="2"/>
  <c r="X22" i="2"/>
  <c r="V23" i="2"/>
  <c r="W23" i="2"/>
  <c r="X23" i="2"/>
  <c r="V24" i="2"/>
  <c r="W24" i="2"/>
  <c r="X24" i="2"/>
  <c r="V25" i="2"/>
  <c r="W25" i="2"/>
  <c r="X25" i="2"/>
  <c r="V26" i="2"/>
  <c r="W26" i="2"/>
  <c r="X26" i="2"/>
  <c r="V27" i="2"/>
  <c r="W27" i="2"/>
  <c r="X27" i="2"/>
  <c r="V28" i="2"/>
  <c r="W28" i="2"/>
  <c r="X28" i="2"/>
  <c r="V29" i="2"/>
  <c r="W29" i="2"/>
  <c r="X29" i="2"/>
  <c r="V30" i="2"/>
  <c r="W30" i="2"/>
  <c r="X30" i="2"/>
  <c r="V31" i="2"/>
  <c r="W31" i="2"/>
  <c r="X31" i="2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V4" i="8" a="1"/>
  <c r="V3" i="8" a="1"/>
  <c r="V2" i="8" a="1"/>
  <c r="V1" i="8" a="1"/>
  <c r="Y106" i="2" l="1"/>
  <c r="C34" i="16"/>
  <c r="B33" i="16"/>
  <c r="D34" i="16"/>
  <c r="D33" i="16"/>
  <c r="B34" i="16"/>
  <c r="C33" i="16"/>
  <c r="Y104" i="2"/>
  <c r="Y107" i="2"/>
  <c r="Y103" i="2"/>
  <c r="Y102" i="2"/>
  <c r="Y41" i="2"/>
  <c r="Y92" i="2"/>
  <c r="Y101" i="2"/>
  <c r="Y39" i="2"/>
  <c r="Y105" i="2"/>
  <c r="Y93" i="2"/>
  <c r="Y108" i="2"/>
  <c r="Y109" i="2"/>
  <c r="Y89" i="2"/>
  <c r="Y98" i="2"/>
  <c r="Y54" i="2"/>
  <c r="Y81" i="2"/>
  <c r="Y52" i="2"/>
  <c r="Y90" i="2"/>
  <c r="Y84" i="2"/>
  <c r="Y85" i="2"/>
  <c r="Y36" i="2"/>
  <c r="Y94" i="2"/>
  <c r="Y96" i="2"/>
  <c r="Y97" i="2"/>
  <c r="Y79" i="2"/>
  <c r="Y82" i="2"/>
  <c r="Y49" i="2"/>
  <c r="Y100" i="2"/>
  <c r="Y83" i="2"/>
  <c r="Y67" i="2"/>
  <c r="Y68" i="2"/>
  <c r="Y73" i="2"/>
  <c r="Y75" i="2"/>
  <c r="Y76" i="2"/>
  <c r="Y77" i="2"/>
  <c r="Y78" i="2"/>
  <c r="Y80" i="2"/>
  <c r="Y86" i="2"/>
  <c r="Y71" i="2"/>
  <c r="Y69" i="2"/>
  <c r="Y70" i="2"/>
  <c r="Y74" i="2"/>
  <c r="Y88" i="2"/>
  <c r="Y72" i="2"/>
  <c r="Y87" i="2"/>
  <c r="Y91" i="2"/>
  <c r="Y99" i="2"/>
  <c r="Y32" i="2"/>
  <c r="Y95" i="2"/>
  <c r="Y45" i="2"/>
  <c r="Y11" i="2"/>
  <c r="Y24" i="2"/>
  <c r="Y18" i="2"/>
  <c r="Y56" i="2"/>
  <c r="Y25" i="2"/>
  <c r="Y42" i="2"/>
  <c r="Y28" i="2"/>
  <c r="Y58" i="2"/>
  <c r="Y43" i="2"/>
  <c r="Y44" i="2"/>
  <c r="Y46" i="2"/>
  <c r="Y48" i="2"/>
  <c r="Y51" i="2"/>
  <c r="Y53" i="2"/>
  <c r="Y57" i="2"/>
  <c r="Y61" i="2"/>
  <c r="Y63" i="2"/>
  <c r="Y65" i="2"/>
  <c r="Y33" i="2"/>
  <c r="Y34" i="2"/>
  <c r="Y35" i="2"/>
  <c r="Y37" i="2"/>
  <c r="Y38" i="2"/>
  <c r="Y40" i="2"/>
  <c r="Y47" i="2"/>
  <c r="Y50" i="2"/>
  <c r="Y55" i="2"/>
  <c r="Y59" i="2"/>
  <c r="Y60" i="2"/>
  <c r="Y62" i="2"/>
  <c r="Y64" i="2"/>
  <c r="Y66" i="2"/>
  <c r="Y21" i="2"/>
  <c r="Y26" i="2"/>
  <c r="Y5" i="2"/>
  <c r="Y17" i="2"/>
  <c r="Y19" i="2"/>
  <c r="Y23" i="2"/>
  <c r="Y15" i="2"/>
  <c r="Y2" i="2"/>
  <c r="Y10" i="2"/>
  <c r="Y16" i="2"/>
  <c r="Y22" i="2"/>
  <c r="Y14" i="2"/>
  <c r="Y29" i="2"/>
  <c r="Y3" i="2"/>
  <c r="Y6" i="2"/>
  <c r="Y7" i="2"/>
  <c r="Y8" i="2"/>
  <c r="Y12" i="2"/>
  <c r="Y13" i="2"/>
  <c r="Y27" i="2"/>
  <c r="Y30" i="2"/>
  <c r="Y9" i="2"/>
  <c r="Y4" i="2"/>
  <c r="Y20" i="2"/>
  <c r="C10" i="16" l="1"/>
  <c r="B10" i="16"/>
  <c r="D10" i="16"/>
  <c r="B24" i="16"/>
  <c r="D24" i="16"/>
  <c r="C24" i="16"/>
  <c r="C29" i="16"/>
  <c r="D29" i="16"/>
  <c r="B29" i="16"/>
  <c r="D26" i="16"/>
  <c r="B26" i="16"/>
  <c r="C26" i="16"/>
  <c r="C9" i="16"/>
  <c r="B9" i="16"/>
  <c r="D9" i="16"/>
  <c r="B28" i="16"/>
  <c r="C28" i="16"/>
  <c r="D28" i="16"/>
  <c r="C22" i="16"/>
  <c r="B22" i="16"/>
  <c r="D22" i="16"/>
  <c r="B3" i="16"/>
  <c r="D3" i="16"/>
  <c r="C3" i="16"/>
  <c r="B16" i="16"/>
  <c r="D16" i="16"/>
  <c r="C16" i="16"/>
  <c r="D17" i="16"/>
  <c r="C17" i="16"/>
  <c r="B17" i="16"/>
  <c r="C14" i="16"/>
  <c r="B14" i="16"/>
  <c r="D14" i="16"/>
  <c r="D31" i="16"/>
  <c r="C31" i="16"/>
  <c r="B31" i="16"/>
  <c r="C13" i="16"/>
  <c r="D13" i="16"/>
  <c r="B13" i="16"/>
  <c r="C7" i="16"/>
  <c r="D7" i="16"/>
  <c r="B7" i="16"/>
  <c r="C25" i="16"/>
  <c r="D25" i="16"/>
  <c r="B25" i="16"/>
  <c r="D8" i="16"/>
  <c r="C8" i="16"/>
  <c r="B8" i="16"/>
  <c r="B12" i="16"/>
  <c r="C12" i="16"/>
  <c r="D12" i="16"/>
  <c r="C19" i="16"/>
  <c r="B19" i="16"/>
  <c r="D19" i="16"/>
  <c r="D18" i="16"/>
  <c r="B18" i="16"/>
  <c r="C18" i="16"/>
  <c r="C27" i="16"/>
  <c r="D27" i="16"/>
  <c r="B27" i="16"/>
  <c r="D23" i="16"/>
  <c r="B23" i="16"/>
  <c r="C23" i="16"/>
  <c r="D6" i="16"/>
  <c r="B6" i="16"/>
  <c r="C6" i="16"/>
  <c r="B21" i="16"/>
  <c r="C21" i="16"/>
  <c r="D21" i="16"/>
  <c r="D5" i="16"/>
  <c r="C5" i="16"/>
  <c r="B5" i="16"/>
  <c r="B11" i="16"/>
  <c r="C11" i="16"/>
  <c r="D11" i="16"/>
  <c r="D32" i="16"/>
  <c r="C32" i="16"/>
  <c r="B32" i="16"/>
  <c r="B4" i="16"/>
  <c r="D4" i="16"/>
  <c r="C4" i="16"/>
  <c r="B20" i="16"/>
  <c r="C20" i="16"/>
  <c r="D20" i="16"/>
  <c r="B30" i="16"/>
  <c r="D30" i="16"/>
  <c r="C30" i="16"/>
  <c r="V4" i="8" l="1"/>
  <c r="V3" i="8"/>
  <c r="V2" i="8"/>
  <c r="V1" i="8"/>
  <c r="A2" i="16"/>
  <c r="D2" i="16" l="1"/>
  <c r="D37" i="16" s="1"/>
  <c r="C2" i="16"/>
  <c r="C37" i="16" s="1"/>
  <c r="B2" i="16"/>
  <c r="B37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E1A4EC-7475-4AB3-8AA2-B999C464E16A}" keepAlive="1" name="Consulta - Expansion_2026-01-26-07 20" description="Conexión a la consulta 'Expansion_2026-01-26-07 20' en el libro." type="5" refreshedVersion="0" background="1" saveData="1">
    <dbPr connection="Provider=Microsoft.Mashup.OleDb.1;Data Source=$Workbook$;Location=&quot;Expansion_2026-01-26-07 20&quot;;Extended Properties=&quot;&quot;" command="SELECT * FROM [Expansion_2026-01-26-07 20]"/>
  </connection>
  <connection id="2" xr16:uid="{61BFA73B-25F3-4380-91D4-D666826F64B8}" keepAlive="1" name="Consulta - Expansion_2026-01-27-07 20" description="Conexión a la consulta 'Expansion_2026-01-27-07 20' en el libro." type="5" refreshedVersion="0" background="1" saveData="1">
    <dbPr connection="Provider=Microsoft.Mashup.OleDb.1;Data Source=$Workbook$;Location=&quot;Expansion_2026-01-27-07 20&quot;;Extended Properties=&quot;&quot;" command="SELECT * FROM [Expansion_2026-01-27-07 20]"/>
  </connection>
  <connection id="3" xr16:uid="{86398B3A-6082-4CE0-8863-6AD897CDBBB1}" keepAlive="1" name="Consulta - in" description="Conexión a la consulta 'in' en el libro." type="5" refreshedVersion="0" background="1">
    <dbPr connection="Provider=Microsoft.Mashup.OleDb.1;Data Source=$Workbook$;Location=in;Extended Properties=&quot;&quot;" command="SELECT * FROM [in]"/>
  </connection>
  <connection id="4" xr16:uid="{A7F2FACA-EDD9-469F-A7E6-EEDF39A7CD74}" keepAlive="1" name="Consulta - in (2)" description="Conexión a la consulta 'in (2)' en el libro." type="5" refreshedVersion="0" background="1" saveData="1">
    <dbPr connection="Provider=Microsoft.Mashup.OleDb.1;Data Source=$Workbook$;Location=&quot;in (2)&quot;;Extended Properties=&quot;&quot;" command="SELECT * FROM [in (2)]"/>
  </connection>
  <connection id="5" xr16:uid="{11850D83-2A86-4F01-B916-BD41C32897FC}" keepAlive="1" name="Consulta - in (3)" description="Conexión a la consulta 'in (3)' en el libro." type="5" refreshedVersion="8" background="1" saveData="1">
    <dbPr connection="Provider=Microsoft.Mashup.OleDb.1;Data Source=$Workbook$;Location=&quot;in (3)&quot;;Extended Properties=&quot;&quot;" command="SELECT * FROM [in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<sst xmlns="http://schemas.openxmlformats.org/spreadsheetml/2006/main" count="4561" uniqueCount="1510">
  <si>
    <t>Jefe de zona</t>
  </si>
  <si>
    <t>(Varios elementos)</t>
  </si>
  <si>
    <t>Etiquetas de fila</t>
  </si>
  <si>
    <t xml:space="preserve">Cuenta de Nombre del Punto </t>
  </si>
  <si>
    <t>Centro</t>
  </si>
  <si>
    <t>Nororiente</t>
  </si>
  <si>
    <t>Occidente</t>
  </si>
  <si>
    <t>Total general</t>
  </si>
  <si>
    <t>Brayan Mogollón</t>
  </si>
  <si>
    <t>CRISTIAN ESTUPIÃAN</t>
  </si>
  <si>
    <t>Danny Bermeo</t>
  </si>
  <si>
    <t>Diana Victoria Bernal Puentes</t>
  </si>
  <si>
    <t>JOHN ALEJANDRO ALZATE ALZATE</t>
  </si>
  <si>
    <t>SANDRA PADILLA</t>
  </si>
  <si>
    <t>Alejandro Gomez</t>
  </si>
  <si>
    <t>Brayan Ortiz</t>
  </si>
  <si>
    <t>Diana Marcela Arevalo Gonzalez</t>
  </si>
  <si>
    <t>MASSIEL LORENA GARZON MONTES</t>
  </si>
  <si>
    <t>vicky Duque</t>
  </si>
  <si>
    <t>CHRISTIAN CAMILO RODRIGUEZ</t>
  </si>
  <si>
    <t>JAIRO HERNANDEZ</t>
  </si>
  <si>
    <t>KATERIN  DIAZ ZORRO</t>
  </si>
  <si>
    <t xml:space="preserve">Daniela  Menasse </t>
  </si>
  <si>
    <t>Puntos potenciales</t>
  </si>
  <si>
    <t>Especialistas</t>
  </si>
  <si>
    <t>Gestores</t>
  </si>
  <si>
    <t>Razón de descarte</t>
  </si>
  <si>
    <t>Jenny Acuña</t>
  </si>
  <si>
    <t>Stefanny Prieto</t>
  </si>
  <si>
    <t>Variables de éxito</t>
  </si>
  <si>
    <t>Lina Diaz</t>
  </si>
  <si>
    <t>Cristian Herrera</t>
  </si>
  <si>
    <t>Área/Propuesta de valor</t>
  </si>
  <si>
    <t>Martha Lopez</t>
  </si>
  <si>
    <t>Jonathan Aguirre</t>
  </si>
  <si>
    <t>Condiciones comerciales</t>
  </si>
  <si>
    <t>Carlos Bolaños</t>
  </si>
  <si>
    <t>Rentado a otra marca</t>
  </si>
  <si>
    <t>ALEJANDRA ROJAS ROMERO</t>
  </si>
  <si>
    <t>Condiciones Jurídicas</t>
  </si>
  <si>
    <t>ELVIA JAIMES</t>
  </si>
  <si>
    <t>Zonas no prioritaria</t>
  </si>
  <si>
    <t>VALENTINA VALENCIA</t>
  </si>
  <si>
    <t>Vigencia de contrato</t>
  </si>
  <si>
    <t>JAIME GUTIERREZ</t>
  </si>
  <si>
    <t xml:space="preserve">Canibalización </t>
  </si>
  <si>
    <t>LAURA AVILA</t>
  </si>
  <si>
    <t>Renta del inmueble</t>
  </si>
  <si>
    <t>Cláusula penal /Contrato</t>
  </si>
  <si>
    <t>Opción de proyecto con mejor potencial</t>
  </si>
  <si>
    <t>Duplicado</t>
  </si>
  <si>
    <t>SAGRILAFT</t>
  </si>
  <si>
    <t>Cuenta de ID</t>
  </si>
  <si>
    <t>Etiquetas de columna</t>
  </si>
  <si>
    <t>Total 1</t>
  </si>
  <si>
    <t>Total 2</t>
  </si>
  <si>
    <t>Total 3</t>
  </si>
  <si>
    <t>Aprobado</t>
  </si>
  <si>
    <t>Descartado</t>
  </si>
  <si>
    <t>Pendiente aprob</t>
  </si>
  <si>
    <t>(en blanco)</t>
  </si>
  <si>
    <t>Andres Ortiz</t>
  </si>
  <si>
    <t>CRISTIAN ESTUPIÑAN</t>
  </si>
  <si>
    <t>DANIEL PANQUEBA</t>
  </si>
  <si>
    <t>DANIEL RAMIREZ</t>
  </si>
  <si>
    <t>Dany Ospina</t>
  </si>
  <si>
    <t>DIANA ARAQUE</t>
  </si>
  <si>
    <t>Diana Becerra</t>
  </si>
  <si>
    <t>ERNESTO LATORRE</t>
  </si>
  <si>
    <t>Fabian Cardozo</t>
  </si>
  <si>
    <t>FRANCISCO GOMEZ</t>
  </si>
  <si>
    <t>Hermis David Cuicas Diaz</t>
  </si>
  <si>
    <t>John Nicolas Espinosa Ramirez</t>
  </si>
  <si>
    <t>JUAN DIEGO GARCIA</t>
  </si>
  <si>
    <t>Juan Gabriel Neira Sierra</t>
  </si>
  <si>
    <t>KATERIN DIAZ ZORRO</t>
  </si>
  <si>
    <t>LORENA BELTRAN</t>
  </si>
  <si>
    <t>Luis Felipe Rodelo Bohorquez</t>
  </si>
  <si>
    <t>MILENA GONZALEZ</t>
  </si>
  <si>
    <t>Omar Beltran</t>
  </si>
  <si>
    <t>Yury Sanchez Diaz</t>
  </si>
  <si>
    <t>brayan.mogollon@oxxo.com</t>
  </si>
  <si>
    <t xml:space="preserve">John Nicolas  Espinosa Ramirez </t>
  </si>
  <si>
    <t>Antioquia</t>
  </si>
  <si>
    <t>Yesenia Aritizabal</t>
  </si>
  <si>
    <t>Bogotá</t>
  </si>
  <si>
    <t>Pedro</t>
  </si>
  <si>
    <t>Norte</t>
  </si>
  <si>
    <t>Juan Pablo</t>
  </si>
  <si>
    <t>Sur</t>
  </si>
  <si>
    <t>Caribe</t>
  </si>
  <si>
    <t>Diego Rodriguez</t>
  </si>
  <si>
    <t>Centro Norte</t>
  </si>
  <si>
    <t>Centro Sur</t>
  </si>
  <si>
    <t xml:space="preserve">Eje Cafetero </t>
  </si>
  <si>
    <t xml:space="preserve">Oriente </t>
  </si>
  <si>
    <t>Valle</t>
  </si>
  <si>
    <t>ID</t>
  </si>
  <si>
    <t>Correo</t>
  </si>
  <si>
    <t>Fecha de inicio</t>
  </si>
  <si>
    <t>Fecha de envío</t>
  </si>
  <si>
    <t>Hora</t>
  </si>
  <si>
    <t>Año</t>
  </si>
  <si>
    <t>Mes</t>
  </si>
  <si>
    <t>Estado</t>
  </si>
  <si>
    <t xml:space="preserve">Nombre del Punto </t>
  </si>
  <si>
    <t>Cambio de nombre (Si Aplica)</t>
  </si>
  <si>
    <t>Región</t>
  </si>
  <si>
    <t>Plaza</t>
  </si>
  <si>
    <t>Dirección</t>
  </si>
  <si>
    <t>Regional</t>
  </si>
  <si>
    <t>Enlace de la ubicación en Google Maps</t>
  </si>
  <si>
    <t>Segmento de tienda aproximado</t>
  </si>
  <si>
    <t>Principal característica de la ubicación</t>
  </si>
  <si>
    <t>Contacto del Propietario (Teléfono)</t>
  </si>
  <si>
    <t>Contacto del Propietario (Correo Electronico)</t>
  </si>
  <si>
    <t>Fotos del Local Revisado</t>
  </si>
  <si>
    <t>Sem</t>
  </si>
  <si>
    <t>Sem-Año</t>
  </si>
  <si>
    <t>Estado Growth</t>
  </si>
  <si>
    <t>Y</t>
  </si>
  <si>
    <t>X</t>
  </si>
  <si>
    <t>Comentarios</t>
  </si>
  <si>
    <t>Seguimiento Regional</t>
  </si>
  <si>
    <t>Semana</t>
  </si>
  <si>
    <t>Razon de descarte</t>
  </si>
  <si>
    <t>Gestor asignado</t>
  </si>
  <si>
    <t xml:space="preserve">Especialista asignado </t>
  </si>
  <si>
    <t>Fecha asignación especialista</t>
  </si>
  <si>
    <t>Tiempo desde asignación</t>
  </si>
  <si>
    <t>Fecha contacto especialista</t>
  </si>
  <si>
    <t>Estatus expansion</t>
  </si>
  <si>
    <t>Razón de descarte expansión</t>
  </si>
  <si>
    <t>Comentarios expansión</t>
  </si>
  <si>
    <t>sandra.padilla@oxxo.com</t>
  </si>
  <si>
    <t>14/07/2026</t>
  </si>
  <si>
    <t>08:19</t>
  </si>
  <si>
    <t>07</t>
  </si>
  <si>
    <t>Enviado</t>
  </si>
  <si>
    <t>Centro comercial cañaveral</t>
  </si>
  <si>
    <t>Oriente</t>
  </si>
  <si>
    <t>Calle 30 # 30-04 centro comercial cañaveral</t>
  </si>
  <si>
    <t>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</t>
  </si>
  <si>
    <t>Base</t>
  </si>
  <si>
    <t>Zona Comercial</t>
  </si>
  <si>
    <t>Es local ubicado en centro comercial cañaveral. Esquinero está diagonal a Juan Valdez. 
Debe ser inmobiliaria pero no aparece nombre solo teléfono para llamar
3007751069</t>
  </si>
  <si>
    <t>Foto: https://oxxo-colombia.oneapp.cl/static/img/Respuesta/62607815/d9df2c1a2055b05c09ecf99840d4672a.jpg</t>
  </si>
  <si>
    <t>Subido</t>
  </si>
  <si>
    <t>Punto potencial fue mal subido en la plataforma, se registraba en la ciudad de Ocaña</t>
  </si>
  <si>
    <t>katerin.diaz@oxxo.com</t>
  </si>
  <si>
    <t>08:50</t>
  </si>
  <si>
    <t>Autopista 159</t>
  </si>
  <si>
    <t>Calle 159a 22 76</t>
  </si>
  <si>
    <t>https://maps.app.goo.gl/ARHY4pjoMEGefriy5?g_st=iw</t>
  </si>
  <si>
    <t>Nimguno</t>
  </si>
  <si>
    <t>Foto: https://oxxo-colombia.oneapp.cl/static/img/Respuesta/62609012/0c78ccadb1951931f9f9e598456c2f02.jpg</t>
  </si>
  <si>
    <t>09:25</t>
  </si>
  <si>
    <t>Parque Toberin</t>
  </si>
  <si>
    <t>Cra 21 168</t>
  </si>
  <si>
    <t>https://maps.app.goo.gl/RdznzFN8oeXt4BzY8?g_st=iw</t>
  </si>
  <si>
    <t>Ninguno</t>
  </si>
  <si>
    <t>Foto: https://oxxo-colombia.oneapp.cl/static/img/Respuesta/62611190/aab0753a5550540c761da14167e590bd.jpg</t>
  </si>
  <si>
    <t>jairo.hernandez@oxxo.com</t>
  </si>
  <si>
    <t>15:19</t>
  </si>
  <si>
    <t>Oxxo Bolivar Desnudo</t>
  </si>
  <si>
    <t>Eje Cafetero</t>
  </si>
  <si>
    <t>Calle 19 carrera 7 esquina</t>
  </si>
  <si>
    <t>https://maps.app.goo.gl/cyi7f3fML7fKbAXTA</t>
  </si>
  <si>
    <t xml:space="preserve">Receso </t>
  </si>
  <si>
    <t>Juan Esteban Arbelaez
3218303155</t>
  </si>
  <si>
    <t>Luvikasu@hotmail.com</t>
  </si>
  <si>
    <t>Foto: https://oxxo-colombia.oneapp.cl/static/img/Respuesta/62624413/20c771fc6c9288613883161d80b62535.jpg</t>
  </si>
  <si>
    <t>16:17</t>
  </si>
  <si>
    <t>Oxxo Los Rosales</t>
  </si>
  <si>
    <t>Carrera 9 24- 62</t>
  </si>
  <si>
    <t>https://maps.app.goo.gl/QBWShgaJxsi6X6WG7</t>
  </si>
  <si>
    <t>Hospitales/ Clinícas</t>
  </si>
  <si>
    <t>Guillermo Palacios
3146815905
3122875409</t>
  </si>
  <si>
    <t>memito-palacio@hotmail.com</t>
  </si>
  <si>
    <t>Foto: https://oxxo-colombia.oneapp.cl/static/img/Respuesta/62625891/bbb75d22f5b9542c336c0758cfe8f50d.jpg
Foto: https://oxxo-colombia.oneapp.cl/static/img/Respuesta/62625891/cbd83bdd35ee059afb5e2b8722d2af3d.jpg
Foto: https://oxxo-colombia.oneapp.cl/static/img/Respuesta/62625891/6470f7a24b27c5fd93574a90681e8724.jpg</t>
  </si>
  <si>
    <t>alejandror.gomez@oxxo.com</t>
  </si>
  <si>
    <t>16:33</t>
  </si>
  <si>
    <t>Oxxo cra 13</t>
  </si>
  <si>
    <t>Carrera 13</t>
  </si>
  <si>
    <t>Cra 13 no 11-09</t>
  </si>
  <si>
    <t>https://maps.app.goo.gl/ZQgrkgw8KHzSeLA8A?g_st=iw</t>
  </si>
  <si>
    <t>6063344240
@rentamoviliaria</t>
  </si>
  <si>
    <t>Foto: https://oxxo-colombia.oneapp.cl/static/img/Respuesta/62626454/87ed3b5f570cab3e0b3ed0ece0ec96c9.jpg
Foto: https://oxxo-colombia.oneapp.cl/static/img/Respuesta/62626454/bf2a2bd00c8f33ddaa547727910a5c6c.jpg
Foto: https://oxxo-colombia.oneapp.cl/static/img/Respuesta/62626454/21896d185fd26b3fe0f7f9d473c56cf4.jpg</t>
  </si>
  <si>
    <t>cristian.romero@oxxo.com</t>
  </si>
  <si>
    <t>17:11</t>
  </si>
  <si>
    <t>Parque industrial kuma</t>
  </si>
  <si>
    <t>Km 4 via Zipaquirá Bogotá después de el puente de ingreso a Zipaquirá variante Zipaquirá Ubaté vía nacional</t>
  </si>
  <si>
    <t>https://maps.app.goo.gl/a95PSeawc8zDeAyD7</t>
  </si>
  <si>
    <t>Zona Industrial</t>
  </si>
  <si>
    <t>Sin datos de propietario</t>
  </si>
  <si>
    <t>Foto: https://oxxo-colombia.oneapp.cl/static/img/Respuesta/62627287/c1e0834f4cd9b5d4ab1a925f0204f551.jpg
Foto: https://oxxo-colombia.oneapp.cl/static/img/Respuesta/62627287/e677cf39589abe072208cad82b930fa3.jpg
Foto: https://oxxo-colombia.oneapp.cl/static/img/Respuesta/62627287/45ddda7fb96609d51eb557871f1cf18f.jpg</t>
  </si>
  <si>
    <t>daniela.menasse@oxxo.com</t>
  </si>
  <si>
    <t>15/07/2026</t>
  </si>
  <si>
    <t>08:30</t>
  </si>
  <si>
    <t>Santo Tomás</t>
  </si>
  <si>
    <t>Rubio 53</t>
  </si>
  <si>
    <t>Carrera 13#52-30 esquina</t>
  </si>
  <si>
    <t>https://maps.app.goo.gl/ZgYr7gZUWwWBfsNb6?g_st=ic</t>
  </si>
  <si>
    <t>No tengo</t>
  </si>
  <si>
    <t>Foto: https://oxxo-colombia.oneapp.cl/static/img/Respuesta/62673636/9c5c324d38e1b8d01a037616b3a8b20d.jpg</t>
  </si>
  <si>
    <t>Punto ya lo venia trabajando el especialista, llamado chapinero central, el martes se hizo levantamiento</t>
  </si>
  <si>
    <t>08:34</t>
  </si>
  <si>
    <t>Parque Santa Bárbara</t>
  </si>
  <si>
    <t>Parque Santa Barbara 122</t>
  </si>
  <si>
    <t>Calle 122#18b-07</t>
  </si>
  <si>
    <t>https://maps.app.goo.gl/roHspvGqX4kLWBoAA?g_st=ic</t>
  </si>
  <si>
    <t>Foto: https://oxxo-colombia.oneapp.cl/static/img/Respuesta/62673905/121c03b3a3e9f205107fe002e8fb6043.jpg</t>
  </si>
  <si>
    <t>08:39</t>
  </si>
  <si>
    <t>Av cra 15?</t>
  </si>
  <si>
    <t xml:space="preserve">Carrera 15 </t>
  </si>
  <si>
    <t>Av 15#118-93</t>
  </si>
  <si>
    <t>https://maps.app.goo.gl/2TZH47f4N86NTjSb6?g_st=ic</t>
  </si>
  <si>
    <t>Anterior Banco caja social</t>
  </si>
  <si>
    <t>Foto: https://oxxo-colombia.oneapp.cl/static/img/Respuesta/62674064/875b2ce52d5c7099e6bb984754d0bfe0.jpg</t>
  </si>
  <si>
    <t>brayan.ortiz@oxxo.com</t>
  </si>
  <si>
    <t>09:22</t>
  </si>
  <si>
    <t>Tunjuelito</t>
  </si>
  <si>
    <t>Cra 12b 52 80 sur</t>
  </si>
  <si>
    <t>https://maps.app.goo.gl/uNEnpfgoDAbeptMD7?g_st=ac</t>
  </si>
  <si>
    <t>Hogar</t>
  </si>
  <si>
    <t>Zona Residencial</t>
  </si>
  <si>
    <t>w-becerra@hotmail.com</t>
  </si>
  <si>
    <t>Foto: https://oxxo-colombia.oneapp.cl/static/img/Respuesta/62676593/dc0a0774e1cab78bbb958e0b0f01d8b0.jpg
Foto: https://oxxo-colombia.oneapp.cl/static/img/Respuesta/62676593/31fff14c952201a70962b982e5d5b3c2.jpg</t>
  </si>
  <si>
    <t>09:42</t>
  </si>
  <si>
    <t>Le grand</t>
  </si>
  <si>
    <t>Av 116#15-2</t>
  </si>
  <si>
    <t>https://maps.app.goo.gl/37dHFgR4RCV1TvPe8?g_st=ic</t>
  </si>
  <si>
    <t>3142182464
3164705512</t>
  </si>
  <si>
    <t>Foto: https://oxxo-colombia.oneapp.cl/static/img/Respuesta/62677931/f8c06c7abb8003e063af29295ee75181.jpg</t>
  </si>
  <si>
    <t>09:48</t>
  </si>
  <si>
    <t>Pepe av 116</t>
  </si>
  <si>
    <t>Av 116 16-78</t>
  </si>
  <si>
    <t>https://maps.app.goo.gl/FbPpk8UWb766FAqY8?g_st=ic</t>
  </si>
  <si>
    <t>Hay 3 locales desocupados 
2 pegados para que de el área y otro 102 m2</t>
  </si>
  <si>
    <t>https://oxxo-colombia.oneapp.cl/static/img/Respuesta/62678392/15e782c8af7c8926b7b1e25733587063.jpg</t>
  </si>
  <si>
    <t>diana.arevalo@oxxo.com</t>
  </si>
  <si>
    <t>10:38</t>
  </si>
  <si>
    <t>Fusa Sutagao</t>
  </si>
  <si>
    <t xml:space="preserve">Centro Sur </t>
  </si>
  <si>
    <t>EDS Primax - Antigua Panamericana, Arbeláez-Fusagasuga, Fusagasugá, Cundinamarca</t>
  </si>
  <si>
    <t>https://goo.gl/maps/hD1QaqZei8hNKnUy5?g_st=aw</t>
  </si>
  <si>
    <t>Tractorepuestos AL</t>
  </si>
  <si>
    <t>Foto: https://oxxo-colombia.oneapp.cl/static/img/Respuesta/62681026/8324fe22a24dc58b2ad66c11d110f312.jpg
Foto: https://oxxo-colombia.oneapp.cl/static/img/Respuesta/62681026/4fd8b0bcf809f89e1a0941f38c8a9fbf.jpg
Foto: https://oxxo-colombia.oneapp.cl/static/img/Respuesta/62681026/1ad08db0e95687318e1159f636316174.jpg</t>
  </si>
  <si>
    <t>vicky.duque@oxxo.com</t>
  </si>
  <si>
    <t>12:13</t>
  </si>
  <si>
    <t>OXXO 52</t>
  </si>
  <si>
    <t>Carrera 13# 52-22</t>
  </si>
  <si>
    <t>https://maps.app.goo.gl/9rC2X5676JGMq3sp8?g_st=iw</t>
  </si>
  <si>
    <t>Área 182 mt2 sin correo</t>
  </si>
  <si>
    <t>Foto: https://oxxo-colombia.oneapp.cl/static/img/Respuesta/62686014/6dbd8fb9080d7688ce8cb71cea56b527.jpg
Foto: https://oxxo-colombia.oneapp.cl/static/img/Respuesta/62686014/f046b830ba2bdbd6b3408180fb13cd5f.jpg
Foto: https://oxxo-colombia.oneapp.cl/static/img/Respuesta/62686014/c98baeb58a0a870fc200af528455ed55.jpg
Foto: https://oxxo-colombia.oneapp.cl/static/img/Respuesta/62686014/0000eb81142e4097eec73c005b21e8bf.jpg</t>
  </si>
  <si>
    <t>No subido</t>
  </si>
  <si>
    <t>christian.rodriguezmarin@oxxo.com</t>
  </si>
  <si>
    <t>12:22</t>
  </si>
  <si>
    <t>Centro comercial el portico</t>
  </si>
  <si>
    <t>Centro comercial el pórtico Facatativá</t>
  </si>
  <si>
    <t>https://maps.app.goo.gl/XKjbjeAS9omZeFTB7?g_st=iw</t>
  </si>
  <si>
    <t>No</t>
  </si>
  <si>
    <t>Foto: https://oxxo-colombia.oneapp.cl/static/img/Respuesta/62686443/a90e81c94dc88f1e8890866ca6ead133.jpg</t>
  </si>
  <si>
    <t>13:21</t>
  </si>
  <si>
    <t>Chapinero facatativa</t>
  </si>
  <si>
    <t>Hospital San Rafael</t>
  </si>
  <si>
    <t>Calle 1 #3-97</t>
  </si>
  <si>
    <t>https://maps.app.goo.gl/PhzXtYjgkKMemPb39?g_st=iw</t>
  </si>
  <si>
    <t>Foto: https://oxxo-colombia.oneapp.cl/static/img/Respuesta/62688562/e438735fb01f082ec211b3a4bb95d339.jpg
Foto: https://oxxo-colombia.oneapp.cl/static/img/Respuesta/62688562/423a495b6a6da53a709410b462229ac6.jpg</t>
  </si>
  <si>
    <t>danny.perdomo@oxxo.com</t>
  </si>
  <si>
    <t>13:37</t>
  </si>
  <si>
    <t>Pasaje 10.60 Outlet américas</t>
  </si>
  <si>
    <t>Pasaje Américas</t>
  </si>
  <si>
    <t>Cra 60 # 10_ 44 local 105</t>
  </si>
  <si>
    <t>https://maps.app.goo.gl/qaYbvGnqLY1HZztv8</t>
  </si>
  <si>
    <t>3114539386  fabian</t>
  </si>
  <si>
    <t>N.a</t>
  </si>
  <si>
    <t>Foto: https://oxxo-colombia.oneapp.cl/static/img/Respuesta/62688965/d995c3e0c3286247533d8d39dc637eb1.jpg
Foto: https://oxxo-colombia.oneapp.cl/static/img/Respuesta/62688965/9f99eecdf30980371467b2cb45efccea.jpg
Foto: https://oxxo-colombia.oneapp.cl/static/img/Respuesta/62688965/00ef89b64178265da08e02c453365960.jpg
Foto: https://oxxo-colombia.oneapp.cl/static/img/Respuesta/62688965/7167395391292a520b84b0074511333f.jpg</t>
  </si>
  <si>
    <t>Punto se trajo en algun momento y fue negado, Este local se visito el 9 de julio, el tema del esquinero Local 5 tiene una arra de 469 mts y canon de $25.776.000, el tema es que no lo dejan dividir</t>
  </si>
  <si>
    <t>13:43</t>
  </si>
  <si>
    <t>Montecarlo facatativa</t>
  </si>
  <si>
    <t>Calle 2#5-03</t>
  </si>
  <si>
    <t>https://maps.app.goo.gl/8ZCCS79gfk7pGP9C6?g_st=iw</t>
  </si>
  <si>
    <t>3224423373
3046271281</t>
  </si>
  <si>
    <t>Foto: https://oxxo-colombia.oneapp.cl/static/img/Respuesta/62689017/fea367e9b62dc62471c9fa962d583d9c.jpg
Foto: https://oxxo-colombia.oneapp.cl/static/img/Respuesta/62689017/5b31df4943a0eb4751ae327652f8f1f3.jpg</t>
  </si>
  <si>
    <t>19:51</t>
  </si>
  <si>
    <t>OXXO olímpica 53</t>
  </si>
  <si>
    <t>Av calle 53 # av cr 72</t>
  </si>
  <si>
    <t>https://maps.app.goo.gl/RXJBFg5X1vNJ3zZ66?g_st=iw</t>
  </si>
  <si>
    <t>Foto: https://oxxo-colombia.oneapp.cl/static/img/Respuesta/62695036/f1bdc273dfb5e1d12c1ecef6cb3e7a2a.jpg
Foto: https://oxxo-colombia.oneapp.cl/static/img/Respuesta/62695036/1022c0589a128b7e214c0b5dff02b09d.jpg</t>
  </si>
  <si>
    <t>massiel.garzon@oxxo.com</t>
  </si>
  <si>
    <t>19:57</t>
  </si>
  <si>
    <t>Santa Beatriz</t>
  </si>
  <si>
    <t>Cra 15 n 118 93</t>
  </si>
  <si>
    <t>https://maps.app.goo.gl/xqXqLXgy7UCyB6pz9?g_st=ac</t>
  </si>
  <si>
    <t>N/A</t>
  </si>
  <si>
    <t>Foto: https://oxxo-colombia.oneapp.cl/static/img/Respuesta/62695161/307ee68386c324cb589766d182d3dbf3.jpg</t>
  </si>
  <si>
    <t>21:05</t>
  </si>
  <si>
    <t>Citadinno</t>
  </si>
  <si>
    <t>Carrera 13 #33 a - 10</t>
  </si>
  <si>
    <t>https://maps.app.goo.gl/UgKek3eZnzV3KFSy6</t>
  </si>
  <si>
    <t>Foto: https://oxxo-colombia.oneapp.cl/static/img/Respuesta/62695999/d6da005f5521a4d75c851ab9adfd946d.jpg
Foto: https://oxxo-colombia.oneapp.cl/static/img/Respuesta/62695999/84cfcf75c0b9c3d3d25c32e358cd47a9.jpg
Foto: https://oxxo-colombia.oneapp.cl/static/img/Respuesta/62695999/d03028d1788909bd2c38c3e7df9282fe.jpg</t>
  </si>
  <si>
    <t xml:space="preserve">El numero suministrado fuera de servicio, y al parecer el local fue rentado ya </t>
  </si>
  <si>
    <t>16/07/2026</t>
  </si>
  <si>
    <t>09:43</t>
  </si>
  <si>
    <t>Girardot Oasis</t>
  </si>
  <si>
    <t>Carrera 10 # 19 -87  
Centro  comercial Oasis 
Teléfono  8361574</t>
  </si>
  <si>
    <t>https://maps.app.goo.gl/4XVD4C94joAnoLQU8?g_st=aw</t>
  </si>
  <si>
    <t>Es propiedad del centro  comercial local esquinero externo sobre vía principal, la encargada de locales es la señora Maria  3113450659</t>
  </si>
  <si>
    <t>3113450659 teléfono  señora Maria</t>
  </si>
  <si>
    <t>Foto: https://oxxo-colombia.oneapp.cl/static/img/Respuesta/62739297/3a0140b4026d36ec076615208b5286e8.jpg
Foto: https://oxxo-colombia.oneapp.cl/static/img/Respuesta/62739297/00868430b481892c62f5413a5344266f.jpg
Foto: https://oxxo-colombia.oneapp.cl/static/img/Respuesta/62739297/88fdb0d20858968755ff96a142d223c8.jpg
Foto: https://oxxo-colombia.oneapp.cl/static/img/Respuesta/62739297/86a27b789dc32044bf2e7ee6f90ead3e.jpg
Foto: https://oxxo-colombia.oneapp.cl/static/img/Respuesta/62739297/823f5a2c73af364f32b5d7fe9aaa59bf.jpg
Foto: https://oxxo-colombia.oneapp.cl/static/img/Respuesta/62739297/de9afca16655d06bb597ea69835e23ec.jpg</t>
  </si>
  <si>
    <t>13:29</t>
  </si>
  <si>
    <t>Auto 161</t>
  </si>
  <si>
    <t>Cra 45 161 40</t>
  </si>
  <si>
    <t>https://maps.app.goo.gl/5bYucWhBPLEHru7D8</t>
  </si>
  <si>
    <t>Foto: https://oxxo-colombia.oneapp.cl/static/img/Respuesta/62748121/b84838d7b907b803fb8d0920d6242ab2.jpg</t>
  </si>
  <si>
    <t>13:45</t>
  </si>
  <si>
    <t>Siena apartamentos</t>
  </si>
  <si>
    <t>Dg 68 a sur #14 T 20</t>
  </si>
  <si>
    <t>https://maps.app.goo.gl/QEQfuLMTfSvDtyZS7?g_st=ac</t>
  </si>
  <si>
    <t>Foto: https://oxxo-colombia.oneapp.cl/static/img/Respuesta/62748317/3322645e671d2b25cb5eef3ae49b30cc.jpg</t>
  </si>
  <si>
    <t>15:12</t>
  </si>
  <si>
    <t>Pinares</t>
  </si>
  <si>
    <t>Calle 14, esquina de clinica san rafael y megacentro pereira</t>
  </si>
  <si>
    <t>https://maps.app.goo.gl/DsZejbLUvxEXoxAA6?g_st=awb</t>
  </si>
  <si>
    <t>No posee</t>
  </si>
  <si>
    <t>Foto: https://oxxo-colombia.oneapp.cl/static/img/Respuesta/62750692/9c75c5050e5cf978d3e249eef5cd3e90.jpg
Foto: https://oxxo-colombia.oneapp.cl/static/img/Respuesta/62750692/6faf06a410aa2c8c5c95553941512d99.jpg
Foto: https://oxxo-colombia.oneapp.cl/static/img/Respuesta/62750692/150d79d820f4eba8aec47520434195f3.jpg</t>
  </si>
  <si>
    <t>16:55</t>
  </si>
  <si>
    <t>Oxxo Monarca</t>
  </si>
  <si>
    <t>Sector las piñas cerritos, Mall Plaza Monarca</t>
  </si>
  <si>
    <t>https://maps.app.goo.gl/crfJcUJxJcrVFGAw8?g_st=awb</t>
  </si>
  <si>
    <t>Daniel Giraldo Lopez
3156981219</t>
  </si>
  <si>
    <t>dagilo94@hotmail.com</t>
  </si>
  <si>
    <t>Foto: https://oxxo-colombia.oneapp.cl/static/img/Respuesta/62752594/8b65e4ea3b50c310ca2be99f1ce2668a.jpg
Foto: https://oxxo-colombia.oneapp.cl/static/img/Respuesta/62752594/568fe042ea8c0f70a382dd7ee5ffb814.jpg
Foto: https://oxxo-colombia.oneapp.cl/static/img/Respuesta/62752594/295c31e7cef38b5e67a8a2ae606b692f.jpg</t>
  </si>
  <si>
    <t>17:29</t>
  </si>
  <si>
    <t>Capital
En ese punto había un ARA, tiene bahía de parqueo,  cerca esta una sucursal de eps sanitas, edificio capital,  torre sapiencia</t>
  </si>
  <si>
    <t>Auto Norte cra 45 N 122 36</t>
  </si>
  <si>
    <t>https://maps.app.goo.gl/M7GS1t882L9X2s5X7?g_st=ac</t>
  </si>
  <si>
    <t>3102960548
3134539405
3222535839</t>
  </si>
  <si>
    <t>Foto: https://oxxo-colombia.oneapp.cl/static/img/Respuesta/62753216/3b2b19a79c8df3a1b7b1e3a59b46ba4b.jpg</t>
  </si>
  <si>
    <t>21:40</t>
  </si>
  <si>
    <t>Pinar</t>
  </si>
  <si>
    <t>El pinar bog</t>
  </si>
  <si>
    <t>Cra 97b calle 153</t>
  </si>
  <si>
    <t>https://maps.app.goo.gl/Zs8Bp3Xwscm3Lyq39</t>
  </si>
  <si>
    <t>https://oxxo-colombia.oneapp.cl/static/img/Respuesta/62755126/4ed63ced37b89f4a0b1b1e126687e0af.jpg
Foto: https://oxxo-colombia.oneapp.cl/static/img/Respuesta/62755126/4e09e8f4390230f64598fd87a240c9f6.jpg
Foto: https://oxxo-colombia.oneapp.cl/static/img/Respuesta/62755126/06405011868606fa3061b91bf241ecf8.jpg</t>
  </si>
  <si>
    <t>diana.bernal@oxxo.com</t>
  </si>
  <si>
    <t>19/07/2026</t>
  </si>
  <si>
    <t>11:52</t>
  </si>
  <si>
    <t>OXXO ESMERALDA</t>
  </si>
  <si>
    <t>Zipa 11</t>
  </si>
  <si>
    <t>Calle 11 Cra 11 esquina</t>
  </si>
  <si>
    <t>https://maps.app.goo.gl/xG4YUUbdmJKMJHGW8?g_st=aw</t>
  </si>
  <si>
    <t>LUis Alberto Páez</t>
  </si>
  <si>
    <t>https://oxxo-colombia.oneapp.cl/static/img/Respuesta/62915009/fc0338b1145297bcaa7fe7e1a19bac18.jpg</t>
  </si>
  <si>
    <t>29-2026</t>
  </si>
  <si>
    <t>5.027791593988247, -73.99874073746274</t>
  </si>
  <si>
    <t>daniel.panqueba@oxxo.com</t>
  </si>
  <si>
    <t>20/07/2026</t>
  </si>
  <si>
    <t>10:43</t>
  </si>
  <si>
    <t>Hacienda los lagos</t>
  </si>
  <si>
    <t>Carrera 54 D # 200-54</t>
  </si>
  <si>
    <t>https://maps.app.goo.gl/sq7pMrES6283SMyr6?g_st=ac</t>
  </si>
  <si>
    <t>Sin correo</t>
  </si>
  <si>
    <t>Foto: https://oxxo-colombia.oneapp.cl/static/img/Respuesta/62960615/8801b3ddd9ed6187e40704018b2f1392.jpg</t>
  </si>
  <si>
    <t>4.781802983206212, -74.04198865758453</t>
  </si>
  <si>
    <t>11:18</t>
  </si>
  <si>
    <t>Calle 168 # 20-71</t>
  </si>
  <si>
    <t>https://maps.app.goo.gl/mWPt1WTFKARjgwHP6?g_st=ac</t>
  </si>
  <si>
    <t>Foto: https://oxxo-colombia.oneapp.cl/static/img/Respuesta/62961274/6a6cb01e1b5a6340b9373c48063db102.jpg</t>
  </si>
  <si>
    <t>Descartado por punto duplicado (Parque Toberín- Katerin Zorro)</t>
  </si>
  <si>
    <t>11:30</t>
  </si>
  <si>
    <t>Colegio las orquídeas</t>
  </si>
  <si>
    <t>Calle 161 # 16 A -50</t>
  </si>
  <si>
    <t xml:space="preserve">https://maps.app.goo.gl/U51zZk2Qhyu1RYGE8?g_st=ac
</t>
  </si>
  <si>
    <t>Foto: https://oxxo-colombia.oneapp.cl/static/img/Respuesta/62961438/66e0b5625c4e11858657fb9abf2597f6.jpg</t>
  </si>
  <si>
    <t>4.739775161783024, -74.03977905766746</t>
  </si>
  <si>
    <t>11:58</t>
  </si>
  <si>
    <t>Ciudadela la Salle</t>
  </si>
  <si>
    <t>Carrera 10 # 172 B -50</t>
  </si>
  <si>
    <t>https://maps.app.goo.gl/hh9DqoKdf3dEj9zaA?g_st=ac</t>
  </si>
  <si>
    <t>3132739812
Este número lo entrego la administración del conjunto indicandome que ellos como constructora son quienes aún tienen el espacio y lo están terminando 
Es un buen punto , muy bien ubicado y con altísima proyección</t>
  </si>
  <si>
    <t>Foto: https://oxxo-colombia.oneapp.cl/static/img/Respuesta/62961649/0271a83bc51b864d61be563a1521a6aa.jpg
Foto: https://oxxo-colombia.oneapp.cl/static/img/Respuesta/62961649/2977d7b7ca7580190481d2ff03aa6c49.jpg</t>
  </si>
  <si>
    <t>4.754217862074933, -74.0325415577275</t>
  </si>
  <si>
    <t>12:20</t>
  </si>
  <si>
    <t>Torre del reloj</t>
  </si>
  <si>
    <t>Andes Avenida</t>
  </si>
  <si>
    <t>Transversal 60 #103 b - 33</t>
  </si>
  <si>
    <t>https://maps.app.goo.gl/dmeiK9Y56iBqfb7k6?g_st=ac</t>
  </si>
  <si>
    <t>Foto: https://oxxo-colombia.oneapp.cl/static/img/Respuesta/62962139/2dc0881fa48466a7efb2eb5606372e40.jpg
Foto: https://oxxo-colombia.oneapp.cl/static/img/Respuesta/62962139/831cef9c86838823549a2290cad8a43c.jpg</t>
  </si>
  <si>
    <t>12:28</t>
  </si>
  <si>
    <t>El faro</t>
  </si>
  <si>
    <t>Avenida carrera 100 #49-79</t>
  </si>
  <si>
    <t>https://maps.app.goo.gl/p5zUjk4WGLsFS4F36?g_st=ac</t>
  </si>
  <si>
    <t>Foto: https://oxxo-colombia.oneapp.cl/static/img/Respuesta/62962373/8599d006e3407f393b65424c01d3bf3c.jpg
Foto: https://oxxo-colombia.oneapp.cl/static/img/Respuesta/62962373/0b2651d5d6a62132117be1f485cce921.jpg</t>
  </si>
  <si>
    <t>12:34</t>
  </si>
  <si>
    <t>Avenida 100</t>
  </si>
  <si>
    <t>Avenida carrera 100 #49-71</t>
  </si>
  <si>
    <t>https://maps.app.goo.gl/YkLLtdtkCjYSog6J7?g_st=ac</t>
  </si>
  <si>
    <t>Foto: https://oxxo-colombia.oneapp.cl/static/img/Respuesta/62962491/741128f502c6b0deaee305612375db45.jpg
Foto: https://oxxo-colombia.oneapp.cl/static/img/Respuesta/62962491/5ab43e990151593dd48b428700c82364.jpg</t>
  </si>
  <si>
    <t>12:49</t>
  </si>
  <si>
    <t>Santa barbara 109</t>
  </si>
  <si>
    <t>Carrera 17 #109 -21</t>
  </si>
  <si>
    <t>https://maps.app.goo.gl/9gYzbHpcbRQwNBec9?g_st=ac</t>
  </si>
  <si>
    <t>Foto: https://oxxo-colombia.oneapp.cl/static/img/Respuesta/62962673/39e0dad2ac948f6f82c6e935f31cfbff.jpg
Foto: https://oxxo-colombia.oneapp.cl/static/img/Respuesta/62962673/bbf64a867d5d4aad62898c28df60600e.jpg</t>
  </si>
  <si>
    <t>ya está en proceso para ser presentado al comité, el dia 12 de agosto se hara visita de arquitectura</t>
  </si>
  <si>
    <t>13:00</t>
  </si>
  <si>
    <t>Living 109</t>
  </si>
  <si>
    <t>Cra 19 #109-40</t>
  </si>
  <si>
    <t>https://maps.app.goo.gl/nkuWwF8dxLDuY6YZ9?g_st=ac</t>
  </si>
  <si>
    <t>Foto: https://oxxo-colombia.oneapp.cl/static/img/Respuesta/62962924/dcbcce1889cefe8bd7b3c0f61ac28a80.jpg
Foto: https://oxxo-colombia.oneapp.cl/static/img/Respuesta/62962924/3657364ab4ca218b91fe6bcf5ea01495.jpg</t>
  </si>
  <si>
    <t>13:12</t>
  </si>
  <si>
    <t>Pepe sierra 116</t>
  </si>
  <si>
    <t>Calle 116 #16-78</t>
  </si>
  <si>
    <t>https://maps.app.goo.gl/ycEJu2jwy79qR4py8?g_st=ac</t>
  </si>
  <si>
    <t>Foto: https://oxxo-colombia.oneapp.cl/static/img/Respuesta/62963260/f15bc7658b69abe02fc129784d008720.jpg
Foto: https://oxxo-colombia.oneapp.cl/static/img/Respuesta/62963260/d80490b685ecc44ad7e1ab7d03a1c36c.jpg
Foto: https://oxxo-colombia.oneapp.cl/static/img/Respuesta/62963260/d263ff39f1af739bfdc9dec724f94997.jpg</t>
  </si>
  <si>
    <t>Descartado por punto duplicado (Pepe av 116- Daniela Menasse)</t>
  </si>
  <si>
    <t>diana.araque@oxxo.com</t>
  </si>
  <si>
    <t>21/07/2026</t>
  </si>
  <si>
    <t>10:32</t>
  </si>
  <si>
    <t>FONTANA</t>
  </si>
  <si>
    <t>Cra. 19 #102-40, Bucaramanga, Santander</t>
  </si>
  <si>
    <t>https://maps.app.goo.gl/tguqLex5RC5W2E976?g_st=ac</t>
  </si>
  <si>
    <t>comercialarcof1@gmail.com</t>
  </si>
  <si>
    <t>https://oxxo-colombia.oneapp.cl/static/img/Respuesta/63022672/81fa2636d53ac76f36319b19b4479d70.jpg
Foto: https://oxxo-colombia.oneapp.cl/static/img/Respuesta/63022672/e55130858a347b5a12c60aea2693c797.jpg
Foto: https://oxxo-colombia.oneapp.cl/static/img/Respuesta/63022672/56a8eafbcc939e8d460c1e7bfa6329a8.jpg</t>
  </si>
  <si>
    <t>dany.ospina@oxxo.com</t>
  </si>
  <si>
    <t>12:54</t>
  </si>
  <si>
    <t>San jose sur</t>
  </si>
  <si>
    <t>Calle 27 sur 12-78</t>
  </si>
  <si>
    <t>https://maps.app.goo.gl/Re2hX3yEGKe3qDFh6</t>
  </si>
  <si>
    <t>Melba cristina salamanca Bonilla</t>
  </si>
  <si>
    <t>Jenicita15@yahoo.es</t>
  </si>
  <si>
    <t>Foto: https://oxxo-colombia.oneapp.cl/static/img/Respuesta/63028228/15ec112ce4d8895782a461b65897cddb.jpg</t>
  </si>
  <si>
    <t>diana.becerramelo@oxxo.com</t>
  </si>
  <si>
    <t>13:54</t>
  </si>
  <si>
    <t>CC punto 72</t>
  </si>
  <si>
    <t>Av cali calle 72</t>
  </si>
  <si>
    <t>https://maps.app.goo.gl/JSyt4qJYuenXjgtm6</t>
  </si>
  <si>
    <t>Foto: https://oxxo-colombia.oneapp.cl/static/img/Respuesta/63029551/d98bfed266cbf8485dca7253639141e0.jpg
Foto: https://oxxo-colombia.oneapp.cl/static/img/Respuesta/63029551/0969a210ef7a75b7979f03383c9a274e.jpg</t>
  </si>
  <si>
    <t>Zona CC Punto 72 descartado por infraestructura, se estaba aprobado como Punto 72 de Caro si se tomaba también el local del lado pero no fue posible</t>
  </si>
  <si>
    <t>14:22</t>
  </si>
  <si>
    <t>Centro servicio los sauces lebrija</t>
  </si>
  <si>
    <t>Los Sauces Lebrija</t>
  </si>
  <si>
    <t>Centro de servicio los sauces municipio lebrija santander</t>
  </si>
  <si>
    <t>https://maps.app.goo.gl/Fqt5xWrLJWy62G8s6?g_st=iwb</t>
  </si>
  <si>
    <t>Natalia roncancio
Nataliaroncancio123@gmail.com</t>
  </si>
  <si>
    <t>Foto: https://oxxo-colombia.oneapp.cl/static/img/Respuesta/63030372/36558cfdd4e236b839665b1755181b1f.jpg</t>
  </si>
  <si>
    <t>yury.sanchez@oxxo.com</t>
  </si>
  <si>
    <t>16:42</t>
  </si>
  <si>
    <t>Andatti HIC</t>
  </si>
  <si>
    <t>Vereda Mensuly # km 7, piedecuesta</t>
  </si>
  <si>
    <t>https://maps.app.goo.gl/kAT7PsDEWgBy4ckM7?g_st=aw</t>
  </si>
  <si>
    <t>3002843683
Isabel pinto</t>
  </si>
  <si>
    <t>No aplica</t>
  </si>
  <si>
    <t>Foto: https://oxxo-colombia.oneapp.cl/static/img/Respuesta/63033754/d7a44baf35aab8b61733b83d317a06b0.jpg
Foto: https://oxxo-colombia.oneapp.cl/static/img/Respuesta/63033754/7b2d6e594e3a76901da0f70ea2d01f3f.jpg</t>
  </si>
  <si>
    <t>17:33</t>
  </si>
  <si>
    <t>Oxxo parnaso</t>
  </si>
  <si>
    <t>Cra 18 a n 61 06 parnaso
Calle 61 n 18b 07 parnaso</t>
  </si>
  <si>
    <t>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</t>
  </si>
  <si>
    <t>Roberth Alvarez
Cel: 3185579848</t>
  </si>
  <si>
    <t>NA</t>
  </si>
  <si>
    <t>Foto: https://oxxo-colombia.oneapp.cl/static/img/Respuesta/63035030/eb712607b0619306c8ea76066cb9a411.jpg
Foto: https://oxxo-colombia.oneapp.cl/static/img/Respuesta/63035030/e95ec3015a5d9b7517a96ede710d0d7a.jpg</t>
  </si>
  <si>
    <t>20:18</t>
  </si>
  <si>
    <t>Calle 11</t>
  </si>
  <si>
    <t>Calle 11# 22-04 esquina Barrio san francisco</t>
  </si>
  <si>
    <t>https://maps.app.goo.gl/e6zYrkzXtHa5ac9T9?g_st=iw</t>
  </si>
  <si>
    <t>3182544040- 3150475053
HERNANDO RODRIGUEZ PATIÑO</t>
  </si>
  <si>
    <t>Hrodriguezconta@gmail.com</t>
  </si>
  <si>
    <t>Foto: https://oxxo-colombia.oneapp.cl/static/img/Respuesta/63037142/c765f8f8aa56ed352238cdb0c4651b44.jpg
Foto: https://oxxo-colombia.oneapp.cl/static/img/Respuesta/63037142/7b486301a008d088374c82bd30ac2b05.jpg</t>
  </si>
  <si>
    <t>22/07/2026</t>
  </si>
  <si>
    <t>16:13</t>
  </si>
  <si>
    <t>EDS SAN FERNANDO</t>
  </si>
  <si>
    <t>Cra. 57 #68-27, Bogotá</t>
  </si>
  <si>
    <t>PEDRO MORENO SUAREZ</t>
  </si>
  <si>
    <t>https://maps.app.goo.gl/6YBR9JYLZWtzb83y7?g_st=ac</t>
  </si>
  <si>
    <t>Foto: https://oxxo-colombia.oneapp.cl/static/img/Respuesta/63102363/e13cae0c9439d46f1a63203b6fc43080.jpg
Foto: https://oxxo-colombia.oneapp.cl/static/img/Respuesta/63102363/d37c621d8eb87ff59d04ddb294a7e4c1.jpg
Foto: https://oxxo-colombia.oneapp.cl/static/img/Respuesta/63102363/b6077fea768c969e1647f1b8dca1d13f.jpg</t>
  </si>
  <si>
    <t>16:57</t>
  </si>
  <si>
    <t>Campus</t>
  </si>
  <si>
    <t>Cl. 68b # 68A-35, Engativá, Bogotá</t>
  </si>
  <si>
    <t>https://maps.app.goo.gl/EyCAWArR3m9TpYUx7?g_st=ac</t>
  </si>
  <si>
    <t>Centros Educativos</t>
  </si>
  <si>
    <t>No cuenta</t>
  </si>
  <si>
    <t>Foto: https://oxxo-colombia.oneapp.cl/static/img/Respuesta/63103282/805a307f089ae21f717810c4c5685458.jpg
Foto: https://oxxo-colombia.oneapp.cl/static/img/Respuesta/63103282/b49bfc6562cdfa93c7028bbd312ee339.jpg</t>
  </si>
  <si>
    <t>17:06</t>
  </si>
  <si>
    <t>Campus Compensar</t>
  </si>
  <si>
    <t>Av. 68 #68b-10, Bogotá</t>
  </si>
  <si>
    <t>https://maps.app.goo.gl/wbcjBnHS4KwUYnNN9?g_st=ac</t>
  </si>
  <si>
    <t>No tiene</t>
  </si>
  <si>
    <t>Foto: https://oxxo-colombia.oneapp.cl/static/img/Respuesta/63103379/879e90a19957c356f0e0f03fa10b0623.jpg
Foto: https://oxxo-colombia.oneapp.cl/static/img/Respuesta/63103379/aae55205a69bada077b9965a7ca22d29.jpg</t>
  </si>
  <si>
    <t>andres.ortiz@oxxo.com</t>
  </si>
  <si>
    <t>17:56</t>
  </si>
  <si>
    <t>Centro Suba</t>
  </si>
  <si>
    <t>https://maps.app.goo.gl/TCHUdwg6A8YgVuCz5?g_st=ac</t>
  </si>
  <si>
    <t>6017447577 ext. 101</t>
  </si>
  <si>
    <t>Analistacomercial@centrosuba.com</t>
  </si>
  <si>
    <t>Foto: https://oxxo-colombia.oneapp.cl/static/img/Respuesta/63104136/8830531906816548589e2ebf7962c632.jpg
Foto: https://oxxo-colombia.oneapp.cl/static/img/Respuesta/63104136/f60c7ae18db0a2c8b38cb5a301207bdd.jpg
Foto: https://oxxo-colombia.oneapp.cl/static/img/Respuesta/63104136/bdaf13cf7a54a5e262ee11a96c734d6a.jpg</t>
  </si>
  <si>
    <t>18:47</t>
  </si>
  <si>
    <t>Oxxo cuba</t>
  </si>
  <si>
    <t>Cra. 26 Bis # 71-73, Pereira, Risaralda</t>
  </si>
  <si>
    <t>YESENIA ARIZTIZABAL ALZATE</t>
  </si>
  <si>
    <t>https://share.google/CPQ8CQuA70rGqPrMw</t>
  </si>
  <si>
    <t>Zona de Transporte Público</t>
  </si>
  <si>
    <t>Foto: https://oxxo-colombia.oneapp.cl/static/img/Respuesta/63104750/ef3a8d39358b32f701fddadc9d3f29cb.jpg
Foto: https://oxxo-colombia.oneapp.cl/static/img/Respuesta/63104750/bcb7187031b8414d4079f30796859c38.jpg
Foto: https://oxxo-colombia.oneapp.cl/static/img/Respuesta/63104750/492725e73708efc02fbd4d8d55f1652e.jpg
Foto: https://oxxo-colombia.oneapp.cl/static/img/Respuesta/63104750/3330383ca4366c1b0790adcda94490c8.jpg
Foto: https://oxxo-colombia.oneapp.cl/static/img/Respuesta/63104750/0fafba6024d5d26375653d9db8317f8b.jpg</t>
  </si>
  <si>
    <t>20:10</t>
  </si>
  <si>
    <t>Suba Acuarela</t>
  </si>
  <si>
    <t xml:space="preserve">Ac 145 #92 - 30 </t>
  </si>
  <si>
    <t>https://maps.app.goo.gl/BeTGCR24bq6FqSRe8?g_st=ac</t>
  </si>
  <si>
    <t>Foto: https://oxxo-colombia.oneapp.cl/static/img/Respuesta/63105738/863419e6033867a5b4470c295b65cb58.jpg</t>
  </si>
  <si>
    <t>4.7388603931210005, -74.08629502884321</t>
  </si>
  <si>
    <t>20:26</t>
  </si>
  <si>
    <t>Suba Piloto</t>
  </si>
  <si>
    <t>Cra. 118 #132a-13, Bogotá</t>
  </si>
  <si>
    <t>https://maps.app.goo.gl/BKx91rDJ4CJKfCNt7?g_st=ac</t>
  </si>
  <si>
    <t>Na</t>
  </si>
  <si>
    <t>Foto: https://oxxo-colombia.oneapp.cl/static/img/Respuesta/63105816/a9cd1bb35b449123912cebbafd048567.jpg
Foto: https://oxxo-colombia.oneapp.cl/static/img/Respuesta/63105816/7eb12e7051609ff2f8add6ad4ac9eab3.jpg
Foto: https://oxxo-colombia.oneapp.cl/static/img/Respuesta/63105816/4f005d03ac24dfb04fee2231c12f4f29.jpg</t>
  </si>
  <si>
    <t>4.738428961750473, -74.10561618650813</t>
  </si>
  <si>
    <t>20:31</t>
  </si>
  <si>
    <t>Ilarco</t>
  </si>
  <si>
    <t>Av Suba #115-58, Bogotá</t>
  </si>
  <si>
    <t>JUAN QUIROGA</t>
  </si>
  <si>
    <t>https://maps.app.goo.gl/3zpfDx5Jekfv4v86A?g_st=ac</t>
  </si>
  <si>
    <t>Foto: https://oxxo-colombia.oneapp.cl/static/img/Respuesta/63105863/9a2ee0e114d799b3eb6d0c4c6dfc4dc4.jpg
Foto: https://oxxo-colombia.oneapp.cl/static/img/Respuesta/63105863/5dfb36936e6cb77192df2893aec9daa1.jpg
Foto: https://oxxo-colombia.oneapp.cl/static/img/Respuesta/63105863/bb38ed20a5dbc308275476604cddba6c.jpg</t>
  </si>
  <si>
    <t>4.698999960838861, -74.06954454233055</t>
  </si>
  <si>
    <t>20:44</t>
  </si>
  <si>
    <t>Mandalay</t>
  </si>
  <si>
    <t>Cl. 2 # 73b 39, Kennedy, Bogotá</t>
  </si>
  <si>
    <t>https://maps.app.goo.gl/XQdTnYufh5YeLTcXA?g_st=ac</t>
  </si>
  <si>
    <t>joseggordillo@gmail.com</t>
  </si>
  <si>
    <t>Foto: https://oxxo-colombia.oneapp.cl/static/img/Respuesta/63106181/53bbeb64db9a1e79aee0bb1d17a0db5e.jpg
Foto: https://oxxo-colombia.oneapp.cl/static/img/Respuesta/63106181/102b5a3337dee803bb88e6ae8403b808.jpg
Foto: https://oxxo-colombia.oneapp.cl/static/img/Respuesta/63106181/35e9cceb82dff20f13d33ca56c59a3be.jpg
Foto: https://oxxo-colombia.oneapp.cl/static/img/Respuesta/63106181/047019f37a472e61efed9140c3474d30.jpg</t>
  </si>
  <si>
    <t>4.6240111347916, -74.14309515767714</t>
  </si>
  <si>
    <t>23/07/2026</t>
  </si>
  <si>
    <t>11:29</t>
  </si>
  <si>
    <t>Circunvalar intersección</t>
  </si>
  <si>
    <t>Cra. 13 #11-31, Pereira, Risaralda</t>
  </si>
  <si>
    <t>https://maps.app.goo.gl/BS9YHfeBx8LigNK16?g_st=aw</t>
  </si>
  <si>
    <t>Zona Administrativa</t>
  </si>
  <si>
    <t>6063344240
3009121600</t>
  </si>
  <si>
    <t>www.rentainmobiliaria.com</t>
  </si>
  <si>
    <t>Foto: https://oxxo-colombia.oneapp.cl/static/img/Respuesta/63158543/9810a680f4f88d4e6c8be1d1782908f5.jpg</t>
  </si>
  <si>
    <t>4.808281963380165, -75.68834972883444</t>
  </si>
  <si>
    <t>Descartado por punto duplicado (Oxxo cra 13- Alejandro Gomez)</t>
  </si>
  <si>
    <t>ernesto.latorre@oxxo.com</t>
  </si>
  <si>
    <t>12:14</t>
  </si>
  <si>
    <t>Edificio Tequendama Calle 100</t>
  </si>
  <si>
    <t>Tequendama 100</t>
  </si>
  <si>
    <t>Ac. 100 #11A-51, Bogotá</t>
  </si>
  <si>
    <t>https://maps.app.goo.gl/PE1f4S4YcVUUo6e98?g_st=ac</t>
  </si>
  <si>
    <t>www.gnbsudameris.com.co</t>
  </si>
  <si>
    <t>Foto: https://oxxo-colombia.oneapp.cl/static/img/Respuesta/63160024/372397dc164e9f428f9e1d436dc1293c.jpg
Foto: https://oxxo-colombia.oneapp.cl/static/img/Respuesta/63160024/9c4d3f7fd9308fd969bad057b88620c4.jpg
Foto: https://oxxo-colombia.oneapp.cl/static/img/Respuesta/63160024/93a41d7f180ce765672bbc88b608f2a3.jpg</t>
  </si>
  <si>
    <t>4.682833960466399, -74.04458175766959</t>
  </si>
  <si>
    <t>17:25</t>
  </si>
  <si>
    <t>Industrial AC</t>
  </si>
  <si>
    <t>https://maps.app.goo.gl/iQjt8Ebm6H8CuvqJ8?g_st=ac</t>
  </si>
  <si>
    <t>Foto: https://oxxo-colombia.oneapp.cl/static/img/Respuesta/63170378/4b7d83cae36bd3b56b5223a303d5741e.jpg
Foto: https://oxxo-colombia.oneapp.cl/static/img/Respuesta/63170378/8f095f0db6f437786bab9652af214bc1.jpg</t>
  </si>
  <si>
    <t>francisco.gomezgrajales@oxxo.com</t>
  </si>
  <si>
    <t>17:37</t>
  </si>
  <si>
    <t>Ciudad jardín sur</t>
  </si>
  <si>
    <t xml:space="preserve">Ciudad Salitre </t>
  </si>
  <si>
    <t>Cra. 12c #17-07 sur, Bogotá</t>
  </si>
  <si>
    <t>https://maps.app.goo.gl/974Kc9pnwF5W8VPB9?g_st=aw</t>
  </si>
  <si>
    <t>Spabalanceperfecto.bogota@gmail.com</t>
  </si>
  <si>
    <t>Foto: https://oxxo-colombia.oneapp.cl/static/img/Respuesta/63170723/6312aa5d086347342ecf73aadd382c54.jpg
Foto: https://oxxo-colombia.oneapp.cl/static/img/Respuesta/63170723/5c54c8d70bd8a08cce7458dee02778ed.jpg</t>
  </si>
  <si>
    <t>4.581879147272417, -74.09702741534957</t>
  </si>
  <si>
    <t>18:55</t>
  </si>
  <si>
    <t>Comercial Molinos</t>
  </si>
  <si>
    <t>Calle 30 #30 04</t>
  </si>
  <si>
    <t>DIEGO RODRIGUEZ ESTEBAN</t>
  </si>
  <si>
    <t>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</t>
  </si>
  <si>
    <t>Foto: https://oxxo-colombia.oneapp.cl/static/img/Respuesta/63172270/9c2813dede708f4ff65dcc136a20d8d7.jpg
Foto: https://oxxo-colombia.oneapp.cl/static/img/Respuesta/63172270/f90569968d9a2605648e11719142d1fe.jpg</t>
  </si>
  <si>
    <t>7.070605485983002, -73.10553905819518</t>
  </si>
  <si>
    <t>Local dentro de centro comercial , se debe pasar para nuevos formatos</t>
  </si>
  <si>
    <t>19:25</t>
  </si>
  <si>
    <t>Santa isabela calle 3</t>
  </si>
  <si>
    <t>https://maps.app.goo.gl/mPEriJi82CJKdctc8?g_st=ac</t>
  </si>
  <si>
    <t>Foto: https://oxxo-colombia.oneapp.cl/static/img/Respuesta/63172624/16f64a1b013fa137a3baca6a7f2f9605.jpg
Foto: https://oxxo-colombia.oneapp.cl/static/img/Respuesta/63172624/4133496338cc64e8f89aa12e3b652549.jpg</t>
  </si>
  <si>
    <t>24/07/2026</t>
  </si>
  <si>
    <t>07:20</t>
  </si>
  <si>
    <t>Boyacá calle 54</t>
  </si>
  <si>
    <t>Cra. 72 #Calle 54, Engativá</t>
  </si>
  <si>
    <t>https://maps.app.goo.gl/WcJZpZR1WDn3aMew7?g_st=ac</t>
  </si>
  <si>
    <t>3224263319 -321 4619461</t>
  </si>
  <si>
    <t>Foto: https://oxxo-colombia.oneapp.cl/static/img/Respuesta/63210605/87bb73effdd53d613d5e5d89237a72c5.jpg
Foto: https://oxxo-colombia.oneapp.cl/static/img/Respuesta/63210605/e9281d24a03f80e79fb6308f61ade15c.jpg</t>
  </si>
  <si>
    <t>4.67096763143146, -74.10627311627897</t>
  </si>
  <si>
    <t>juan.garciadiaz@oxxo.com</t>
  </si>
  <si>
    <t>13:14</t>
  </si>
  <si>
    <t>Estadio</t>
  </si>
  <si>
    <t>Diamante 74</t>
  </si>
  <si>
    <t>https://maps.app.goo.gl/9xoNxA6hMPpPfmUY7</t>
  </si>
  <si>
    <t>Foto: https://oxxo-colombia.oneapp.cl/static/img/Respuesta/63229185/70932c80ebd1b4397c05c529e13148d2.jpg</t>
  </si>
  <si>
    <t>14:19</t>
  </si>
  <si>
    <t>Edificio Messina</t>
  </si>
  <si>
    <t>Cra 19 #9352, Bogotá</t>
  </si>
  <si>
    <t>https://maps.app.goo.gl/qVPDTGyYWwahjkAp7?g_st=ac</t>
  </si>
  <si>
    <t>3004937535- 3102305745</t>
  </si>
  <si>
    <t>www.miamibrokersmbc.com</t>
  </si>
  <si>
    <t>Foto: https://oxxo-colombia.oneapp.cl/static/img/Respuesta/63231681/cc4b2aa03dc9b3c26c45ec24759218c2.jpg
Foto: https://oxxo-colombia.oneapp.cl/static/img/Respuesta/63231681/ace220beb318ccf86769f09b1b7dd88d.jpg</t>
  </si>
  <si>
    <t>4.678926908067848, -74.05448047647374</t>
  </si>
  <si>
    <t>lorena.beltran@oxxo.com</t>
  </si>
  <si>
    <t>La Aldea</t>
  </si>
  <si>
    <t>Kilómetro 7 vía Pereira a Armenia</t>
  </si>
  <si>
    <t>https://maps.app.goo.gl/JrkTt1eXML1QMxUc8</t>
  </si>
  <si>
    <t>Foto: https://oxxo-colombia.oneapp.cl/static/img/Respuesta/63234280/1eb00ebff368e6719f9c1bc3b3edb8fd.jpg</t>
  </si>
  <si>
    <t>john.espinosa@oxxo.com</t>
  </si>
  <si>
    <t>EDS la pista</t>
  </si>
  <si>
    <t>https://maps.app.goo.gl/kzskW8qdvmWNrmtU8?g_st=iw</t>
  </si>
  <si>
    <t>Receso</t>
  </si>
  <si>
    <t>‪315 3217754‬</t>
  </si>
  <si>
    <t>Dante.sandra72@gmail.com</t>
  </si>
  <si>
    <t>Foto: https://oxxo-colombia.oneapp.cl/static/img/Respuesta/63234643/fc05e86c5b9aa2c4db94266f19506d37.jpg</t>
  </si>
  <si>
    <t>Tabora 77</t>
  </si>
  <si>
    <t>https://maps.app.goo.gl/bgEumNMMgswLuWug8</t>
  </si>
  <si>
    <t>Foto: https://oxxo-colombia.oneapp.cl/static/img/Respuesta/63235378/ba7e80d8123a945309a14b94fa26aff4.jpg</t>
  </si>
  <si>
    <t>ana.gonzalez@oxxo.com</t>
  </si>
  <si>
    <t>Carrera 15 con 117</t>
  </si>
  <si>
    <t>https://maps.app.goo.gl/jdeQFRYYpEDtfF3c8</t>
  </si>
  <si>
    <t>Foto: https://oxxo-colombia.oneapp.cl/static/img/Respuesta/63235652/1fb2d400043bca38cf104da0f63ee849.jpg</t>
  </si>
  <si>
    <t>Punto duplicado y descartado (Av cra 15- Daniela Menasse)</t>
  </si>
  <si>
    <t>Oxxo Altamar</t>
  </si>
  <si>
    <t>Cra91#127c25</t>
  </si>
  <si>
    <t>https://maps.app.goo.gl/PxTZKoG3Fzs2hRSV6?g_st=ac</t>
  </si>
  <si>
    <t>Foto: https://oxxo-colombia.oneapp.cl/static/img/Respuesta/63235704/1cbcf88bc193677f42e920ff2e2cedc4.jpg</t>
  </si>
  <si>
    <t>Carrera 15 -116</t>
  </si>
  <si>
    <t>https://maps.app.goo.gl/8mb4UcCPc2SYD4bm7</t>
  </si>
  <si>
    <t>3204994000 - 3229007098</t>
  </si>
  <si>
    <t>Foto: https://oxxo-colombia.oneapp.cl/static/img/Respuesta/63235758/c10391636aa52d896f9c53fc97b340ed.jpg</t>
  </si>
  <si>
    <t>Cerros de suba</t>
  </si>
  <si>
    <t>https://maps.app.goo.gl/FtHvRa2r8ixdKF4D6?g_st=ac</t>
  </si>
  <si>
    <t>601 7042160</t>
  </si>
  <si>
    <t>Cerrosdesubaph@gmail.com</t>
  </si>
  <si>
    <t>Foto: https://oxxo-colombia.oneapp.cl/static/img/Respuesta/63235871/7145912e4d14bfd5caa7936f3a4fec12.jpg</t>
  </si>
  <si>
    <t>omar.beltrannovoa@oxxo.com</t>
  </si>
  <si>
    <t>Fontibón la Cabaña</t>
  </si>
  <si>
    <t>https://maps.app.goo.gl/SZ1jnkoZu5dSkpNk6</t>
  </si>
  <si>
    <t>Nixon Rojas</t>
  </si>
  <si>
    <t>nixon1869@gmail.com</t>
  </si>
  <si>
    <t>Foto: https://oxxo-colombia.oneapp.cl/static/img/Respuesta/63235847/6b506c7cab4e01f44d9398d3f2f8e012.jpg</t>
  </si>
  <si>
    <t>116 con 16</t>
  </si>
  <si>
    <t>https://maps.app.goo.gl/We16jmS8NyUGf58B9?g_st=ac</t>
  </si>
  <si>
    <t>Foto: https://oxxo-colombia.oneapp.cl/static/img/Respuesta/63236023/ac75ede8715a9f362f4a8edbdac1b1ba.jpg</t>
  </si>
  <si>
    <t>Santa Helena cr 80</t>
  </si>
  <si>
    <t>Santa Real 80</t>
  </si>
  <si>
    <t>Cr 80 no 71 14</t>
  </si>
  <si>
    <t>https://maps.app.goo.gl/5mWFmMDmeqUZdebx5?g_st=ac</t>
  </si>
  <si>
    <t>No se tiene</t>
  </si>
  <si>
    <t>Foto: https://oxxo-colombia.oneapp.cl/static/img/Respuesta/63236045/61f38cb8a2537eb126a93f4752a4f3cf.jpg</t>
  </si>
  <si>
    <t>Av cali 46 sur</t>
  </si>
  <si>
    <t>Av cali no 43 sur 46</t>
  </si>
  <si>
    <t>https://maps.app.goo.gl/PMevYe65TjPxJGpC6?g_st=ac</t>
  </si>
  <si>
    <t>Foto: https://oxxo-colombia.oneapp.cl/static/img/Respuesta/63236068/c868ccb2be43c2d4111c12a827094da7.jpg</t>
  </si>
  <si>
    <t>Calle 72</t>
  </si>
  <si>
    <t>https://maps.app.goo.gl/HzUx1Jk4129XH5uB8</t>
  </si>
  <si>
    <t>Foto: https://oxxo-colombia.oneapp.cl/static/img/Respuesta/63236267/086de637da14c4093d2c2bbe9e337aab.jpg</t>
  </si>
  <si>
    <t>Vasquez Cobos (Cali)</t>
  </si>
  <si>
    <t>Avenida 2 B Norte # 25 N 15</t>
  </si>
  <si>
    <t>https://maps.app.goo.gl/7u7woAW25HSBe6hF7</t>
  </si>
  <si>
    <t>Foto: https://oxxo-colombia.oneapp.cl/static/img/Respuesta/63283434/7cc75b63444a0be61f41df29f8e2f7fe.jpg</t>
  </si>
  <si>
    <t>oscar.ramirez@oxxo.com</t>
  </si>
  <si>
    <t>Oxxo Venecia</t>
  </si>
  <si>
    <t>Claret 45 sur</t>
  </si>
  <si>
    <t>Diagonal 45 sur # 53-26</t>
  </si>
  <si>
    <t>https://waze.com/ul?a=share_drive&amp;locale=en&amp;sd=8V1N9lyGxeYy2cyyFQ-sd&amp;env=row&amp;utm_source=waze_app&amp;utm_campaign=share_drive</t>
  </si>
  <si>
    <t>Foto: https://oxxo-colombia.oneapp.cl/static/img/Respuesta/63290615/fe38ff36a53c7b1ce4c348c31beafeea.jpg</t>
  </si>
  <si>
    <t>fabian.cardozo@oxxo.com</t>
  </si>
  <si>
    <t>Bochalema plaza</t>
  </si>
  <si>
    <t>Calle 25 -109, vía jamundi cali</t>
  </si>
  <si>
    <t>https://maps.app.goo.gl/xLtFdzwmwgZb9LkR8?g_st=ac</t>
  </si>
  <si>
    <t>Foto: https://oxxo-colombia.oneapp.cl/static/img/Respuesta/63291098/925b5afb34e9d861486cda56304edf36.jpg</t>
  </si>
  <si>
    <t>Eds Calle 45</t>
  </si>
  <si>
    <t>Av quito (cr 30) con cr 45</t>
  </si>
  <si>
    <t>https://maps.app.goo.gl/MUSPvnJZHx1MypYo7?g_st=ac</t>
  </si>
  <si>
    <t>Foto: https://oxxo-colombia.oneapp.cl/static/img/Respuesta/63293537/48e2c5117bc1a0a0052f685f2e7aa552.jpg</t>
  </si>
  <si>
    <t>Especialista comenta que hace un tiempo llego y fue negado</t>
  </si>
  <si>
    <t>San fernando 72</t>
  </si>
  <si>
    <t>Calle 7269b 42</t>
  </si>
  <si>
    <t>https://maps.app.goo.gl/j5WYVr4kxC7cGkAD7?g_st=ac</t>
  </si>
  <si>
    <t>Foto: https://oxxo-colombia.oneapp.cl/static/img/Respuesta/63293647/9188c0495b21b3c3d21ec7a66cbd5560.jpg</t>
  </si>
  <si>
    <t>Española 76</t>
  </si>
  <si>
    <t>Trans v 76 83a 83</t>
  </si>
  <si>
    <t>https://maps.app.goo.gl/qQ9pDY39yvugjvXw6?g_st=ac</t>
  </si>
  <si>
    <t>Foto: https://oxxo-colombia.oneapp.cl/static/img/Respuesta/63293713/30ff14b7ee68ac494983b41968add7a0.jpg</t>
  </si>
  <si>
    <t>Nuestro cartago</t>
  </si>
  <si>
    <t>Centro comercial nuestro cartago local 101 abc</t>
  </si>
  <si>
    <t>https://maps.app.goo.gl/nQ6xyUovd2K1PQVV8</t>
  </si>
  <si>
    <t>Centro comercial nuestro</t>
  </si>
  <si>
    <t>Foto: https://oxxo-colombia.oneapp.cl/static/img/Respuesta/63294087/8e132cc7d7522521b5f96d14bd4e2184.jpg</t>
  </si>
  <si>
    <t>Cascabel cartago</t>
  </si>
  <si>
    <t>Carrera 2 28-173 cartago valle</t>
  </si>
  <si>
    <t>https://maps.app.goo.gl/fo9rHJK6f2fgyKv67?g_st=ac</t>
  </si>
  <si>
    <t>Laura Rodriguez 3137283885</t>
  </si>
  <si>
    <t>No correo</t>
  </si>
  <si>
    <t>Foto: https://oxxo-colombia.oneapp.cl/static/img/Respuesta/63294600/7253b93995d8241c71ecc67ada873de3.jpg</t>
  </si>
  <si>
    <t>Cascabel 2</t>
  </si>
  <si>
    <t>Carrera 2 calle 25</t>
  </si>
  <si>
    <t>https://maps.app.goo.gl/DcaXAMLmX1ce6YETA?g_st=ac</t>
  </si>
  <si>
    <t>Laura rodriguez 3137283885</t>
  </si>
  <si>
    <t>Foto: https://oxxo-colombia.oneapp.cl/static/img/Respuesta/63294622/fccf04f93e0c28772b29a0162ac620e3.jpg</t>
  </si>
  <si>
    <t>Parque Bolívar Cartago</t>
  </si>
  <si>
    <t>Calle 12 4-20</t>
  </si>
  <si>
    <t>https://maps.app.goo.gl/b131Rb364e84ymVp7?g_st=ac</t>
  </si>
  <si>
    <t>Foto: https://oxxo-colombia.oneapp.cl/static/img/Respuesta/63294725/7a5a93d337453201c642d86559be42f6.jpg</t>
  </si>
  <si>
    <t>Filandia</t>
  </si>
  <si>
    <t>Cra 5 # 7 - 42</t>
  </si>
  <si>
    <t>https://maps.app.goo.gl/DJBmRXqQasd2Vk147</t>
  </si>
  <si>
    <t>Foto: https://oxxo-colombia.oneapp.cl/static/img/Respuesta/63339353/7705c68cb3cdebfb03b58f15fa9ec0c1.jpg</t>
  </si>
  <si>
    <t xml:space="preserve">Parkway 116 </t>
  </si>
  <si>
    <t>Calle 116 n 17 13</t>
  </si>
  <si>
    <t>https://maps.app.goo.gl/zSQCn9i6jww5XLox7?g_st=aw</t>
  </si>
  <si>
    <t>6014256000 Recepción de challenguer. Ellos dan los datos del arrendador</t>
  </si>
  <si>
    <t>Foto: https://oxxo-colombia.oneapp.cl/static/img/Respuesta/63387714/f124d584558a775b084329f8f42f49cf.jpg</t>
  </si>
  <si>
    <t>Absolut 123</t>
  </si>
  <si>
    <t>Av cr 19 no 123 82</t>
  </si>
  <si>
    <t>https://maps.app.goo.gl/AhW911b84Yas6EB19?g_st=aw</t>
  </si>
  <si>
    <t>3023199009 3106137457</t>
  </si>
  <si>
    <t>Foto: https://oxxo-colombia.oneapp.cl/static/img/Respuesta/63388027/680b1b6f582e2dd2d7445085ee62dc31.jpg</t>
  </si>
  <si>
    <t>Atabanza 2</t>
  </si>
  <si>
    <t>Callejas 53</t>
  </si>
  <si>
    <t>Cr 53 a 127 27</t>
  </si>
  <si>
    <t>https://maps.app.goo.gl/W19H25CexMXZWCyc8?g_st=aw</t>
  </si>
  <si>
    <t>Resident 3112072457</t>
  </si>
  <si>
    <t>Foto: https://oxxo-colombia.oneapp.cl/static/img/Respuesta/63388253/8450c81c64856218bb75aca92028cb1f.jpg</t>
  </si>
  <si>
    <t>Indigo 116</t>
  </si>
  <si>
    <t>Calle 116 n 16 78</t>
  </si>
  <si>
    <t>https://maps.app.goo.gl/YQ3EaDo6RE4ZJ3wy8?g_st=aw</t>
  </si>
  <si>
    <t>Foto : https://oxxo-colombia.oneapp.cl/static/img/Respuesta/63388428/172038a89dc04695c868088d514e5543.jpg</t>
  </si>
  <si>
    <t>Descartado por punto duplicado (116 con 16- Milena Gonzalez)</t>
  </si>
  <si>
    <t>Gaviria</t>
  </si>
  <si>
    <t>Ak 15 #93-99 a 93-21, Bogotá</t>
  </si>
  <si>
    <t>https://maps.app.goo.gl/2ZJ6y54pUYk9vjcF6?g_st=ac</t>
  </si>
  <si>
    <t>a.arias@naigaviria.com</t>
  </si>
  <si>
    <t>Foto: https://oxxo-colombia.oneapp.cl/static/img/Respuesta/63393109/ef98d3e838bb69e0a3158b1069057235.jpg</t>
  </si>
  <si>
    <t>Oxxo Spid</t>
  </si>
  <si>
    <t>Ak 15 #93-53, Bogotá</t>
  </si>
  <si>
    <t>https://maps.app.goo.gl/8ydjruyoHP8sGb538</t>
  </si>
  <si>
    <t>Foto: https://oxxo-colombia.oneapp.cl/static/img/Respuesta/63393355/30fd5d94d97855af9d13c23b09032a59.jpg</t>
  </si>
  <si>
    <t>Calle 94</t>
  </si>
  <si>
    <t>Cr 11A#94-12</t>
  </si>
  <si>
    <t>https://maps.app.goo.gl/WCjMYbsnnYidbw3m6?g_st=ac</t>
  </si>
  <si>
    <t>.</t>
  </si>
  <si>
    <t>Foto: https://oxxo-colombia.oneapp.cl/static/img/Respuesta/63394453/4ce43c6a140a896060f568d78a9c6b47.jpg</t>
  </si>
  <si>
    <t>CENTER 94</t>
  </si>
  <si>
    <t>Cra 11a#94-45</t>
  </si>
  <si>
    <t>https://maps.app.goo.gl/H38s6ufbLT2AYCts9?g_st=ac</t>
  </si>
  <si>
    <t>Foto: https://oxxo-colombia.oneapp.cl/static/img/Respuesta/63394569/5e176010cd3a3d3e5cef11dfd46a4adc.jpg</t>
  </si>
  <si>
    <t>luis.rodelob@oxxo.com</t>
  </si>
  <si>
    <t>Betania</t>
  </si>
  <si>
    <t>Calle 51 sur # 86A -83</t>
  </si>
  <si>
    <t>https://maps.app.goo.gl/k1gwEEtxGUx6kpUJA</t>
  </si>
  <si>
    <t>Josewilliam071313@gmail.com</t>
  </si>
  <si>
    <t>Foto: https://oxxo-colombia.oneapp.cl/static/img/Respuesta/63401994/a2d2c202bcad290c05f7064100e1b996.jpg</t>
  </si>
  <si>
    <t>Carrera 50</t>
  </si>
  <si>
    <t>Cr 50 18 a 15</t>
  </si>
  <si>
    <t>https://maps.app.goo.gl/xWHbEcBVLLShy7rY8</t>
  </si>
  <si>
    <t>3507055002 Henry zapata</t>
  </si>
  <si>
    <t>Abogadohzf@gmail.com</t>
  </si>
  <si>
    <t>Foto: https://oxxo-colombia.oneapp.cl/static/img/Respuesta/63380340/dd79b6fe5bba15fc123c186fe236a1da.jpg</t>
  </si>
  <si>
    <t>4.632029931030604, -74.10366461404</t>
  </si>
  <si>
    <t>c</t>
  </si>
  <si>
    <t>Cra 9 #145-84</t>
  </si>
  <si>
    <t>https://maps.app.goo.gl/9gHjCQ8JNhUSZAr89</t>
  </si>
  <si>
    <t>Foto: https://oxxo-colombia.oneapp.cl/static/img/Respuesta/63397732/f30122521ce1f02acb830415f1166331.jpg</t>
  </si>
  <si>
    <t>4.72384009350718, -74.03209848668541</t>
  </si>
  <si>
    <t>Castellana carrera 30</t>
  </si>
  <si>
    <t>Avenida Carrera 30 # 86-47</t>
  </si>
  <si>
    <t>https://maps.app.goo.gl/9be5Sa4knHdePcCg7</t>
  </si>
  <si>
    <t>No qplica</t>
  </si>
  <si>
    <t>Foto: https://oxxo-colombia.oneapp.cl/static/img/Respuesta/63400250/fe4023da6d233af07cc9ae77e06bbf53.jpg</t>
  </si>
  <si>
    <t>4.675686756913115, -74.0652372367865</t>
  </si>
  <si>
    <t>Oxxo La 94</t>
  </si>
  <si>
    <t>Cra 11 a # 94 - 12</t>
  </si>
  <si>
    <t>https://maps.app.goo.gl/pzvqEkXRQ1FXBKRe7</t>
  </si>
  <si>
    <t>4.677963434356992, -74.04675254232723</t>
  </si>
  <si>
    <t>Descartado por punto duplicado (Calle 94- Hermis Cuicas)</t>
  </si>
  <si>
    <t>Kennedy 37</t>
  </si>
  <si>
    <t>Cra. 78k #37a Sur68, Bogotá</t>
  </si>
  <si>
    <t>https://maps.app.goo.gl/aaDoeSBT3xWo4jV39</t>
  </si>
  <si>
    <t>Foto: https://oxxo-colombia.oneapp.cl/static/img/Respuesta/63470672/ee68e71181e2f90364fcf0ea3365e8f0.jpg</t>
  </si>
  <si>
    <t>4.623622571738254, -74.15362822719047</t>
  </si>
  <si>
    <t>Oxxo Chico Cra 11</t>
  </si>
  <si>
    <t>Punto Chico 11</t>
  </si>
  <si>
    <t>Calle 95 # 11 -60 (Al frente del edificio LG)</t>
  </si>
  <si>
    <t>https://maps.app.goo.gl/ymfHXiNdeYS13h6z5</t>
  </si>
  <si>
    <t>3155931561 3155931557</t>
  </si>
  <si>
    <t>Foto: https://oxxo-colombia.oneapp.cl/static/img/Respuesta/63472069/f53bdcedd8d975c27547092f9995220b.jpg</t>
  </si>
  <si>
    <t>4.67938545460112, -74.04557085767277</t>
  </si>
  <si>
    <t>Kennedy tequendama</t>
  </si>
  <si>
    <t>Kra 78k # 37 a 80 s</t>
  </si>
  <si>
    <t>https://maps.app.goo.gl/wWKVF48JrE8q8e8h8?g_st=ac</t>
  </si>
  <si>
    <t>Foto: https://oxxo-colombia.oneapp.cl/static/img/Respuesta/63472348/12261a71bb8bb40f9cbf719a9710877a.jpg</t>
  </si>
  <si>
    <t>4.623552348109578, -74.15395872883639</t>
  </si>
  <si>
    <t>Normandia 70</t>
  </si>
  <si>
    <t>Av. 70 #54-61, Bogotá</t>
  </si>
  <si>
    <t>https://maps.app.goo.gl/GBScWx7NhvVVE3s48?g_st=ac</t>
  </si>
  <si>
    <t>Foto https://oxxo-colombia.oneapp.cl/static/img/Respuesta/63473872/8ced33c2aa175cdc87cce1e11e84289d.jpg</t>
  </si>
  <si>
    <t>4.6698794508705666, -74.10289015767279</t>
  </si>
  <si>
    <t>Restrepo Olaya</t>
  </si>
  <si>
    <t>CRA 19 a sur 63 191</t>
  </si>
  <si>
    <t>https://maps.app.goo.gl/31DhpNG6HC1Mw5bK8?g_st=aw</t>
  </si>
  <si>
    <t>Henry hernandez</t>
  </si>
  <si>
    <t>Henry_h_er@Hotmail.com</t>
  </si>
  <si>
    <t>Foto: https://oxxo-colombia.oneapp.cl/static/img/Respuesta/63479989/0d67d0038cba0e2747d103ff8d71578a.jpg</t>
  </si>
  <si>
    <t>4.5699852794208375, -74.08211546265599</t>
  </si>
  <si>
    <t>No tiene trafico peatonal</t>
  </si>
  <si>
    <t>Punto ya se habia trabajado por la especialista en growth se trabajo como antonio nariño, fue desvcartado por angelica díaz en su momento que estaba en operación</t>
  </si>
  <si>
    <t>Calle 116</t>
  </si>
  <si>
    <t>Galeon 116</t>
  </si>
  <si>
    <t>Av calle 116 con carrera 12</t>
  </si>
  <si>
    <t>https://maps.app.goo.gl/BqY1MVoo2UJSq6Sj9</t>
  </si>
  <si>
    <t>Henry_h_er@hotmail.com</t>
  </si>
  <si>
    <t>Foto: https://oxxo-colombia.oneapp.cl/static/img/Respuesta/63480559/b4e8d1bb66dbafb897aca7ddf8cf17fe.jpg</t>
  </si>
  <si>
    <t>4.695679642193723, -74.03914328650917</t>
  </si>
  <si>
    <t>especialista ya lo habia trabajado : Se descarta por entorno variables de exito el 23 de dic 2024, se retoma en mayo del 2026 y nuevamente es descartado por el jefe de expansion</t>
  </si>
  <si>
    <t>Parque de la independencia</t>
  </si>
  <si>
    <t>Cr 5 no 4-58</t>
  </si>
  <si>
    <t>https://maps.app.goo.gl/g2fFnMnz5Zvc15pd8?g_st=aw</t>
  </si>
  <si>
    <t>Foto: https://oxxo-colombia.oneapp.cl/static/img/Respuesta/63481463/ec3b5f4110968e87a1580adf4a6fa097.jpg</t>
  </si>
  <si>
    <t>5.024507752203895, -74.00554808465444</t>
  </si>
  <si>
    <t>No es viable</t>
  </si>
  <si>
    <t>Zipaquirá no cuenta con 24h, adicional el local cuenta con 48 m2</t>
  </si>
  <si>
    <t>Santa rita sur oriental</t>
  </si>
  <si>
    <t>Carrera 39 33-16 sur</t>
  </si>
  <si>
    <t>https://maps.app.goo.gl/nhxsEgVNz5Babgvk8?g_st=ac</t>
  </si>
  <si>
    <t>www.reinmobiliariasas.com</t>
  </si>
  <si>
    <t>Foto: https://oxxo-colombia.oneapp.cl/static/img/Respuesta/63531072/40f0ec34b6a6d208a3be21783609d112.jpg</t>
  </si>
  <si>
    <t>4.602363770894242, -74.11806000000001</t>
  </si>
  <si>
    <t>Ya se arrendo</t>
  </si>
  <si>
    <t>Punto ya se esta trabajando, como villa del rosario y se descarto porque ya se arrendo</t>
  </si>
  <si>
    <t>Dapa</t>
  </si>
  <si>
    <t>Cl 10 # 28 - 150</t>
  </si>
  <si>
    <t>https://maps.app.goo.gl/pxREnmWsp615k6Tm6?g_st=ac</t>
  </si>
  <si>
    <t>3138059943 (572)6959199</t>
  </si>
  <si>
    <t>gerencia@crucerodapa.co www.crucerodapa.co</t>
  </si>
  <si>
    <t>Foto: https://oxxo-colombia.oneapp.cl/static/img/Respuesta/63542159/8c778d83efbfb90bada865369b9af7ea.jpg</t>
  </si>
  <si>
    <t>3.5199571719370004, -76.518046</t>
  </si>
  <si>
    <t>Guaymaral</t>
  </si>
  <si>
    <t>No es viable, el local cuenta con 24 m2, el numero suministrado ya vendio el local</t>
  </si>
  <si>
    <t>https://maps.app.goo.gl/EWerdR7AGb8aMJ3H7?g_st=awb</t>
  </si>
  <si>
    <t>Foto: https://oxxo-colombia.oneapp.cl/static/img/Respuesta/63544029/695857ab517fc87a28d8771d12e45a5d.jpg</t>
  </si>
  <si>
    <t>4.8104942761449685, -74.04584827116359</t>
  </si>
  <si>
    <t>Condiciones Comerciales</t>
  </si>
  <si>
    <t>Local de 25m2, y ya está vendido</t>
  </si>
  <si>
    <t>Santa Monica</t>
  </si>
  <si>
    <t>Corceles norte</t>
  </si>
  <si>
    <t>6 Bis - 36</t>
  </si>
  <si>
    <t>https://maps.app.goo.gl/NXWr1QaBXb9ygttZ8?g_st=ac</t>
  </si>
  <si>
    <t>Foto: https://oxxo-colombia.oneapp.cl/static/img/Respuesta/63546844/38eb463ec99868d56379ebddff280999.jpg</t>
  </si>
  <si>
    <t>3.467866765440696, -76.53069099999999</t>
  </si>
  <si>
    <t>john.alzate@oxxo.com</t>
  </si>
  <si>
    <t>Centauros Mall</t>
  </si>
  <si>
    <t>Transversal 21 18 - 63</t>
  </si>
  <si>
    <t>https://maps.app.goo.gl/LVCwcdqtfVeNcN2FA</t>
  </si>
  <si>
    <t>+57 350 4497270</t>
  </si>
  <si>
    <t>Juan Arias</t>
  </si>
  <si>
    <t>Foto: https://oxxo-colombia.oneapp.cl/static/img/Respuesta/63550799/7fce2bef814c0ddfc87ad38f65ead5f1.jpg</t>
  </si>
  <si>
    <t>4.82546540712825, -75.67452747921129</t>
  </si>
  <si>
    <t>Alameda de Sultana</t>
  </si>
  <si>
    <t>Cra 31 10 76</t>
  </si>
  <si>
    <t>https://maps.app.goo.gl/5KkqoATKoh68esbc7</t>
  </si>
  <si>
    <t>+57 313 5840285</t>
  </si>
  <si>
    <t>Adrián Es propietario del local de la tienda Avenida Santa Mónica tiene TMCB</t>
  </si>
  <si>
    <t>Foto: https://oxxo-colombia.oneapp.cl/static/img/Respuesta/63551759/d9ded4f3477658d8a847ca77fdc6eb52.jpg</t>
  </si>
  <si>
    <t>4.819110358828752, -75.68943558963592</t>
  </si>
  <si>
    <t>Oxxo Isla del Sol</t>
  </si>
  <si>
    <t>Eds Isla del Sol</t>
  </si>
  <si>
    <t>Calle 10 número 1-40 rucaurte Cundinamarca</t>
  </si>
  <si>
    <t>https://maps.app.goo.gl/KL8kmabyoM3bgkMw9?g_st=aw</t>
  </si>
  <si>
    <t>Foto: https://oxxo-colombia.oneapp.cl/static/img/Respuesta/63552544/4e6e5085a213140e3a0a0ee1a09dee63.jpg</t>
  </si>
  <si>
    <t>4.301797333470898, -74.79414059999999</t>
  </si>
  <si>
    <t>juan.neira@oxxo.com</t>
  </si>
  <si>
    <t>Oxxo valle del Lili magenta</t>
  </si>
  <si>
    <t>Calle 55, Cali, Valle del Cauca</t>
  </si>
  <si>
    <t>https://maps.app.goo.gl/ZhTVCnNkcqmFjSWDA?g_st=ic</t>
  </si>
  <si>
    <t>3123364340 y 3247492558 Por que son dos locales que habría que tomar por tema de tamaño</t>
  </si>
  <si>
    <t>Foto: https://oxxo-colombia.oneapp.cl/static/img/Respuesta/63602816/63ef684524001c49443e257a3e4fc932.jpg</t>
  </si>
  <si>
    <t>3.3791356240381063, -76.5093640423272</t>
  </si>
  <si>
    <t>Completo</t>
  </si>
  <si>
    <t>Oxxo centenario</t>
  </si>
  <si>
    <t>CRA 26 b 28 03 sur, barrio centenario</t>
  </si>
  <si>
    <t>https://maps.app.goo.gl/GTZjpoFfF6QDbzRh9</t>
  </si>
  <si>
    <t>Dagolopez2@hotmail.com</t>
  </si>
  <si>
    <t>Foto: https://oxxo-colombia.oneapp.cl/static/img/Respuesta/63603361/76d8a2201e44acc91d02e90d683a8ca0.jpg</t>
  </si>
  <si>
    <t>4.587291805971482, -74.1118483423272</t>
  </si>
  <si>
    <t>Oxxo Calle 84</t>
  </si>
  <si>
    <t>Cra 14a 82-27</t>
  </si>
  <si>
    <t>https://maps.app.goo.gl/uy2aB6bx2hiHSf2PA?g_st=ac</t>
  </si>
  <si>
    <t>DianaRamirez2006@gmail.com</t>
  </si>
  <si>
    <t>Foto: https://oxxo-colombia.oneapp.cl/static/img/Respuesta/63604911/efd5ad2dfdba24240a315d39fda3f20b.jpg</t>
  </si>
  <si>
    <t>4.66830573789294, -74.05587671534556</t>
  </si>
  <si>
    <t>Especialista ya lo habia traido, Angie lo nego ( pero como estoy abriendo 2 tiendas sobre la 15 y este estaba escondido lo descartamos.)</t>
  </si>
  <si>
    <t>Av Norte</t>
  </si>
  <si>
    <t>Cra. 6 # 46-26, Tunja, Boyacá</t>
  </si>
  <si>
    <t>https://maps.app.goo.gl/dZ1AHXEom9Bq6xSy5?g_st=ac</t>
  </si>
  <si>
    <t>Foto: https://oxxo-colombia.oneapp.cl/static/img/Respuesta/63610159/3130ce22bb65b3eb2b7b35c38695115a.jpg</t>
  </si>
  <si>
    <t>5.554447961570354, -73.35130645767278</t>
  </si>
  <si>
    <t>Oxxo los anturios</t>
  </si>
  <si>
    <t>Av sachamate con 3a , en el barrio los anturios de Jamundi , NSE 4</t>
  </si>
  <si>
    <t>https://maps.app.goo.gl/NJ2XoCFAmxPtveGt7?g_st=ic</t>
  </si>
  <si>
    <t>3165890211 proyecto montessa mall</t>
  </si>
  <si>
    <t>Montessamall.com</t>
  </si>
  <si>
    <t>Foto: https://oxxo-colombia.oneapp.cl/static/img/Respuesta/63611056/daf685ade0811b4512d8cf488d4a0419.jpg</t>
  </si>
  <si>
    <t>3.2593810148681475, -76.55118946196764</t>
  </si>
  <si>
    <t>OXXO Chapinero 58</t>
  </si>
  <si>
    <t>Carrera 13 # 58-83</t>
  </si>
  <si>
    <t>https://maps.app.goo.gl/kF1HY6itBwaxQ6YA9?g_st=iw</t>
  </si>
  <si>
    <t>Foto: https://oxxo-colombia.oneapp.cl/static/img/Respuesta/63611910/8411c8a500eacba5053c516ec5abd6f7.jpg</t>
  </si>
  <si>
    <t>4.645899865304641, -74.06450001534556</t>
  </si>
  <si>
    <t>Alta pradera</t>
  </si>
  <si>
    <t>Av la pradera vía naranjales Carrera 28</t>
  </si>
  <si>
    <t>https://maps.app.goo.gl/UMSubXZ3iioy3egdA</t>
  </si>
  <si>
    <t>Adrián Mismo propietario de tienda av santa monica.</t>
  </si>
  <si>
    <t>Foto: https://oxxo-colombia.oneapp.cl/static/img/Respuesta/63552412/6d1a4ffcf3090591e70f721aebd54634.jpg</t>
  </si>
  <si>
    <t>Oxxo oasis plaza</t>
  </si>
  <si>
    <t>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</t>
  </si>
  <si>
    <t>https://maps.app.goo.gl/gvkd52DdNt9xpX5d9?g_st=ic</t>
  </si>
  <si>
    <t>Otro</t>
  </si>
  <si>
    <t>3175739393 Héctor, se recomienda hacer urgente el acercamiento por que hay varias personas interesadas y ya tiene citas programadas esta semana</t>
  </si>
  <si>
    <t>Foto :https://oxxo-colombia.oneapp.cl/static/img/Respuesta/63608431/f303c5307da69bdb8cf2e38945bf5bcd.jpg</t>
  </si>
  <si>
    <t>3.2838148986610607, -76.52662410429475</t>
  </si>
  <si>
    <t>Oxxo centro carrera 7ma # ||</t>
  </si>
  <si>
    <t>Carrera 7 - 12 - 12</t>
  </si>
  <si>
    <t>https://maps.app.goo.gl/weSxTAmfFMooHPn28</t>
  </si>
  <si>
    <t>Foto: https://oxxo-colombia.oneapp.cl/static/img/Respuesta/63615183/39c6bdf89140586583c69a268ec958ea.jpg</t>
  </si>
  <si>
    <t>Parque madrid</t>
  </si>
  <si>
    <t>Calle 7#3-60</t>
  </si>
  <si>
    <t>https://maps.app.goo.gl/VnKnEuzaFWY9uasq7?g_st=iw</t>
  </si>
  <si>
    <t>Foto: https://oxxo-colombia.oneapp.cl/static/img/Respuesta/63615669/1b70479b062c09a6161d12f15560be13.jpg</t>
  </si>
  <si>
    <t>Eds Madrid</t>
  </si>
  <si>
    <t>Calle 7#3-17</t>
  </si>
  <si>
    <t>https://maps.app.goo.gl/2va17YRE9djynsJw6?g_st=iw</t>
  </si>
  <si>
    <t>Foto: https://oxxo-colombia.oneapp.cl/static/img/Respuesta/63615803/cf06b379161dcd2edc87a7cf9d6289ac.jpg</t>
  </si>
  <si>
    <t>Oxxo arboleda</t>
  </si>
  <si>
    <t>Cra 13 a, detrás del cc parque arboleda</t>
  </si>
  <si>
    <t>https://maps.app.goo.gl/f8NfuPUXjTRFkb4y5?g_st=ac</t>
  </si>
  <si>
    <t>Foto:https://oxxo-colombia.oneapp.cl/static/img/Respuesta/63616513/e0a83f29fdfc72f089fadd4ee3a9a25c.jpg</t>
  </si>
  <si>
    <t>Suba 91</t>
  </si>
  <si>
    <t>Carrera 91 con Calle 137</t>
  </si>
  <si>
    <t>https://maps.app.goo.gl/FbZNMVxWxxP3rGzV9?g_st=ac</t>
  </si>
  <si>
    <t>Foto: https://oxxo-colombia.oneapp.cl/static/img/Respuesta/63617738/009005a4e3cf71649eb1ecea4c3aba4e.jpg</t>
  </si>
  <si>
    <t xml:space="preserve">Subido </t>
  </si>
  <si>
    <t>Suba carrera 91a</t>
  </si>
  <si>
    <t>Carrera 91 #132 SUBA</t>
  </si>
  <si>
    <t>https://maps.app.goo.gl/7dYodMTTCis2i3mt6?g_st=aw</t>
  </si>
  <si>
    <t>Foto: https://oxxo-colombia.oneapp.cl/static/img/Respuesta/63617893/ea56504d8670899d3cf6c59247f55f22.jpg</t>
  </si>
  <si>
    <t xml:space="preserve">Punto el númeor del dueño es el mismo que pacande, puede ser equivocación en imagen </t>
  </si>
  <si>
    <t>Suba Carrera 91</t>
  </si>
  <si>
    <t>Carrera 91 #135b -21</t>
  </si>
  <si>
    <t>https://maps.app.goo.gl/b8Fs5v4BNGzqCYgH7?g_st=ac</t>
  </si>
  <si>
    <t>Foto: https://oxxo-colombia.oneapp.cl/static/img/Respuesta/63618069/218ef180b9bea0990063544db4477aef.jpg</t>
  </si>
  <si>
    <t>Oxxo Medical</t>
  </si>
  <si>
    <t>Calle 37 sur 75 13</t>
  </si>
  <si>
    <t>https://maps.app.goo.gl/46Mmo9vnmbX8MwyC9?g_st=ic</t>
  </si>
  <si>
    <t>cfsalasp@hotmail.com</t>
  </si>
  <si>
    <t>Foto: https://oxxo-colombia.oneapp.cl/static/img/Respuesta/63619629/932a368830c05903f15012da698e3198.jpg</t>
  </si>
  <si>
    <t>Kennedy zona bancaria</t>
  </si>
  <si>
    <t>Calle 36a sur 78a 15</t>
  </si>
  <si>
    <t>https://maps.app.goo.gl/xV611DiNAJHjF5QG7?g_st=ic</t>
  </si>
  <si>
    <t>prai_0509@hotmail.com</t>
  </si>
  <si>
    <t>Foto: https://oxxo-colombia.oneapp.cl/static/img/Respuesta/63619721/ab35ce95c2db06bc22fb977b2f1ebdd1.jpg</t>
  </si>
  <si>
    <t>Calle 142</t>
  </si>
  <si>
    <t>Cra 17 #142 07</t>
  </si>
  <si>
    <t>https://maps.app.goo.gl/qApouAGMnEk6fKZ97</t>
  </si>
  <si>
    <t>Foto: https://oxxo-colombia.oneapp.cl/static/img/Respuesta/63620119/cff219be46492f11749c51fe867cd02c.jpg</t>
  </si>
  <si>
    <t>Casa ya se arrendo</t>
  </si>
  <si>
    <t>Manzana 3</t>
  </si>
  <si>
    <t>Calle 63 d # 30 - 4</t>
  </si>
  <si>
    <t>https://maps.app.goo.gl/ULrkYihBU6MSFxQV6</t>
  </si>
  <si>
    <t>Foto: https://oxxo-colombia.oneapp.cl/static/img/Respuesta/63618223/front_0_1785455383_15.jpg</t>
  </si>
  <si>
    <t>Ampliación El Dorado</t>
  </si>
  <si>
    <t>Calle 26 # 69 - 91 local 109</t>
  </si>
  <si>
    <t>https://maps.app.goo.gl/UwasuiN3yECHSJwz9</t>
  </si>
  <si>
    <t>Foto: https://oxxo-colombia.oneapp.cl/static/img/Respuesta/63618509/front_0_1785456379_15.jpg</t>
  </si>
  <si>
    <t>Altagracia</t>
  </si>
  <si>
    <t>Av 24 # 68 - 25 local 16</t>
  </si>
  <si>
    <t>https://maps.app.goo.gl/HeWy5cjAKqtHZhQH6</t>
  </si>
  <si>
    <t>Foto: https://oxxo-colombia.oneapp.cl/static/img/Respuesta/63618827/front_0_1785457451_15.jpg
Foto: https://oxxo-colombia.oneapp.cl/static/img/Respuesta/63618827/front_1_1785457451_15.jpg</t>
  </si>
  <si>
    <t>62 m2 no cabemos y tiene una renta de 13 m más administración de 2m</t>
  </si>
  <si>
    <t>EDS Texaco</t>
  </si>
  <si>
    <t>Km 3.5 Armenia - Quindío</t>
  </si>
  <si>
    <t>https://maps.app.goo.gl/sZtrvzZU27N3fGDF8?g_st=ac</t>
  </si>
  <si>
    <t>Alfredo</t>
  </si>
  <si>
    <t>Foto: https://oxxo-colombia.oneapp.cl/static/img/Respuesta/63674240/8f22bce6739d91cd107ca4b7a2066667.jpg</t>
  </si>
  <si>
    <t>Punto Zipaquirá centro</t>
  </si>
  <si>
    <t>Cll13 # 7-28</t>
  </si>
  <si>
    <t>https://maps.app.goo.gl/dwaKHy9m3KDJaGhM6?g_st=awb</t>
  </si>
  <si>
    <t>Carlos leon</t>
  </si>
  <si>
    <t>Foto: https://oxxo-colombia.oneapp.cl/static/img/Respuesta/63677271/521ea16bc90a03be4162213cd07643c7.jpg
Foto: https://oxxo-colombia.oneapp.cl/static/img/Respuesta/63677271/4d781bda32a64dc9422ae1e395d1d545.jpg</t>
  </si>
  <si>
    <t>Oxxo Estelar 100</t>
  </si>
  <si>
    <t>Av. Calle 100 # 9 - 60</t>
  </si>
  <si>
    <t>https://maps.app.goo.gl/uXjn3GuUgia8RBkB6?g_st=ac</t>
  </si>
  <si>
    <t>Zona Hotelera</t>
  </si>
  <si>
    <t>3222772388 3192078531</t>
  </si>
  <si>
    <t>Foto: https://oxxo-colombia.oneapp.cl/static/img/Respuesta/63677506/2570e110c079e9596a9b6077e7bf32c3.jpg
Foto: https://oxxo-colombia.oneapp.cl/static/img/Respuesta/63677506/abf62ad5490246c519e3f84be59cda22.jpg
Foto: https://oxxo-colombia.oneapp.cl/static/img/Respuesta/63677506/92af66d43ec63689689cd18b5a363850.jpg</t>
  </si>
  <si>
    <t>Oxxo 63d</t>
  </si>
  <si>
    <t>Cra 35 # 63d 48 (Manzana 3)</t>
  </si>
  <si>
    <t>https://maps.app.goo.gl/mLDkqZj1CSZZTxFD6?g_st=ac</t>
  </si>
  <si>
    <t>3182433298 3182432298</t>
  </si>
  <si>
    <t>Foto: https://oxxo-colombia.oneapp.cl/static/img/Respuesta/63679780/81611ba57b807c3332a7f26a2292072c.jpg
Foto: https://oxxo-colombia.oneapp.cl/static/img/Respuesta/63679780/1b60d97bfee8ed1dce592f849a5c368b.jpg
Foto: https://oxxo-colombia.oneapp.cl/static/img/Respuesta/63679780/81e27ad62346ed4dac335d2cc7a09e38.jpg
Foto: https://oxxo-colombia.oneapp.cl/static/img/Respuesta/63679780/a5b68beaeb350c734dd07ac8b4cacc7d.jpg
Foto: https://oxxo-colombia.oneapp.cl/static/img/Respuesta/63679780/e8e3d680234c29aa7be66d6743b776d1.jpg</t>
  </si>
  <si>
    <t>Descartado por punto duplicado (Manzana 3- Diana Bernal)</t>
  </si>
  <si>
    <t>Malibu</t>
  </si>
  <si>
    <t>Calle 116 # 53 a 42</t>
  </si>
  <si>
    <t>https://maps.app.goo.gl/PWJ7fbEVyUGp2v3K8?g_st=ac</t>
  </si>
  <si>
    <t>3121237 / 3214490174</t>
  </si>
  <si>
    <t>www.luqueospina.com</t>
  </si>
  <si>
    <t>Foto: https://oxxo-colombia.oneapp.cl/static/img/Respuesta/63680406/ac6f39e55796fbb616a2b1230c80a365.jpg
Foto: https://oxxo-colombia.oneapp.cl/static/img/Respuesta/63680406/d0f20e52578a0f51524320451365a725.jpg</t>
  </si>
  <si>
    <t>Parque Belén</t>
  </si>
  <si>
    <t>Cra 76 #30a-14</t>
  </si>
  <si>
    <t>https://maps.app.goo.gl/wtnwrRLfYWaXvENu6?g_st=ac</t>
  </si>
  <si>
    <t>Foto: https://oxxo-colombia.oneapp.cl/static/img/Respuesta/63682393/8373dd69034bcfda619df19db4196f5e.jpg
Foto: https://oxxo-colombia.oneapp.cl/static/img/Respuesta/63682393/b31fca526a3f5d6c8737dcf69dfdddee.jpg</t>
  </si>
  <si>
    <t>Alpujarra</t>
  </si>
  <si>
    <t>Cra 55 # 42-106</t>
  </si>
  <si>
    <t>https://maps.app.goo.gl/is9DgMtaMznTik7G6?g_st=ac</t>
  </si>
  <si>
    <t>Foto: https://oxxo-colombia.oneapp.cl/static/img/Respuesta/63682436/a605abe87e1570d79a9a6651e8c649a9.jpg</t>
  </si>
  <si>
    <t>Techo</t>
  </si>
  <si>
    <t>Calle 2 a Bis 71 d 19</t>
  </si>
  <si>
    <t>https://maps.app.goo.gl/WnKcspwjoaCWsZ7p7</t>
  </si>
  <si>
    <t>Foto: https://oxxo-colombia.oneapp.cl/static/img/Respuesta/63740355/f7a81aaf4a4d275c9830a29c57dfc216.jpg
Foto: https://oxxo-colombia.oneapp.cl/static/img/Respuesta/63740355/0ff453f70c3c8343134cac58f5e14eb9.jpg
Foto: https://oxxo-colombia.oneapp.cl/static/img/Respuesta/63740355/fd49e91cafc997778c27fb8710f682eb.jpg</t>
  </si>
  <si>
    <t>Variables de exito</t>
  </si>
  <si>
    <t>Ya se había trabajado el punto bajo el nombre de Monarca, descartado por zona fría, quieren estar en la zona de los bares</t>
  </si>
  <si>
    <t>Camaleon</t>
  </si>
  <si>
    <t>Cl 31 sur 69 b 25</t>
  </si>
  <si>
    <t>https://maps.app.goo.gl/z51ftMPoRaSyUntA7?g_st=ac</t>
  </si>
  <si>
    <t>3206751528 3173025233 3239419280</t>
  </si>
  <si>
    <t>Foto: https://oxxo-colombia.oneapp.cl/static/img/Respuesta/63740966/4abd8798a7a088f44bf0be5c80e46972.jpg
Foto: https://oxxo-colombia.oneapp.cl/static/img/Respuesta/63740966/70914f11fc1688c319cf6ffebe14844d.jpg
Foto: https://oxxo-colombia.oneapp.cl/static/img/Respuesta/63740966/46a5004d5c99a59f9df415cb097f3ece.jpg</t>
  </si>
  <si>
    <t>La Milla de Oro</t>
  </si>
  <si>
    <t>Arka 62</t>
  </si>
  <si>
    <t>Calle 60 # 13-09</t>
  </si>
  <si>
    <t>https://maps.app.goo.gl/9EE3jSdPJrzQJrtw6?g_st=aw</t>
  </si>
  <si>
    <t>RFP CONSTRUCTORES</t>
  </si>
  <si>
    <t>Foto: https://oxxo-colombia.oneapp.cl/static/img/Respuesta/63746842/c4ab98e68f4992873a6f5471c4620382.jpg
Foto: https://oxxo-colombia.oneapp.cl/static/img/Respuesta/63746842/261d6dce368284866660e8f108f0d66d.jpg
Foto: https://oxxo-colombia.oneapp.cl/static/img/Respuesta/63746842/42096afcc8bdb72eb0f5b143e0e02b85.jpg
Foto: https://oxxo-colombia.oneapp.cl/static/img/Respuesta/63746842/41b68cf3b8642fc3fafcce010f54d739.jpg</t>
  </si>
  <si>
    <t>Oxxo salento</t>
  </si>
  <si>
    <t>Cra 5 #6-24 salento</t>
  </si>
  <si>
    <t>https://maps.app.goo.gl/XGU6hvvivax12F1n8</t>
  </si>
  <si>
    <t>Altamiracartago@gmail.com</t>
  </si>
  <si>
    <t>Foto: https://oxxo-colombia.oneapp.cl/static/img/Respuesta/63749933/54859383e49cb23af519ca33dcaed235.jpg
Foto: https://oxxo-colombia.oneapp.cl/static/img/Respuesta/63749933/e8579d344d73e29a6d6a98dbc687857c.jpg
Foto: https://oxxo-colombia.oneapp.cl/static/img/Respuesta/63749933/3e6a8266d22dbc5976457c59f9fdfa41.jpg</t>
  </si>
  <si>
    <t>Stefany Prieto</t>
  </si>
  <si>
    <t>OXXO LA ORIENTAL</t>
  </si>
  <si>
    <t>Tranversal Oriental 47#95</t>
  </si>
  <si>
    <t>https://maps.app.goo.gl/mZ3Tb7ZqQT8jZUUd6?g_st=aw</t>
  </si>
  <si>
    <t>Foto: https://oxxo-colombia.oneapp.cl/static/img/Respuesta/63750597/5ae5507687a42c51571a89dc79b8fb41.jpg
Foto: https://oxxo-colombia.oneapp.cl/static/img/Respuesta/63750597/2a9b639d6e201e7e33f753ef61c50002.jpg
Foto: https://oxxo-colombia.oneapp.cl/static/img/Respuesta/63750597/a8137e15f0bc1a96cfbfa67826738ad4.jpg
Foto: https://oxxo-colombia.oneapp.cl/static/img/Respuesta/63750597/0bf7e056b779ec819f1b19ac6406342e.jpg</t>
  </si>
  <si>
    <t>Morada del viento carrizal</t>
  </si>
  <si>
    <t>CRA 24 no. 69b 33</t>
  </si>
  <si>
    <t>https://maps.app.goo.gl/A1MRfapYuV1SWFwU8</t>
  </si>
  <si>
    <t>Local. Morada del viento San Antonio carrizal Rafael comfenalco Santander 3182574377</t>
  </si>
  <si>
    <t>Local. Morada del viento San Antonio carrizal Rafael comfenalco Santander 3182574377 Local de 258 metros cuadrados</t>
  </si>
  <si>
    <t>Foto: https://oxxo-colombia.oneapp.cl/static/img/Respuesta/63800467/276349ab1153498ae73360dfad35c93e.jpg
Foto: https://oxxo-colombia.oneapp.cl/static/img/Respuesta/63800467/062df9c3316f424b2b0eae7939d42ecd.jpg</t>
  </si>
  <si>
    <t>Plaza Salento</t>
  </si>
  <si>
    <t>Calle 6 5 29</t>
  </si>
  <si>
    <t>https://maps.apple/p/WQ1QP2YTRjkQH3</t>
  </si>
  <si>
    <t>Solo muestra se arrienda, no fue posible encontrar el nombre del propietario. Solo whatsApp</t>
  </si>
  <si>
    <t>Foto: https://oxxo-colombia.oneapp.cl/static/img/Respuesta/63801171/a805aebd5d0e4846c7aa0e8ee74898bf.jpg
Foto: https://oxxo-colombia.oneapp.cl/static/img/Respuesta/63801171/fdcabd9ce8ecafd6154ff7450ec30062.jpg
Foto: https://oxxo-colombia.oneapp.cl/static/img/Respuesta/63801171/d27244e19079568379055e1494e4719c.jpg
Foto: https://oxxo-colombia.oneapp.cl/static/img/Respuesta/63801171/ea21b1e0feda8b0d2ef85d97f69adf59.jpg
Foto: https://oxxo-colombia.oneapp.cl/static/img/Respuesta/63801171/2e4d6ee2e54692b236f5affd29818fb4.jpg
Foto: https://oxxo-colombia.oneapp.cl/static/img/Respuesta/63801171/5ca4d165d4a9f6d429154ea391bcb301.jpg</t>
  </si>
  <si>
    <t>Salento plaza principal</t>
  </si>
  <si>
    <t>Carrera 7 5-33 Plaza principal salento</t>
  </si>
  <si>
    <t>https://maps.app.goo.gl/3SGYDcYPxGCqkmrXA</t>
  </si>
  <si>
    <t>Sin información de propietario Solo contacto whatsAapp</t>
  </si>
  <si>
    <t>3105591791 3136836772 3242597501</t>
  </si>
  <si>
    <t>Foto: https://oxxo-colombia.oneapp.cl/static/img/Respuesta/63802938/4a8b3077b0f8fae96986e1522a24b876.jpg
Foto: https://oxxo-colombia.oneapp.cl/static/img/Respuesta/63802938/eba3fd2f84d6a2ea4fb2aa6f713c23b2.jpg
Foto: https://oxxo-colombia.oneapp.cl/static/img/Respuesta/63802938/d21a9a0ec07801610bb6e4c0cc209e37.jpg
Foto: https://oxxo-colombia.oneapp.cl/static/img/Respuesta/63802938/3f71696be7663013abaf897dfc9bf4e3.jpg
Foto: https://oxxo-colombia.oneapp.cl/static/img/Respuesta/63802938/5f9c5031777ebaec389f0403a4790c41.jpg
Foto: https://oxxo-colombia.oneapp.cl/static/img/Respuesta/63802938/de12988dc426f26528d9125029d1de0d.jpg</t>
  </si>
  <si>
    <t>Chiquinquirá estación de policía</t>
  </si>
  <si>
    <t>Cr 9 no 14-16</t>
  </si>
  <si>
    <t>https://maps.app.goo.gl/HDAf9GLze9wS1Dte8</t>
  </si>
  <si>
    <t>Foto: https://oxxo-colombia.oneapp.cl/static/img/Respuesta/63803105/d55cef3d1de2e8848d6ce6f325bcab51.jpg
Foto: https://oxxo-colombia.oneapp.cl/static/img/Respuesta/63803105/9d21b27c71bf8925c11cd9ebc5b418bb.jpg
Foto: https://oxxo-colombia.oneapp.cl/static/img/Respuesta/63803105/ac08211fcee27858ce4f02d26c7f7e33.jpg</t>
  </si>
  <si>
    <t>Eds brío simijaca</t>
  </si>
  <si>
    <t>Via nacional a tes de el ingreso al municipio de simija eda brío</t>
  </si>
  <si>
    <t>https://maps.app.goo.gl/U1uAhHiG3RKQyXSG7?g_st=aw</t>
  </si>
  <si>
    <t>Pedro albornoz Telefono</t>
  </si>
  <si>
    <t>Foto: https://oxxo-colombia.oneapp.cl/static/img/Respuesta/63803153/8741b33ab106cbf20674413f3b7a689e.jpg
Foto: https://oxxo-colombia.oneapp.cl/static/img/Respuesta/63803153/ef765e5bb087d521aa2321c38123f9f9.jpg</t>
  </si>
  <si>
    <t>Santelmo</t>
  </si>
  <si>
    <t>Calle 200 # 54D 24</t>
  </si>
  <si>
    <t>https://maps.app.goo.gl/sja2jM1gN4yYBdhx8?g_st=awb</t>
  </si>
  <si>
    <t>Vidalito123@hotmail.com</t>
  </si>
  <si>
    <t>Foto: https://oxxo-colombia.oneapp.cl/static/img/Respuesta/63858266/a14ebe30075ccafc49ecbb3a418bdbe7.jpg</t>
  </si>
  <si>
    <t>Normandia</t>
  </si>
  <si>
    <t>Avenida Calle 63 # 68-95,</t>
  </si>
  <si>
    <t>https://maps.app.goo.gl/uPzENniJpzksBB6d9?g_st=ac</t>
  </si>
  <si>
    <t>Foto: https://oxxo-colombia.oneapp.cl/static/img/Respuesta/63869318/68b58f8079e513cc4e9f75730a22b393.jpg</t>
  </si>
  <si>
    <t>Descartado por punto duplicado (OXXO Olimpica 53- Vicky Duque)</t>
  </si>
  <si>
    <t>Oxxo La Prosperidad</t>
  </si>
  <si>
    <t>Ak 14 #4-54</t>
  </si>
  <si>
    <t>https://maps.app.goo.gl/G75iDzagmikiXyJM8?g_st=ac</t>
  </si>
  <si>
    <t>mao_ix@hotmail.com</t>
  </si>
  <si>
    <t>Foto: https://oxxo-colombia.oneapp.cl/static/img/Respuesta/63873138/98114106e7b1f8f73313f563572e7985.jpg</t>
  </si>
  <si>
    <t>Seguridad</t>
  </si>
  <si>
    <t xml:space="preserve">La ubicación esta a media cuadra de san bernardo (alta población de habitantes de calle), por ende seria una tienda de alto riesgo de seguridad </t>
  </si>
  <si>
    <t>Oxxo Av Cali</t>
  </si>
  <si>
    <t>San Jorge</t>
  </si>
  <si>
    <t>Av. Cra. 91 # 127-42, Suba, Bogotá, D.C., Bogotá, Bogotá, D.C.</t>
  </si>
  <si>
    <t>https://maps.app.goo.gl/bbD6wH2fw6vA3nnr8</t>
  </si>
  <si>
    <t>Foto: https://oxxo-colombia.oneapp.cl/static/img/Respuesta/63876532/be50077cdd7d38af4f8277745ef51453.jpg</t>
  </si>
  <si>
    <t>Juan Rojas</t>
  </si>
  <si>
    <t>Estación marsella</t>
  </si>
  <si>
    <t>Avenida américas # 69 f - 59</t>
  </si>
  <si>
    <t>https://maps.app.goo.gl/SCVRWCZsj9gzMS3RA</t>
  </si>
  <si>
    <t>Foto: https://oxxo-colombia.oneapp.cl/static/img/Respuesta/63860406/d17be3664547d9bdaab5f7329fb399fc.jpg</t>
  </si>
  <si>
    <t>Cabecera 2</t>
  </si>
  <si>
    <t>Centro Comercial Cabecera II Etapa, Cra. 33 #49 - 35, Cabecera del llano, Bucaramanga, Santander</t>
  </si>
  <si>
    <t>https://maps.app.goo.gl/cMpbPryamsCXm6os6</t>
  </si>
  <si>
    <t>Inmobiliaria  Esteban Rios</t>
  </si>
  <si>
    <t>Foto: https://oxxo-colombia.oneapp.cl/static/img/Respuesta/63876035/bb4016add7228c7c12c0cc23b161fab0.jpg</t>
  </si>
  <si>
    <t>Suba 135</t>
  </si>
  <si>
    <t>Av. Cra. 91 #135-53</t>
  </si>
  <si>
    <t>https://maps.app.goo.gl/yFy8bfYKFpoFYBvH7</t>
  </si>
  <si>
    <t>Foto: https://oxxo-colombia.oneapp.cl/static/img/Respuesta/63876496/c4442563c45e9e3c781abd97f65d25ee.jpg</t>
  </si>
  <si>
    <t>Autopista 184</t>
  </si>
  <si>
    <t>Autopista norte # 183a 39</t>
  </si>
  <si>
    <t>https://maps.app.goo.gl/jNpHmWP27vuM4Bfm7</t>
  </si>
  <si>
    <t>Foto: https://oxxo-colombia.oneapp.cl/static/img/Respuesta/63941652/5a532aa9ae2a36859fcdd1c611dadaa2.jpg</t>
  </si>
  <si>
    <t>Niza 127</t>
  </si>
  <si>
    <t>Cl 127 A #60-75, Bogotá</t>
  </si>
  <si>
    <t>https://maps.app.goo.gl/ZQWprWg9ZBaCyJoa7?g_st=ac</t>
  </si>
  <si>
    <t>3208122067-3162891172</t>
  </si>
  <si>
    <t>Foto: https://oxxo-colombia.oneapp.cl/static/img/Respuesta/63998199/aa8cd55004054569653dfd6e54710aab.jpg</t>
  </si>
  <si>
    <t>Oxxo Av. Quito</t>
  </si>
  <si>
    <t>Ak 30 # 63d 36</t>
  </si>
  <si>
    <t>https://maps.app.goo.gl/PTqk5E3WkuMu5db18</t>
  </si>
  <si>
    <t>Foto: https://oxxo-colombia.oneapp.cl/static/img/Respuesta/64005532/5be479c8940990eec5a90f0bb1425d05.jpg</t>
  </si>
  <si>
    <t>Barra andatti las aguas</t>
  </si>
  <si>
    <t>Edificio city u - calle 19 # 2a - 10</t>
  </si>
  <si>
    <t>https://maps.app.goo.gl/boPbkq6BHoXac6EC7?g_st=aw</t>
  </si>
  <si>
    <t>Administración city U</t>
  </si>
  <si>
    <t>Foto: https://oxxo-colombia.oneapp.cl/static/img/Respuesta/64013028/cf19a05ba07e93c05db94ee56cd50fe5.jpg Foto: https://oxxo-colombia.oneapp.cl/static/img/Respuesta/64013028/c901265c043d324218a7d40bdc66b6d5.jpg</t>
  </si>
  <si>
    <t>Oxxo parque los periodistas</t>
  </si>
  <si>
    <t>Avenida Jiménez de Quesada # 4-16</t>
  </si>
  <si>
    <t>https://maps.app.goo.gl/3NmVQSkDSA8JnBjAA?g_st=aw</t>
  </si>
  <si>
    <t xml:space="preserve">Foto: https://oxxo-colombia.oneapp.cl/static/img/Respuesta/64014853/83f5451cf239d68df9b5137d382d2770.jpg </t>
  </si>
  <si>
    <t>Oxxo Gran Via</t>
  </si>
  <si>
    <t>Kora 100</t>
  </si>
  <si>
    <t>Calle 100 # 7-45</t>
  </si>
  <si>
    <t>https://maps.app.goo.gl/XCbjMYK8g7K9WXB1A?g_st=ac</t>
  </si>
  <si>
    <t>Margarita Guerrero</t>
  </si>
  <si>
    <t>Foto: https://oxxo-colombia.oneapp.cl/static/img/Respuesta/64015987/2427fbccf563dc08c35860b714e49c44.jpg Foto: https://oxxo-colombia.oneapp.cl/static/img/Respuesta/64015987/734446e60b1a2ef06c4f3ee3a875fb24.jpg</t>
  </si>
  <si>
    <t>Oxxo periodistas</t>
  </si>
  <si>
    <t>Avenida Jiménez # 3- 89</t>
  </si>
  <si>
    <t>https://maps.app.goo.gl/1hCHofHjqy4rHCpf9</t>
  </si>
  <si>
    <t>Mónica inmobiliaria gni</t>
  </si>
  <si>
    <t>Foto: https://oxxo-colombia.oneapp.cl/static/img/Respuesta/64017044/dab51f4d7af02b733f85738d82f8a9d8.jpg Foto: https://oxxo-colombia.oneapp.cl/static/img/Respuesta/64017044/0a3cf4639fd46cecd998bca94b325966.jpg</t>
  </si>
  <si>
    <t>Oxxo Villa Alemana</t>
  </si>
  <si>
    <t>Cra. 4a Este # 98G-13, Usme, Bogotá, D.C.</t>
  </si>
  <si>
    <t>https://maps.app.goo.gl/wLfx3vgEhesCgzpe7?g_st=ac</t>
  </si>
  <si>
    <t>pablomoreno1234mont@gmail.com</t>
  </si>
  <si>
    <t>Foto: https://oxxo-colombia.oneapp.cl/static/img/Respuesta/64022814/2690a1c846f5e05f6f8739066b27c113.jpg Foto: https://oxxo-colombia.oneapp.cl/static/img/Respuesta/64022814/006b3387d1f8b02b9b2cdd3649ad68df.jpg</t>
  </si>
  <si>
    <t>Oxxo Restrepo 24</t>
  </si>
  <si>
    <t>Carrera 24 # 13 -49</t>
  </si>
  <si>
    <t>https://maps.app.goo.gl/pwSpQ8Lz7cYoaTeJ6</t>
  </si>
  <si>
    <t>No aplics</t>
  </si>
  <si>
    <t>Foto: https://oxxo-colombia.oneapp.cl/static/img/Respuesta/64027491/85aea36786a45ec91b78ca07b7c0813f.jpg</t>
  </si>
  <si>
    <t>Oxxo la guaca</t>
  </si>
  <si>
    <t>Carrera 39#33-06</t>
  </si>
  <si>
    <t>https://maps.app.goo.gl/G8NmLbN9yPkosgiV7</t>
  </si>
  <si>
    <t>Reinmobiliarias</t>
  </si>
  <si>
    <t>Foto: https://oxxo-colombia.oneapp.cl/static/img/Respuesta/64028116/c7e12303c153f33a655154410e2a4960.jpg</t>
  </si>
  <si>
    <t>Oxxo Castilla 8</t>
  </si>
  <si>
    <t>Carrera 78 # 8 -52</t>
  </si>
  <si>
    <t>https://maps.app.goo.gl/JW7c3s3SegL9GmyL6</t>
  </si>
  <si>
    <t>Foto: https://oxxo-colombia.oneapp.cl/static/img/Respuesta/64028234/b1d010ad907d55acec6cef5a13cb3fe7.jpg</t>
  </si>
  <si>
    <t>Oxxo Restrepo Dg 13</t>
  </si>
  <si>
    <t>Diagonal 13 bis sur # 24 a - 82</t>
  </si>
  <si>
    <t>https://maps.app.goo.gl/W34yUFvVtJuLK5faA</t>
  </si>
  <si>
    <t>Foto: https://oxxo-colombia.oneapp.cl/static/img/Respuesta/64028674/f5db90a4bd81f9c0e156c64bd39a6e62.jpg</t>
  </si>
  <si>
    <t>Parque 141</t>
  </si>
  <si>
    <t>Cra 16 a n 141 14</t>
  </si>
  <si>
    <t>https://maps.app.goo.gl/UcHk4L3bg2tuN8mF9?g_st=aw</t>
  </si>
  <si>
    <t>Ricardo Marquez</t>
  </si>
  <si>
    <t>Foto: https://oxxo-colombia.oneapp.cl/static/img/Respuesta/64081278/7aeea91bb3933caa81fbbc2d732cba39.jpg</t>
  </si>
  <si>
    <t>Oxxo perdomo</t>
  </si>
  <si>
    <t>Carrera 72 # 64-30</t>
  </si>
  <si>
    <t>https://maps.app.goo.gl/AhEjv1snTQ1L9APy5</t>
  </si>
  <si>
    <t>Foto: https://oxxo-colombia.oneapp.cl/static/img/Respuesta/64086009/a9226cdcde144c35e69aad2dbcb2f30f.jpg</t>
  </si>
  <si>
    <t>Oxxo Bosa 65</t>
  </si>
  <si>
    <t>Calle 65 sur # 80 -47</t>
  </si>
  <si>
    <t>https://maps.app.goo.gl/TVQjbRYXv3XgQg9ZA?g_st=ac</t>
  </si>
  <si>
    <t>Mónica 3212608047</t>
  </si>
  <si>
    <t>Foto: https://oxxo-colombia.oneapp.cl/static/img/Respuesta/64087980/96a6608ff731fae7afec20e8758bd402.jpg</t>
  </si>
  <si>
    <t>Stefany prieto</t>
  </si>
  <si>
    <t>Oxxo kennedy central 2</t>
  </si>
  <si>
    <t>Pinzon 78</t>
  </si>
  <si>
    <t>Carrera 78 A # 33 A sur 55</t>
  </si>
  <si>
    <t>https://maps.app.goo.gl/Cd2TczYk4FrBA5h5A</t>
  </si>
  <si>
    <t>Foto: https://oxxo-colombia.oneapp.cl/static/img/Respuesta/64091054/f1e8b6e5411d9c2ba8b035cb90b17269.jpg</t>
  </si>
  <si>
    <t>Oxxo zafiro</t>
  </si>
  <si>
    <t>Torre 2, urbanización Eduardo Cobos , Zafiro</t>
  </si>
  <si>
    <t>https://maps.app.goo.gl/SwtxMWFkB4JiDuHv9</t>
  </si>
  <si>
    <t>Jhon Mario  acuña</t>
  </si>
  <si>
    <t>Foto: https://oxxo-colombia.oneapp.cl/static/img/Respuesta/64098224/7b92b17ce75758d89e97abf542d6f617.jpg</t>
  </si>
  <si>
    <t>Valvanera</t>
  </si>
  <si>
    <t>Diagonal 13 bis sur #24 d - 87</t>
  </si>
  <si>
    <t>https://maps.app.goo.gl/7DETWu9wjrnqL2ok8</t>
  </si>
  <si>
    <t>Foto: https://oxxo-colombia.oneapp.cl/static/img/Respuesta/64148096/57cb40eab298b5a543fed256691eae0e.jpg</t>
  </si>
  <si>
    <t>Restrepo centro</t>
  </si>
  <si>
    <t>Calle 15 sur # 22 - 57</t>
  </si>
  <si>
    <t>https://maps.app.goo.gl/ezM5R7NiGYvW9G8U7?g_st=ac</t>
  </si>
  <si>
    <t>Foto: https://oxxo-colombia.oneapp.cl/static/img/Respuesta/64148404/a6f36ca6ff82cf59fdc03fd947e99ad0.jpg</t>
  </si>
  <si>
    <t>Calle 63</t>
  </si>
  <si>
    <t>Ave Cra 30 #63d-1</t>
  </si>
  <si>
    <t>https://maps.app.goo.gl/KGPUg9JH2ThHgvJH7</t>
  </si>
  <si>
    <t>Foto: https://oxxo-colombia.oneapp.cl/static/img/Respuesta/64192320/fff261f40ddd05a0714597c67f6af23d.jpg</t>
  </si>
  <si>
    <t>Barrios unidos</t>
  </si>
  <si>
    <t>Av NQS #63d-2 a 63d-92, Bogotá</t>
  </si>
  <si>
    <t>https://maps.app.goo.gl/hn1fv9X1CLU4Fr7L8?g_st=ac</t>
  </si>
  <si>
    <t>N.A</t>
  </si>
  <si>
    <t>Foto: https://oxxo-colombia.oneapp.cl/static/img/Respuesta/64192754/acd113ad8c3105071b9c2fb8ca8405d0.jpg</t>
  </si>
  <si>
    <t>Restrepo central 2</t>
  </si>
  <si>
    <t>Calle 14 sur #19-14</t>
  </si>
  <si>
    <t>https://maps.app.goo.gl/7wQSTpfpJztjYpXg8?g_st=ac</t>
  </si>
  <si>
    <t>Foto: https://oxxo-colombia.oneapp.cl/static/img/Respuesta/64202060/73e44a5c441a7905aea30ce5030ff734.jpg</t>
  </si>
  <si>
    <t>Rionegro 1</t>
  </si>
  <si>
    <t xml:space="preserve">Calazans </t>
  </si>
  <si>
    <t>Calle 91 a #50-28</t>
  </si>
  <si>
    <t>https://maps.app.goo.gl/5jEnqSCWJBpRnh8U7?g_st=ac</t>
  </si>
  <si>
    <t>Foto: https://oxxo-colombia.oneapp.cl/static/img/Respuesta/64202199/a8ba6d3b7ed8560b49868e10801765e7.jpg</t>
  </si>
  <si>
    <t>La triada</t>
  </si>
  <si>
    <t>Cra. 19 #33-89, Centro, Bucaramanga, Santander</t>
  </si>
  <si>
    <t>https://maps.app.goo.gl/beTYijXyxijQX2aP7?g_st=awb</t>
  </si>
  <si>
    <t>www.dominguezparra.com</t>
  </si>
  <si>
    <t>Foto: https://oxxo-colombia.oneapp.cl/static/img/Respuesta/64295062/502ffb3fe9d45e3b74413b65a04d8592.jpg</t>
  </si>
  <si>
    <t>Digitalware</t>
  </si>
  <si>
    <t>Calle 72 #12-69</t>
  </si>
  <si>
    <t>https://maps.app.goo.gl/QwEYFb3QzpPPawyU7?g_st=aw</t>
  </si>
  <si>
    <t>Foto: https://oxxo-colombia.oneapp.cl/static/img/Respuesta/64296043/0692011c6747f976d6aa23fc196b906a.jpg</t>
  </si>
  <si>
    <t>Española</t>
  </si>
  <si>
    <t>Cra 81 a no 81 31</t>
  </si>
  <si>
    <t>https://maps.app.goo.gl/4WxWZMz5tU6aTTccA</t>
  </si>
  <si>
    <t>3104887504 Luis rodriguez</t>
  </si>
  <si>
    <t>Foto: https://oxxo-colombia.oneapp.cl/static/img/Respuesta/64307438/6593193d71011221892f93325a50d20c.jpg</t>
  </si>
  <si>
    <t>Tabora 1</t>
  </si>
  <si>
    <t>Cr 80 no 74 20</t>
  </si>
  <si>
    <t>https://maps.app.goo.gl/92UYhk6eCKG8yKk28</t>
  </si>
  <si>
    <t>Foto: https://oxxo-colombia.oneapp.cl/static/img/Respuesta/64307483/862a29136299129246a3dee4cf93488a.jpg</t>
  </si>
  <si>
    <t>Santa Cecilia</t>
  </si>
  <si>
    <t>Calle 53 # 71 c 02</t>
  </si>
  <si>
    <t>https://maps.app.goo.gl/spk7nJc8XQ86HeJj8</t>
  </si>
  <si>
    <t>3105631574  -  3137220942</t>
  </si>
  <si>
    <t>Foto: https://oxxo-colombia.oneapp.cl/static/img/Respuesta/64298605/front_0_1786378329_15.jpg</t>
  </si>
  <si>
    <t>Democracia</t>
  </si>
  <si>
    <t>Calle 34 n 28 esquina</t>
  </si>
  <si>
    <t>https://maps.app.goo.gl/J5oExsX6bDccpbNe7</t>
  </si>
  <si>
    <t>Guillermo cortes</t>
  </si>
  <si>
    <t>Foto: https://oxxo-colombia.oneapp.cl/static/img/Respuesta/64368046/edfcfb0e9db3d91fba18809ff5eb4ffd.jpg</t>
  </si>
  <si>
    <t>Fundación santafe</t>
  </si>
  <si>
    <t>Cra 7 n 119 54</t>
  </si>
  <si>
    <t>https://maps.app.goo.gl/16o2Ukk3CVWCnp4T7</t>
  </si>
  <si>
    <t>Foto: https://oxxo-colombia.oneapp.cl/static/img/Respuesta/64368179/e9aecc22423524a2247babacea911a95.jpg</t>
  </si>
  <si>
    <t>Oxxo Girardot 16</t>
  </si>
  <si>
    <t>Calle 16 # 10 -61</t>
  </si>
  <si>
    <t>https://maps.app.goo.gl/xn4DrLvbwcZVAVs3A</t>
  </si>
  <si>
    <t>Carlos Mario Pineda</t>
  </si>
  <si>
    <t>Foto: https://oxxo-colombia.oneapp.cl/static/img/Respuesta/64381073/66a883ec6b4fbfb5ca3bbf273f545bb4.jpg</t>
  </si>
  <si>
    <t>Oxxo santa Isabel</t>
  </si>
  <si>
    <t>Av calle 3. # 25 a 11</t>
  </si>
  <si>
    <t>https://maps.app.goo.gl/cKNJGd4MhXjkezUV8</t>
  </si>
  <si>
    <t>Luis.fhc0409@gmail.com</t>
  </si>
  <si>
    <t>Foto: https://oxxo-colombia.oneapp.cl/static/img/Respuesta/64426165/ae219e1471b382df09e85882f371af36.jpg</t>
  </si>
  <si>
    <t>Oxxo vergel</t>
  </si>
  <si>
    <t>Calle 3 sur 24 b 41</t>
  </si>
  <si>
    <t>https://maps.app.goo.gl/YMW4BFnbw3tP25Uz6</t>
  </si>
  <si>
    <t>Luis.fhco409@gmail.com</t>
  </si>
  <si>
    <t>Foto: https://oxxo-colombia.oneapp.cl/static/img/Respuesta/64427307/b3db3b01e184e09291746d0c78912f2b.jpg</t>
  </si>
  <si>
    <t>Calle 27 sur , carrera 26 # 27 09</t>
  </si>
  <si>
    <t>https://maps.app.goo.gl/ouU7HMAnQm2FRDUh6?g_st=ac</t>
  </si>
  <si>
    <t>R</t>
  </si>
  <si>
    <t>Foto: https://oxxo-colombia.oneapp.cl/static/img/Respuesta/64431031/58b0270f34c9a2358fafe4ff31d540e4.jpg</t>
  </si>
  <si>
    <t>Trébol cra 30</t>
  </si>
  <si>
    <t>Av carrera 30 #73-46</t>
  </si>
  <si>
    <t>https://maps.app.goo.gl/gyXitncdMkQc5a4V8?g_st=ac</t>
  </si>
  <si>
    <t>Foto: https://oxxo-colombia.oneapp.cl/static/img/Respuesta/64431621/dec7d7f6ccfd9ab10a955f1b7bb7c51f.jpg</t>
  </si>
  <si>
    <t>Altablanca</t>
  </si>
  <si>
    <t>Calle 159 #7h-34</t>
  </si>
  <si>
    <t>https://maps.app.goo.gl/tH7bykwF6AAyaUaa8</t>
  </si>
  <si>
    <t>Comprasramirezh@gmail.com</t>
  </si>
  <si>
    <t>Foto: https://oxxo-colombia.oneapp.cl/static/img/Respuesta/64436527/3f6c9365e36665f83d023caa97bcd35b.jpg</t>
  </si>
  <si>
    <t>Las Delicias</t>
  </si>
  <si>
    <t>Transversal 68i #44-05</t>
  </si>
  <si>
    <t>https://maps.app.goo.gl/h2xQGxM4DHteF6hx7</t>
  </si>
  <si>
    <t>Maritsasanchez.1961@gmail.com</t>
  </si>
  <si>
    <t>Foto: https://oxxo-colombia.oneapp.cl/static/img/Respuesta/64439726/37f7f9e9b11ec42af69ef3d8e7a2bc6e.jpg</t>
  </si>
  <si>
    <t>Oxxo Cra 50</t>
  </si>
  <si>
    <t>Av Carrera 50 # 59- 18</t>
  </si>
  <si>
    <t>https://maps.app.goo.gl/NS1DvRiF7cweGxat7</t>
  </si>
  <si>
    <t>https://oxxo-colombia.oneapp.cl/static/img/Respuesta/64492024/6b66cb73921171592609b213ecd434b5.jpg</t>
  </si>
  <si>
    <t>Oxxo Restrepo 15</t>
  </si>
  <si>
    <t>Calle 15 # 22 - 57</t>
  </si>
  <si>
    <t>https://maps.app.goo.gl/8rL3JwMyL57oMLfm8</t>
  </si>
  <si>
    <t>https://oxxo-colombia.oneapp.cl/static/img/Respuesta/64496916/7534145f1397ff7f4f255d868b5f9f10.jpg</t>
  </si>
  <si>
    <t>San Fernando 68</t>
  </si>
  <si>
    <t>Cl 68 no 54 43</t>
  </si>
  <si>
    <t>https://maps.app.goo.gl/shRbaHAgchEdEM4C8</t>
  </si>
  <si>
    <t>No hau</t>
  </si>
  <si>
    <t>Foto: https://oxxo-colombia.oneapp.cl/static/img/Respuesta/64506382/6eeb34d565e237c83e9a9afe70c77e5f.jpg</t>
  </si>
  <si>
    <t>M3</t>
  </si>
  <si>
    <t>Av cr 30 63 d 17</t>
  </si>
  <si>
    <t>https://maps.app.goo.gl/2ZxP3fEVHqy4f7vA9</t>
  </si>
  <si>
    <t>No hay</t>
  </si>
  <si>
    <t>Foto: https://oxxo-colombia.oneapp.cl/static/img/Respuesta/64506483/b7ddc8e1e7bb420460061eef47a2c24e.jpg</t>
  </si>
  <si>
    <t>Descartado por duplicado (Manzana 3)</t>
  </si>
  <si>
    <t>Madrid regiotram</t>
  </si>
  <si>
    <t>Carrera 6#8-95</t>
  </si>
  <si>
    <t>https://maps.app.goo.gl/2fMhKXAswbtgWt95A</t>
  </si>
  <si>
    <t>Foto: https://oxxo-colombia.oneapp.cl/static/img/Respuesta/64507184/0f7ad82a95e05dfb5ee4c95699811902.jpg</t>
  </si>
  <si>
    <t>Madrid san Pedro</t>
  </si>
  <si>
    <t>Calle 21#1a-23</t>
  </si>
  <si>
    <t>https://maps.app.goo.gl/mfBZXKXjBVFyyG7s6?g_st=iw</t>
  </si>
  <si>
    <t>Foto: https://oxxo-colombia.oneapp.cl/static/img/Respuesta/64507319/c241eab19a25805909d7d72c7a1c1b79.jpg</t>
  </si>
  <si>
    <t>Facatativa nova plaza</t>
  </si>
  <si>
    <t>Carrera 10#8a-12 local 1 nova plaza centro comercial</t>
  </si>
  <si>
    <t>https://maps.app.goo.gl/V6ShpyxgiSEuTN7Y6?g_st=iw</t>
  </si>
  <si>
    <t>Foto: https://oxxo-colombia.oneapp.cl/static/img/Respuesta/64507402/384bd40b6b39976d56a86b41e2de4b4e.jpg</t>
  </si>
  <si>
    <t>Restrepo zona rosa</t>
  </si>
  <si>
    <t>Carrera 17 #16-87 sur</t>
  </si>
  <si>
    <t>https://maps.app.goo.gl/8FuTV4SS1zzXVKt68?g_st=ac</t>
  </si>
  <si>
    <t>Foto: https://oxxo-colombia.oneapp.cl/static/img/Respuesta/64556364/a2ff3053a8cca3847c1b0d733a22fc32.jpg</t>
  </si>
  <si>
    <t>MARTIN CELI</t>
  </si>
  <si>
    <t>martin.cely@oxxo.com</t>
  </si>
  <si>
    <t>Villa Carolina</t>
  </si>
  <si>
    <t>Calle 87 # 65-08</t>
  </si>
  <si>
    <t>https://maps.app.goo.gl/bY7bMTPL2YEayuiV7?g_st=ac</t>
  </si>
  <si>
    <t>No suministro</t>
  </si>
  <si>
    <t>Foto: https://oxxo-colombia.oneapp.cl/static/img/Respuesta/64559690/8f84acec25a63cda45708083afa546b2.jpg</t>
  </si>
  <si>
    <t>Oxxo graffity americas</t>
  </si>
  <si>
    <t>Avenida calle 9 carrera 56</t>
  </si>
  <si>
    <t>https://maps.app.goo.gl/YeadoXSubg4yFrpz8</t>
  </si>
  <si>
    <t>Dadministrativa@igeos.co</t>
  </si>
  <si>
    <t>Foto: https://oxxo-colombia.oneapp.cl/static/img/Respuesta/64560366/2e89b4bd366b6a1cb441f3de4fb50abc.jpg</t>
  </si>
  <si>
    <t>Venezuela bistró</t>
  </si>
  <si>
    <t>Calle 95#15</t>
  </si>
  <si>
    <t>https://maps.app.goo.gl/9BHevnQT4EyzNFUQ8</t>
  </si>
  <si>
    <t>Foto: https://oxxo-colombia.oneapp.cl/static/img/Respuesta/64561373/bcc0e0af8f029633b5d5deadead8f0b0.jpg</t>
  </si>
  <si>
    <t>Prime tower</t>
  </si>
  <si>
    <t>Ac 100 #19-54</t>
  </si>
  <si>
    <t>https://maps.app.goo.gl/zZHCnLMfy6K42Ct16</t>
  </si>
  <si>
    <t>Tecni</t>
  </si>
  <si>
    <t>Foto: https://oxxo-colombia.oneapp.cl/static/img/Respuesta/64561627/cfa58386852f5cf930bd0bf545cc3c00.jpg</t>
  </si>
  <si>
    <t>Eds Mallorquín</t>
  </si>
  <si>
    <t>Av. Simón Bolivar #5-3</t>
  </si>
  <si>
    <t>https://maps.app.goo.gl/nMBuabFChYgKTnds7</t>
  </si>
  <si>
    <t>Eds Texaco - Financar</t>
  </si>
  <si>
    <t>Foto: https://oxxo-colombia.oneapp.cl/static/img/Respuesta/64562392/f0b257c8e815c76e270ddafa9c28ff50.jpg</t>
  </si>
  <si>
    <t>Ciudad Mallorquín</t>
  </si>
  <si>
    <t>Futuro Centro comercial</t>
  </si>
  <si>
    <t>https://maps.app.goo.gl/Fojvrv2UdC78wtrW9</t>
  </si>
  <si>
    <t>Foto: https://oxxo-colombia.oneapp.cl/static/img/Respuesta/64562869/9db69d7b16c79f5530f9be22323b9e6b.jpg</t>
  </si>
  <si>
    <t>Modelia 81</t>
  </si>
  <si>
    <t>Av esperanza 81 c 09</t>
  </si>
  <si>
    <t>https://maps.app.goo.gl/EYTtB7iEbU9k5RaX6?g_st=ac</t>
  </si>
  <si>
    <t>Foto: https://oxxo-colombia.oneapp.cl/static/img/Respuesta/64564163/d8c339a3830f49b0e6b5e4c607aa6b98.jpg</t>
  </si>
  <si>
    <t>Castilla 74</t>
  </si>
  <si>
    <t>Cra. 74 #160-83</t>
  </si>
  <si>
    <t>https://maps.app.goo.gl/bARgrTmm5GizyMWq8</t>
  </si>
  <si>
    <t>No setiene</t>
  </si>
  <si>
    <t>Foto: https://oxxo-colombia.oneapp.cl/static/img/Respuesta/64606567/f0f13b959dae2986f6964a923da757f4.jpg</t>
  </si>
  <si>
    <t>Oxxo 52</t>
  </si>
  <si>
    <t>Kr 13 no 52 36</t>
  </si>
  <si>
    <t>https://maps.app.goo.gl/WM7TVwsvyiaKxHUN6?g_st=ac</t>
  </si>
  <si>
    <t>No se tien</t>
  </si>
  <si>
    <t>Foto: https://oxxo-colombia.oneapp.cl/static/img/Respuesta/64606744/6dcbe4cc261a03552a2af64d0e7dea8f.jpg</t>
  </si>
  <si>
    <t>Oxxo la campiña</t>
  </si>
  <si>
    <t>Bazaar 80 km 2 calle 80 via siberia</t>
  </si>
  <si>
    <t>https://maps.app.goo.gl/z2TdaAuBe4AD367c8?g_st=ac</t>
  </si>
  <si>
    <t>Foto: https://oxxo-colombia.oneapp.cl/static/img/Respuesta/64690361/6ac841d030ccceeebf7994d4a1d5c9f8.jpg</t>
  </si>
  <si>
    <t>El Carmen de apilaca</t>
  </si>
  <si>
    <t>CRA 8 #4-55 el Carmen Apicalá</t>
  </si>
  <si>
    <t>https://maps.app.goo.gl/G3uk3AYyLqMEkUpd8</t>
  </si>
  <si>
    <t>Manuel Quiroz</t>
  </si>
  <si>
    <t>Foto: https://oxxo-colombia.oneapp.cl/static/img/Respuesta/64693835/d95fc556c6b765ceb48428fb5f6f3fad.jpg</t>
  </si>
  <si>
    <t>El Carmen de Apicalá</t>
  </si>
  <si>
    <t>CRA 8 #4-27</t>
  </si>
  <si>
    <t>https://maps.app.goo.gl/2p2GtS6Ns2bARi637</t>
  </si>
  <si>
    <t>Pedro Luis Morales</t>
  </si>
  <si>
    <t>Foto: https://oxxo-colombia.oneapp.cl/static/img/Respuesta/64694116/061e0a5b66fbed36364125ad70e52d39.jpg</t>
  </si>
  <si>
    <t>EFS NQS 41</t>
  </si>
  <si>
    <t>Av carrera 30 #41 - 25</t>
  </si>
  <si>
    <t>https://maps.app.goo.gl/z7d3t6Ca2R429YeQ9?g_st=ac</t>
  </si>
  <si>
    <t>Foto: https://oxxo-colombia.oneapp.cl/static/img/Respuesta/64699447/1ffe6766963e7cd4a25a99306d97ce3a.jpg</t>
  </si>
  <si>
    <t>Puente Vargas Cajica</t>
  </si>
  <si>
    <t>Calle 7 #10E - 02 Cajica</t>
  </si>
  <si>
    <t>https://maps.app.goo.gl/oVpXmGX7GQPybr8w9</t>
  </si>
  <si>
    <t>N/a</t>
  </si>
  <si>
    <t>Foto: https://oxxo-colombia.oneapp.cl/static/img/Respuesta/64754095/386639920c5a9665648f5d851c8e2031.jpg</t>
  </si>
  <si>
    <t>Calle 150</t>
  </si>
  <si>
    <t>Calle 150 #23-16</t>
  </si>
  <si>
    <t>https://maps.app.goo.gl/B2i3G1rq2zFX5fnz6</t>
  </si>
  <si>
    <t>Ok</t>
  </si>
  <si>
    <t>Foto: https://oxxo-colombia.oneapp.cl/static/img/Respuesta/64764029/7c64f6883739e87e5012726f58644718.jpg</t>
  </si>
  <si>
    <t>https://maps.app.goo.gl/9GoaaCixHxKMfG6t8?g_st=ic</t>
  </si>
  <si>
    <t>https://maps.app.goo.gl/iDNyaMgnLsGZuoEq6?g_st=ic</t>
  </si>
  <si>
    <t>Av. Circunvalar con 53</t>
  </si>
  <si>
    <t>25F7+JM4 Barranquilla, Atlántico</t>
  </si>
  <si>
    <t>25F5+7R8 Barranquilla, Atlántico</t>
  </si>
  <si>
    <t>Cra 74 Calle 83</t>
  </si>
  <si>
    <t>https://maps.app.goo.gl/GkAVUejZ55XkqwRU8?g_st=ac</t>
  </si>
  <si>
    <t>https://maps.app.goo.gl/4w7YwaYbCfE3uBB68?g_st=aw</t>
  </si>
  <si>
    <t>https://maps.app.goo.gl/LvP4MBopJRYzXW7u7?g_st=aw</t>
  </si>
  <si>
    <t>https://maps.app.goo.gl/QRpq7DSvH51C7y9j8</t>
  </si>
  <si>
    <t>30-2026</t>
  </si>
  <si>
    <t>31-2026</t>
  </si>
  <si>
    <t>Total Puntos potenciales</t>
  </si>
  <si>
    <t>COD ESP</t>
  </si>
  <si>
    <t>Especialista</t>
  </si>
  <si>
    <t>Micro_Bog_1</t>
  </si>
  <si>
    <t>GONZALEZ GOMEZ JURY CAROLINA</t>
  </si>
  <si>
    <t>Micro_Bog_2</t>
  </si>
  <si>
    <t>TORRES MARTINEZ CINDY YESENIA</t>
  </si>
  <si>
    <t>Esp_1</t>
  </si>
  <si>
    <t>DIAZ ORTIZ LINA</t>
  </si>
  <si>
    <t>Esp_2</t>
  </si>
  <si>
    <t>ACUNA ROJAS JENNY</t>
  </si>
  <si>
    <t>Esp_3</t>
  </si>
  <si>
    <t>MEJIA TUTA LEIDY</t>
  </si>
  <si>
    <t>Esp_4</t>
  </si>
  <si>
    <t>LOPEZ CANDAMIL MARTHA LILIANA</t>
  </si>
  <si>
    <t>Esp_5</t>
  </si>
  <si>
    <t>BOLAÑOS DIAZ CARLOS</t>
  </si>
  <si>
    <t>Esp_6</t>
  </si>
  <si>
    <t>Rojas Romero Alejandra</t>
  </si>
  <si>
    <t>Micro_Med_1</t>
  </si>
  <si>
    <t>JORGE WILLIAM GRANADOS RUIZ</t>
  </si>
  <si>
    <t>Esp_7</t>
  </si>
  <si>
    <t>HECTOR DUQUE</t>
  </si>
  <si>
    <t>hector.duque@oxxo.com</t>
  </si>
  <si>
    <t>Unete Colombia</t>
  </si>
  <si>
    <t>Expansión</t>
  </si>
  <si>
    <t>Antena 10 - 10101</t>
  </si>
  <si>
    <t>Ocasional</t>
  </si>
  <si>
    <t>Resultados</t>
  </si>
  <si>
    <t>Provenza</t>
  </si>
  <si>
    <t>Foto</t>
  </si>
  <si>
    <t>https://maps.app.goo.gl/frLXqaF35ahohnk99?g_st=ac</t>
  </si>
  <si>
    <t>Provenza 36</t>
  </si>
  <si>
    <t>https://maps.app.goo.gl/hqfjgAbGBaspaH95A?g_st=ac</t>
  </si>
  <si>
    <t>Yilver Torrealba</t>
  </si>
  <si>
    <t>yilver.torrealba@oxxo.com</t>
  </si>
  <si>
    <t>Antena 3 - 33333</t>
  </si>
  <si>
    <t>EL JARDÍN</t>
  </si>
  <si>
    <t>https://maps.app.goo.gl/voKD1MPcMSSX6yiD7</t>
  </si>
  <si>
    <t>elvia.jaimes@oxxo.com</t>
  </si>
  <si>
    <t>Antena 9 - 99999</t>
  </si>
  <si>
    <t>CC Tunal</t>
  </si>
  <si>
    <t>https://maps.app.goo.gl/ZQ9uqt2Ag6oU7LWDA?g_st=ac</t>
  </si>
  <si>
    <t>Meta visitas normal</t>
  </si>
  <si>
    <t>Meta visitas Festivo</t>
  </si>
  <si>
    <t>Efectivos</t>
  </si>
  <si>
    <t>Microcelula</t>
  </si>
  <si>
    <t>Concat</t>
  </si>
  <si>
    <t>Fecha Festivo</t>
  </si>
  <si>
    <t>Día</t>
  </si>
  <si>
    <t>Nombre del Festivo</t>
  </si>
  <si>
    <t>Tipo / Nota</t>
  </si>
  <si>
    <t>2025-01-01</t>
  </si>
  <si>
    <t>Miércoles</t>
  </si>
  <si>
    <t>Año Nuevo</t>
  </si>
  <si>
    <t>Fijo</t>
  </si>
  <si>
    <t>2025-01-06</t>
  </si>
  <si>
    <t>Lunes</t>
  </si>
  <si>
    <t>Día de los Reyes Magos</t>
  </si>
  <si>
    <t>Ley Emiliani</t>
  </si>
  <si>
    <t>2025-03-24</t>
  </si>
  <si>
    <t>Día de San José</t>
  </si>
  <si>
    <t>2025-04-17</t>
  </si>
  <si>
    <t>Jueves</t>
  </si>
  <si>
    <t>Jueves Santo</t>
  </si>
  <si>
    <t>Semana Santa</t>
  </si>
  <si>
    <t>2025-04-18</t>
  </si>
  <si>
    <t>Viernes</t>
  </si>
  <si>
    <t>Viernes Santo</t>
  </si>
  <si>
    <t>2025-05-01</t>
  </si>
  <si>
    <t>Día del Trabajo</t>
  </si>
  <si>
    <t>2025-06-02</t>
  </si>
  <si>
    <t>Día de la Ascensión</t>
  </si>
  <si>
    <t>2025-06-23</t>
  </si>
  <si>
    <t>Corpus Christi</t>
  </si>
  <si>
    <t>2025-06-30</t>
  </si>
  <si>
    <t>Sagrado Corazón / San Pedro y San Pablo</t>
  </si>
  <si>
    <t>2025-07-20</t>
  </si>
  <si>
    <t>Domingo</t>
  </si>
  <si>
    <t>Día de la Independencia</t>
  </si>
  <si>
    <t>2025-08-07</t>
  </si>
  <si>
    <t>Batalla de Boyacá</t>
  </si>
  <si>
    <t>2025-08-18</t>
  </si>
  <si>
    <t>Asunción de la Virgen</t>
  </si>
  <si>
    <t>2025-10-13</t>
  </si>
  <si>
    <t>Día de la Raza</t>
  </si>
  <si>
    <t>2025-11-03</t>
  </si>
  <si>
    <t>Día de Todos los Santos</t>
  </si>
  <si>
    <t>2025-11-17</t>
  </si>
  <si>
    <t>Independencia de Cartagena</t>
  </si>
  <si>
    <t>2025-12-08</t>
  </si>
  <si>
    <t>Inmaculada Concepción</t>
  </si>
  <si>
    <t>2025-12-25</t>
  </si>
  <si>
    <t>Navidad</t>
  </si>
  <si>
    <t>2026-01-01</t>
  </si>
  <si>
    <t>2026-01-12</t>
  </si>
  <si>
    <t>2026-03-23</t>
  </si>
  <si>
    <t>2026-04-02</t>
  </si>
  <si>
    <t>2026-04-03</t>
  </si>
  <si>
    <t>2026-05-01</t>
  </si>
  <si>
    <t>2026-04-18</t>
  </si>
  <si>
    <t>Día de la Ascensión del Señor</t>
  </si>
  <si>
    <t>2026-06-08</t>
  </si>
  <si>
    <t>2026-06-15</t>
  </si>
  <si>
    <t>Sagrado Corazón de Jesús</t>
  </si>
  <si>
    <t>2026-06-29</t>
  </si>
  <si>
    <t>San Pedro y San Pablo</t>
  </si>
  <si>
    <t>2026-07-09</t>
  </si>
  <si>
    <t>Virgen de Chiquinquirá</t>
  </si>
  <si>
    <t>Nuevo Festivo (Ley 2424)</t>
  </si>
  <si>
    <t>2026-07-20</t>
  </si>
  <si>
    <t>2026-08-07</t>
  </si>
  <si>
    <t>2026-08-17</t>
  </si>
  <si>
    <t>2026-10-12</t>
  </si>
  <si>
    <t>2026-11-02</t>
  </si>
  <si>
    <t>2026-11-16</t>
  </si>
  <si>
    <t>2026-12-08</t>
  </si>
  <si>
    <t>Martes</t>
  </si>
  <si>
    <t>2026-12-25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</si>
</sst>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Roboto"/>
      <charset val="1"/>
    </font>
    <font>
      <sz val="11"/>
      <color rgb="FF000000"/>
      <name val="Calibri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6FA"/>
        <bgColor rgb="FFF2F6FA"/>
      </patternFill>
    </fill>
    <fill>
      <patternFill patternType="solid">
        <fgColor rgb="FFFFFFFF"/>
        <bgColor rgb="FFFFFFFF"/>
      </patternFill>
    </fill>
    <fill>
      <patternFill patternType="solid">
        <fgColor rgb="FF1F4E79"/>
        <bgColor rgb="FF1F4E7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5">
    <xf numFmtId="0" fontId="0" fillId="0" borderId="0" xfId="0"/>
    <xf numFmtId="0" fontId="19" fillId="0" borderId="11" xfId="42" applyBorder="1" applyAlignment="1">
      <alignment wrapText="1"/>
    </xf>
    <xf numFmtId="0" fontId="20" fillId="33" borderId="12" xfId="0" applyFont="1" applyFill="1" applyBorder="1" applyAlignment="1">
      <alignment horizontal="left"/>
    </xf>
    <xf numFmtId="0" fontId="20" fillId="33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left"/>
    </xf>
    <xf numFmtId="0" fontId="21" fillId="35" borderId="12" xfId="0" applyFont="1" applyFill="1" applyBorder="1" applyAlignment="1">
      <alignment horizontal="center" vertical="center"/>
    </xf>
    <xf numFmtId="0" fontId="22" fillId="0" borderId="11" xfId="0" applyFont="1" applyBorder="1" applyAlignment="1">
      <alignment wrapText="1"/>
    </xf>
    <xf numFmtId="0" fontId="23" fillId="0" borderId="11" xfId="0" applyFont="1" applyBorder="1" applyAlignment="1">
      <alignment wrapText="1"/>
    </xf>
    <xf numFmtId="14" fontId="22" fillId="0" borderId="11" xfId="0" applyNumberFormat="1" applyFont="1" applyBorder="1" applyAlignment="1">
      <alignment wrapText="1"/>
    </xf>
    <xf numFmtId="20" fontId="22" fillId="0" borderId="11" xfId="0" applyNumberFormat="1" applyFont="1" applyBorder="1" applyAlignment="1">
      <alignment wrapText="1"/>
    </xf>
    <xf numFmtId="0" fontId="24" fillId="0" borderId="11" xfId="0" applyFont="1" applyBorder="1" applyAlignment="1">
      <alignment wrapText="1"/>
    </xf>
    <xf numFmtId="0" fontId="0" fillId="0" borderId="0" xfId="0" applyAlignment="1">
      <alignment horizontal="center"/>
    </xf>
    <xf numFmtId="0" fontId="0" fillId="36" borderId="0" xfId="0" applyFill="1"/>
    <xf numFmtId="0" fontId="0" fillId="0" borderId="10" xfId="0" applyBorder="1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19" fillId="0" borderId="10" xfId="42" applyBorder="1" applyAlignment="1">
      <alignment vertical="top" wrapText="1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3" xfId="0" applyBorder="1" applyAlignment="1">
      <alignment vertical="top" wrapText="1"/>
    </xf>
    <xf numFmtId="0" fontId="0" fillId="0" borderId="13" xfId="0" applyBorder="1"/>
    <xf numFmtId="14" fontId="0" fillId="0" borderId="0" xfId="0" applyNumberFormat="1"/>
    <xf numFmtId="14" fontId="0" fillId="0" borderId="10" xfId="0" applyNumberFormat="1" applyBorder="1" applyAlignment="1">
      <alignment vertical="top" wrapText="1"/>
    </xf>
    <xf numFmtId="164" fontId="0" fillId="0" borderId="10" xfId="0" applyNumberFormat="1" applyBorder="1" applyAlignment="1">
      <alignment vertical="top" wrapText="1"/>
    </xf>
    <xf numFmtId="0" fontId="0" fillId="0" borderId="13" xfId="0" applyBorder="1" applyAlignment="1">
      <alignment horizontal="left"/>
    </xf>
    <xf numFmtId="14" fontId="0" fillId="0" borderId="10" xfId="0" applyNumberFormat="1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0" xfId="0" applyAlignment="1">
      <alignment vertical="top" wrapText="1"/>
    </xf>
    <xf numFmtId="0" fontId="25" fillId="37" borderId="10" xfId="0" applyFont="1" applyFill="1" applyBorder="1" applyAlignment="1">
      <alignment horizontal="center" vertical="center" wrapText="1"/>
    </xf>
    <xf numFmtId="0" fontId="18" fillId="38" borderId="0" xfId="0" applyFont="1" applyFill="1" applyAlignment="1">
      <alignment horizontal="center" vertical="center" wrapText="1"/>
    </xf>
    <xf numFmtId="0" fontId="25" fillId="37" borderId="14" xfId="0" applyFont="1" applyFill="1" applyBorder="1" applyAlignment="1">
      <alignment horizontal="center" vertical="center" wrapText="1"/>
    </xf>
    <xf numFmtId="0" fontId="19" fillId="0" borderId="14" xfId="42" applyBorder="1" applyAlignment="1">
      <alignment vertical="top" wrapText="1"/>
    </xf>
    <xf numFmtId="0" fontId="0" fillId="0" borderId="17" xfId="0" applyBorder="1" applyAlignment="1">
      <alignment horizontal="left"/>
    </xf>
    <xf numFmtId="0" fontId="0" fillId="0" borderId="14" xfId="0" applyBorder="1" applyAlignment="1">
      <alignment horizontal="left" vertical="top" wrapText="1"/>
    </xf>
    <xf numFmtId="0" fontId="25" fillId="37" borderId="13" xfId="0" applyFont="1" applyFill="1" applyBorder="1" applyAlignment="1">
      <alignment horizontal="center" vertical="center" wrapText="1"/>
    </xf>
    <xf numFmtId="0" fontId="19" fillId="0" borderId="13" xfId="42" applyBorder="1" applyAlignment="1">
      <alignment vertical="top" wrapText="1"/>
    </xf>
    <xf numFmtId="0" fontId="19" fillId="0" borderId="13" xfId="42" applyBorder="1"/>
    <xf numFmtId="0" fontId="18" fillId="38" borderId="0" xfId="0" applyFont="1" applyFill="1" applyAlignment="1">
      <alignment horizontal="center" vertical="top" wrapText="1"/>
    </xf>
    <xf numFmtId="0" fontId="19" fillId="0" borderId="10" xfId="42" applyFill="1" applyBorder="1" applyAlignment="1">
      <alignment vertical="top" wrapText="1"/>
    </xf>
    <xf numFmtId="0" fontId="19" fillId="0" borderId="0" xfId="42" applyAlignment="1">
      <alignment vertical="center"/>
    </xf>
    <xf numFmtId="0" fontId="19" fillId="0" borderId="10" xfId="42" applyFill="1" applyBorder="1" applyAlignment="1">
      <alignment vertical="center" wrapText="1"/>
    </xf>
    <xf numFmtId="0" fontId="0" fillId="0" borderId="0" xfId="0" applyAlignment="1">
      <alignment vertical="center"/>
    </xf>
    <xf numFmtId="0" fontId="19" fillId="0" borderId="13" xfId="42" applyBorder="1" applyAlignment="1">
      <alignment wrapText="1"/>
    </xf>
    <xf numFmtId="0" fontId="26" fillId="0" borderId="0" xfId="0" applyFont="1"/>
    <xf numFmtId="0" fontId="19" fillId="0" borderId="0" xfId="42"/>
    <xf numFmtId="0" fontId="0" fillId="0" borderId="0" xfId="0" applyAlignment="1">
      <alignment vertical="top"/>
    </xf>
    <xf numFmtId="0" fontId="27" fillId="0" borderId="10" xfId="0" applyFont="1" applyBorder="1" applyAlignment="1">
      <alignment vertical="top" wrapText="1"/>
    </xf>
    <xf numFmtId="14" fontId="27" fillId="0" borderId="10" xfId="0" applyNumberFormat="1" applyFont="1" applyBorder="1" applyAlignment="1">
      <alignment vertical="top" wrapText="1"/>
    </xf>
    <xf numFmtId="20" fontId="27" fillId="0" borderId="10" xfId="0" applyNumberFormat="1" applyFont="1" applyBorder="1" applyAlignment="1">
      <alignment vertical="top" wrapText="1"/>
    </xf>
    <xf numFmtId="0" fontId="27" fillId="0" borderId="16" xfId="0" applyFont="1" applyBorder="1" applyAlignment="1">
      <alignment vertical="top" wrapText="1"/>
    </xf>
    <xf numFmtId="14" fontId="27" fillId="0" borderId="16" xfId="0" applyNumberFormat="1" applyFont="1" applyBorder="1" applyAlignment="1">
      <alignment vertical="top" wrapText="1"/>
    </xf>
    <xf numFmtId="20" fontId="27" fillId="0" borderId="16" xfId="0" applyNumberFormat="1" applyFont="1" applyBorder="1" applyAlignment="1">
      <alignment vertical="top" wrapText="1"/>
    </xf>
    <xf numFmtId="0" fontId="19" fillId="0" borderId="10" xfId="43" applyBorder="1" applyAlignment="1">
      <alignment vertical="top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Hyperlink" xfId="43" xr:uid="{00000000-000B-0000-0000-000008000000}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6F9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Puntos potenciales por Jefe</a:t>
            </a:r>
            <a:r>
              <a:rPr lang="es-CO" baseline="0"/>
              <a:t> de zona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Hoja4!$B$22</c:f>
              <c:strCache>
                <c:ptCount val="1"/>
                <c:pt idx="0">
                  <c:v>Cuenta de Nombre del Punto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Hoja4!$A$23:$A$37</c:f>
              <c:strCache>
                <c:ptCount val="15"/>
                <c:pt idx="0">
                  <c:v>Brayan Mogollón</c:v>
                </c:pt>
                <c:pt idx="1">
                  <c:v>CRISTIAN ESTUPIÃAN</c:v>
                </c:pt>
                <c:pt idx="2">
                  <c:v>Danny Bermeo</c:v>
                </c:pt>
                <c:pt idx="3">
                  <c:v>Diana Victoria Bernal Puentes</c:v>
                </c:pt>
                <c:pt idx="4">
                  <c:v>JOHN ALEJANDRO ALZATE ALZATE</c:v>
                </c:pt>
                <c:pt idx="5">
                  <c:v>SANDRA PADILLA</c:v>
                </c:pt>
                <c:pt idx="6">
                  <c:v>Alejandro Gomez</c:v>
                </c:pt>
                <c:pt idx="7">
                  <c:v>Brayan Ortiz</c:v>
                </c:pt>
                <c:pt idx="8">
                  <c:v>Diana Marcela Arevalo Gonzalez</c:v>
                </c:pt>
                <c:pt idx="9">
                  <c:v>MASSIEL LORENA GARZON MONTES</c:v>
                </c:pt>
                <c:pt idx="10">
                  <c:v>vicky Duque</c:v>
                </c:pt>
                <c:pt idx="11">
                  <c:v>CHRISTIAN CAMILO RODRIGUEZ</c:v>
                </c:pt>
                <c:pt idx="12">
                  <c:v>JAIRO HERNANDEZ</c:v>
                </c:pt>
                <c:pt idx="13">
                  <c:v>KATERIN  DIAZ ZORRO</c:v>
                </c:pt>
                <c:pt idx="14">
                  <c:v>Daniela  Menasse </c:v>
                </c:pt>
              </c:strCache>
            </c:strRef>
          </c:cat>
          <c:val>
            <c:numRef>
              <c:f>Hoja4!$B$23:$B$37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D-403D-B243-887139BA1CA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457024592"/>
        <c:axId val="1457021712"/>
      </c:barChart>
      <c:catAx>
        <c:axId val="1457024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1712"/>
        <c:crosses val="autoZero"/>
        <c:auto val="1"/>
        <c:lblAlgn val="ctr"/>
        <c:lblOffset val="100"/>
        <c:noMultiLvlLbl val="0"/>
      </c:catAx>
      <c:valAx>
        <c:axId val="145702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C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D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904-4BFD-9BDD-858629C36615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4-4BFD-9BDD-858629C3661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1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73-4F0B-BD94-6D56655DFB6A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73-4F0B-BD94-6D56655DFB6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</xdr:colOff>
      <xdr:row>20</xdr:row>
      <xdr:rowOff>152400</xdr:rowOff>
    </xdr:from>
    <xdr:to>
      <xdr:col>9</xdr:col>
      <xdr:colOff>15875</xdr:colOff>
      <xdr:row>39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15227C-D3CB-E457-7B95-767B953B2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16436</xdr:colOff>
      <xdr:row>39</xdr:row>
      <xdr:rowOff>169449</xdr:rowOff>
    </xdr:from>
    <xdr:to>
      <xdr:col>9</xdr:col>
      <xdr:colOff>16435</xdr:colOff>
      <xdr:row>54</xdr:row>
      <xdr:rowOff>147785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82312BB-62C6-BB14-6004-D9BCC3B38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53814</xdr:colOff>
      <xdr:row>20</xdr:row>
      <xdr:rowOff>150678</xdr:rowOff>
    </xdr:from>
    <xdr:to>
      <xdr:col>15</xdr:col>
      <xdr:colOff>53813</xdr:colOff>
      <xdr:row>38</xdr:row>
      <xdr:rowOff>150539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8451E82-DB4C-42CB-8DCE-6063E5847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24.476254861111" createdVersion="8" refreshedVersion="8" minRefreshableVersion="3" recordCount="33" xr:uid="{3149D017-04DA-416B-A257-0B2370D97D60}">
  <cacheSource type="worksheet">
    <worksheetSource ref="A1:U31" sheet="Visitas_Operaciones"/>
  </cacheSource>
  <cacheFields count="20">
    <cacheField name="ID" numFmtId="0">
      <sharedItems containsSemiMixedTypes="0" containsString="0" containsNumber="1" containsInteger="1" minValue="3649217" maxValue="3668119"/>
    </cacheField>
    <cacheField name="Jefe de zona" numFmtId="0">
      <sharedItems count="17">
        <s v="Juan Rojas"/>
        <s v="SANDRA PADILLA"/>
        <s v="JOHN ALEJANDRO ALZATE ALZATE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brayan.mogollon@oxxo.com" u="1"/>
      </sharedItems>
    </cacheField>
    <cacheField name="Correo" numFmtId="0">
      <sharedItems/>
    </cacheField>
    <cacheField name="Fecha de inicio" numFmtId="0">
      <sharedItems/>
    </cacheField>
    <cacheField name="Fecha de envío" numFmtId="0">
      <sharedItems/>
    </cacheField>
    <cacheField name="Hora" numFmtId="0">
      <sharedItems/>
    </cacheField>
    <cacheField name="Año" numFmtId="0">
      <sharedItems containsSemiMixedTypes="0" containsString="0" containsNumber="1" containsInteger="1" minValue="2026" maxValue="2026"/>
    </cacheField>
    <cacheField name="Mes" numFmtId="0">
      <sharedItems/>
    </cacheField>
    <cacheField name="Estado" numFmtId="0">
      <sharedItems/>
    </cacheField>
    <cacheField name="Nombre del Punto " numFmtId="0">
      <sharedItems/>
    </cacheField>
    <cacheField name="Región" numFmtId="0">
      <sharedItems count="3">
        <s v="Centro"/>
        <s v="Nororiente"/>
        <s v="Occidente"/>
      </sharedItems>
    </cacheField>
    <cacheField name="Plaza" numFmtId="0">
      <sharedItems/>
    </cacheField>
    <cacheField name="Dirección" numFmtId="0">
      <sharedItems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MixedTypes="1" containsNumber="1" containsInteger="1" minValue="3002661196" maxValue="3506549064"/>
    </cacheField>
    <cacheField name="Fotos del Local Revisado" numFmtId="0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34.429459953702" createdVersion="8" refreshedVersion="8" minRefreshableVersion="3" recordCount="123" xr:uid="{7039B1AD-B517-4857-A8AC-A68792C851B3}">
  <cacheSource type="worksheet">
    <worksheetSource ref="A1:AN124" sheet="Visitas_Operaciones"/>
  </cacheSource>
  <cacheFields count="38">
    <cacheField name="ID" numFmtId="0">
      <sharedItems containsSemiMixedTypes="0" containsString="0" containsNumber="1" containsInteger="1" minValue="3649249" maxValue="3709581"/>
    </cacheField>
    <cacheField name="Jefe de zona" numFmtId="0">
      <sharedItems count="35">
        <s v="SANDRA PADILLA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DANIEL PANQUEBA"/>
        <s v="DIANA ARAQUE"/>
        <s v="Dany Ospina"/>
        <s v="Diana Becerra"/>
        <s v="Yury Sanchez Diaz"/>
        <s v="Hermis David Cuicas Diaz"/>
        <s v="Andres Ortiz"/>
        <s v="ERNESTO LATORRE"/>
        <s v="FRANCISCO GOMEZ"/>
        <s v="JUAN DIEGO GARCIA"/>
        <s v="LORENA BELTRAN"/>
        <s v="John Nicolas Espinosa Ramirez"/>
        <s v="MILENA GONZALEZ"/>
        <s v="Omar Beltran"/>
        <s v="DANIEL RAMIREZ"/>
        <s v="Fabian Cardozo"/>
        <s v="Luis Felipe Rodelo Bohorquez"/>
        <s v="KATERIN DIAZ ZORRO"/>
        <s v="CRISTIAN ESTUPIÑAN"/>
        <s v="JOHN ALEJANDRO ALZATE ALZATE"/>
        <s v="Juan Gabriel Neira Sierra"/>
      </sharedItems>
    </cacheField>
    <cacheField name="Correo" numFmtId="0">
      <sharedItems containsBlank="1"/>
    </cacheField>
    <cacheField name="Fecha de inicio" numFmtId="0">
      <sharedItems containsDate="1" containsMixedTypes="1" minDate="2026-07-24T00:00:00" maxDate="2026-07-31T00:00:00"/>
    </cacheField>
    <cacheField name="Fecha de envío" numFmtId="0">
      <sharedItems containsDate="1" containsMixedTypes="1" minDate="2026-07-24T00:00:00" maxDate="2026-07-31T00:00:00"/>
    </cacheField>
    <cacheField name="Hora" numFmtId="0">
      <sharedItems containsDate="1" containsMixedTypes="1" minDate="1899-12-30T08:10:00" maxDate="1899-12-30T17:20:00"/>
    </cacheField>
    <cacheField name="Año" numFmtId="0">
      <sharedItems containsSemiMixedTypes="0" containsString="0" containsNumber="1" containsInteger="1" minValue="2026" maxValue="2026"/>
    </cacheField>
    <cacheField name="Mes" numFmtId="0">
      <sharedItems containsMixedTypes="1" containsNumber="1" containsInteger="1" minValue="7" maxValue="7"/>
    </cacheField>
    <cacheField name="Estado" numFmtId="0">
      <sharedItems/>
    </cacheField>
    <cacheField name="Nombre del Punto " numFmtId="0">
      <sharedItems/>
    </cacheField>
    <cacheField name="Cambio de nombre (Si Aplica)" numFmtId="0">
      <sharedItems containsBlank="1"/>
    </cacheField>
    <cacheField name="Región" numFmtId="0">
      <sharedItems/>
    </cacheField>
    <cacheField name="Plaza" numFmtId="0">
      <sharedItems/>
    </cacheField>
    <cacheField name="Dirección" numFmtId="0">
      <sharedItems containsBlank="1" longText="1"/>
    </cacheField>
    <cacheField name="Regional" numFmtId="0">
      <sharedItems containsBlank="1"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Blank="1" containsMixedTypes="1" containsNumber="1" containsInteger="1" minValue="3002661196" maxValue="3506549064"/>
    </cacheField>
    <cacheField name="Fotos del Local Revisado" numFmtId="0">
      <sharedItems longText="1"/>
    </cacheField>
    <cacheField name="Semana año" numFmtId="0">
      <sharedItems containsSemiMixedTypes="0" containsString="0" containsNumber="1" containsInteger="1" minValue="29" maxValue="31"/>
    </cacheField>
    <cacheField name="Mes2" numFmtId="0">
      <sharedItems containsSemiMixedTypes="0" containsString="0" containsNumber="1" containsInteger="1" minValue="7" maxValue="7"/>
    </cacheField>
    <cacheField name="Año2" numFmtId="0">
      <sharedItems containsSemiMixedTypes="0" containsString="0" containsNumber="1" containsInteger="1" minValue="2026" maxValue="2026"/>
    </cacheField>
    <cacheField name="Sem-Año" numFmtId="0">
      <sharedItems/>
    </cacheField>
    <cacheField name="Estado Growth" numFmtId="0">
      <sharedItems/>
    </cacheField>
    <cacheField name="Y" numFmtId="0">
      <sharedItems containsBlank="1" containsMixedTypes="1" containsNumber="1" minValue="4.2976649519973202" maxValue="7.0706374277242299"/>
    </cacheField>
    <cacheField name="X" numFmtId="0">
      <sharedItems containsString="0" containsBlank="1" containsNumber="1" minValue="-75.841607628850099" maxValue="-73.105528329117803"/>
    </cacheField>
    <cacheField name="Comentarios" numFmtId="0">
      <sharedItems containsBlank="1"/>
    </cacheField>
    <cacheField name="Seguimiento Regional" numFmtId="0">
      <sharedItems containsBlank="1" count="4">
        <s v="Descartado"/>
        <s v="Aprobado"/>
        <s v="Pendiente aprob"/>
        <m/>
      </sharedItems>
    </cacheField>
    <cacheField name="Semana" numFmtId="0">
      <sharedItems containsSemiMixedTypes="0" containsString="0" containsNumber="1" containsInteger="1" minValue="1" maxValue="3" count="3">
        <n v="1"/>
        <n v="2"/>
        <n v="3"/>
      </sharedItems>
    </cacheField>
    <cacheField name="Razon de descarte" numFmtId="0">
      <sharedItems containsBlank="1"/>
    </cacheField>
    <cacheField name="Gestor asignado" numFmtId="0">
      <sharedItems containsBlank="1"/>
    </cacheField>
    <cacheField name="Especialista asignado " numFmtId="0">
      <sharedItems containsBlank="1"/>
    </cacheField>
    <cacheField name="Fecha asignación especialista" numFmtId="0">
      <sharedItems containsNonDate="0" containsDate="1" containsString="0" containsBlank="1" minDate="2026-07-28T00:00:00" maxDate="2026-08-01T00:00:00"/>
    </cacheField>
    <cacheField name="Fecha contacto especialista" numFmtId="0">
      <sharedItems containsNonDate="0" containsString="0" containsBlank="1"/>
    </cacheField>
    <cacheField name="Comentarios expansió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39.735705324078" createdVersion="8" refreshedVersion="8" minRefreshableVersion="3" recordCount="168" xr:uid="{4C15C1C5-4528-46A0-99EA-7E397F4534A4}">
  <cacheSource type="worksheet">
    <worksheetSource ref="A1:AN169" sheet="Visitas_Operaciones"/>
  </cacheSource>
  <cacheFields count="40">
    <cacheField name="ID" numFmtId="0">
      <sharedItems containsSemiMixedTypes="0" containsString="0" containsNumber="1" containsInteger="1" minValue="3649249" maxValue="3732553"/>
    </cacheField>
    <cacheField name="Jefe de zona" numFmtId="0">
      <sharedItems count="36">
        <s v="SANDRA PADILLA"/>
        <s v="KATERIN  DIAZ ZORRO"/>
        <s v="JAIRO HERNANDEZ"/>
        <s v="Alejandro Gomez"/>
        <s v="CRISTIAN ESTUPIÑ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DANIEL PANQUEBA"/>
        <s v="DIANA ARAQUE"/>
        <s v="Dany Ospina"/>
        <s v="Diana Becerra"/>
        <s v="Yury Sanchez Diaz"/>
        <s v="Hermis David Cuicas Diaz"/>
        <s v="Andres Ortiz"/>
        <s v="ERNESTO LATORRE"/>
        <s v="FRANCISCO GOMEZ"/>
        <s v="JUAN DIEGO GARCIA"/>
        <s v="LORENA BELTRAN"/>
        <s v="John Nicolas Espinosa Ramirez"/>
        <s v="MILENA GONZALEZ"/>
        <s v="Omar Beltran"/>
        <s v="DANIEL RAMIREZ"/>
        <s v="Fabian Cardozo"/>
        <s v="Luis Felipe Rodelo Bohorquez"/>
        <s v="JOHN ALEJANDRO ALZATE ALZATE"/>
        <s v="Juan Gabriel Neira Sierra"/>
        <s v="KATERIN DIAZ ZORRO"/>
        <s v="John Nicolas  Espinosa Ramirez "/>
        <s v="brayan.mogollon@oxxo.com"/>
      </sharedItems>
    </cacheField>
    <cacheField name="Correo" numFmtId="0">
      <sharedItems containsBlank="1"/>
    </cacheField>
    <cacheField name="Fecha de inicio" numFmtId="0">
      <sharedItems containsDate="1" containsMixedTypes="1" minDate="2026-07-24T00:00:00" maxDate="1900-01-06T06:51:04"/>
    </cacheField>
    <cacheField name="Fecha de envío" numFmtId="0">
      <sharedItems containsDate="1" containsMixedTypes="1" minDate="2026-07-24T00:00:00" maxDate="1900-01-06T06:51:04"/>
    </cacheField>
    <cacheField name="Hora" numFmtId="0">
      <sharedItems containsDate="1" containsMixedTypes="1" minDate="1899-12-30T07:21:00" maxDate="1900-01-01T18:49:03"/>
    </cacheField>
    <cacheField name="Año" numFmtId="0">
      <sharedItems containsSemiMixedTypes="0" containsString="0" containsNumber="1" containsInteger="1" minValue="2026" maxValue="2026"/>
    </cacheField>
    <cacheField name="Mes" numFmtId="0">
      <sharedItems containsMixedTypes="1" containsNumber="1" containsInteger="1" minValue="8" maxValue="8"/>
    </cacheField>
    <cacheField name="Estado" numFmtId="0">
      <sharedItems/>
    </cacheField>
    <cacheField name="Nombre del Punto " numFmtId="0">
      <sharedItems/>
    </cacheField>
    <cacheField name="Cambio de nombre (Si Aplica)" numFmtId="0">
      <sharedItems containsBlank="1"/>
    </cacheField>
    <cacheField name="Región" numFmtId="0">
      <sharedItems/>
    </cacheField>
    <cacheField name="Plaza" numFmtId="0">
      <sharedItems/>
    </cacheField>
    <cacheField name="Dirección" numFmtId="0">
      <sharedItems containsBlank="1" longText="1"/>
    </cacheField>
    <cacheField name="Regional" numFmtId="0">
      <sharedItems containsBlank="1"/>
    </cacheField>
    <cacheField name="Enlace de la ubicación en Google Maps" numFmtId="0">
      <sharedItems longText="1"/>
    </cacheField>
    <cacheField name="Segmento de tienda aproximado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6043547700"/>
    </cacheField>
    <cacheField name="Contacto del Propietario (Correo Electronico)" numFmtId="0">
      <sharedItems containsBlank="1" containsMixedTypes="1" containsNumber="1" containsInteger="1" minValue="3002661196" maxValue="3506549064"/>
    </cacheField>
    <cacheField name="Fotos del Local Revisado" numFmtId="0">
      <sharedItems longText="1"/>
    </cacheField>
    <cacheField name="Sem" numFmtId="0">
      <sharedItems containsSemiMixedTypes="0" containsString="0" containsNumber="1" containsInteger="1" minValue="29" maxValue="32"/>
    </cacheField>
    <cacheField name="Mes2" numFmtId="0">
      <sharedItems containsSemiMixedTypes="0" containsString="0" containsNumber="1" containsInteger="1" minValue="7" maxValue="8"/>
    </cacheField>
    <cacheField name="Año2" numFmtId="0">
      <sharedItems containsSemiMixedTypes="0" containsString="0" containsNumber="1" containsInteger="1" minValue="2026" maxValue="2026"/>
    </cacheField>
    <cacheField name="Sem-Año" numFmtId="0">
      <sharedItems/>
    </cacheField>
    <cacheField name="Estado Growth" numFmtId="0">
      <sharedItems containsBlank="1"/>
    </cacheField>
    <cacheField name="Y" numFmtId="0">
      <sharedItems containsBlank="1" containsMixedTypes="1" containsNumber="1" minValue="4.2976649519973202" maxValue="7.0706374277242299"/>
    </cacheField>
    <cacheField name="X" numFmtId="0">
      <sharedItems containsString="0" containsBlank="1" containsNumber="1" minValue="-75.841607628850099" maxValue="-73.105528329117803"/>
    </cacheField>
    <cacheField name="Comentarios" numFmtId="0">
      <sharedItems containsBlank="1"/>
    </cacheField>
    <cacheField name="Seguimiento Regional" numFmtId="0">
      <sharedItems containsBlank="1"/>
    </cacheField>
    <cacheField name="Semana" numFmtId="0">
      <sharedItems containsString="0" containsBlank="1" containsNumber="1" containsInteger="1" minValue="1" maxValue="5"/>
    </cacheField>
    <cacheField name="Razon de descarte" numFmtId="0">
      <sharedItems containsBlank="1"/>
    </cacheField>
    <cacheField name="Gestor asignado" numFmtId="0">
      <sharedItems containsBlank="1"/>
    </cacheField>
    <cacheField name="Especialista asignado " numFmtId="0">
      <sharedItems containsBlank="1"/>
    </cacheField>
    <cacheField name="Fecha asignación especialista" numFmtId="0">
      <sharedItems containsNonDate="0" containsDate="1" containsString="0" containsBlank="1" minDate="2026-07-28T00:00:00" maxDate="2026-08-04T00:00:00"/>
    </cacheField>
    <cacheField name="Tiempo desde asignación" numFmtId="0">
      <sharedItems containsNonDate="0" containsString="0" containsBlank="1"/>
    </cacheField>
    <cacheField name="Fecha contacto especialista" numFmtId="0">
      <sharedItems containsNonDate="0" containsString="0" containsBlank="1"/>
    </cacheField>
    <cacheField name="Estatus expansion" numFmtId="0">
      <sharedItems containsBlank="1"/>
    </cacheField>
    <cacheField name="Razón de descarte expansión" numFmtId="0">
      <sharedItems containsBlank="1"/>
    </cacheField>
    <cacheField name="Comentarios expansió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3649217"/>
    <x v="0"/>
    <s v="juanp.rojas@oxxo.com"/>
    <s v="14/07/2026"/>
    <s v="14/07/2026"/>
    <s v="07:43"/>
    <n v="2026"/>
    <s v="07"/>
    <s v="Enviado"/>
    <s v="Prueba 1"/>
    <x v="0"/>
    <s v="Bogotá"/>
    <s v="Cualquier cosa"/>
    <s v="Bsbsjaha"/>
    <s v="Base"/>
    <s v="Esquinero"/>
    <s v="Zona Comercial"/>
    <s v="Hshshs"/>
    <s v="Hahshs"/>
    <s v="Foto: https://oxxo-colombia.oneapp.cl/static/img/Respuesta/62602229/6d8ffd2e8c6478e019c6e6f2f184cd89.jpg"/>
  </r>
  <r>
    <n v="3649249"/>
    <x v="1"/>
    <s v="sandra.padilla@oxxo.com"/>
    <s v="14/07/2026"/>
    <s v="14/07/2026"/>
    <s v="08:19"/>
    <n v="2026"/>
    <s v="07"/>
    <s v="Enviado"/>
    <s v="Centro comercial cañaveral"/>
    <x v="1"/>
    <s v="Oriente"/>
    <s v="Calle 30 # 30-04 centro comercial cañaveral"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</r>
  <r>
    <n v="3649241"/>
    <x v="0"/>
    <s v="juanp.rojas@oxxo.com"/>
    <s v="14/07/2026"/>
    <s v="14/07/2026"/>
    <s v="08:31"/>
    <n v="2026"/>
    <s v="07"/>
    <s v="Enviado"/>
    <s v="Prueba 1"/>
    <x v="0"/>
    <s v="Bogotá"/>
    <s v="Cra 8#17-25"/>
    <s v="https://maps.app.goo.gl/sQCBBmYmfUFgSJJw5?g_st=ic"/>
    <s v="Base"/>
    <s v="Esquinero"/>
    <s v="Zona Administrativa"/>
    <n v="3115620222"/>
    <s v="Jajahdy"/>
    <s v="Foto: https://oxxo-colombia.oneapp.cl/static/img/Respuesta/62607707/a67a6d94f2caa7f4eddd443c3d853b30.jpg"/>
  </r>
  <r>
    <n v="3649264"/>
    <x v="2"/>
    <s v="john.alzate@oxxo.com"/>
    <s v="14/07/2026"/>
    <s v="14/07/2026"/>
    <s v="08:31"/>
    <n v="2026"/>
    <s v="07"/>
    <s v="Enviado"/>
    <s v="Prueba alejando alzate"/>
    <x v="2"/>
    <s v="Eje Cafetero"/>
    <s v="Calle 10 10 01"/>
    <s v="https://maps.app.goo.gl/zs9eYrx3BXeghThK7?g_st=ac"/>
    <s v="Receso "/>
    <s v="Esquinero"/>
    <s v="Zona Residencial"/>
    <s v="Prueba"/>
    <s v="Prueba"/>
    <s v="Foto: https://oxxo-colombia.oneapp.cl/static/img/Respuesta/62607776/1bbc7e3ecea7bb71752ba7f613178b51.jpg_x000a_Foto: https://oxxo-colombia.oneapp.cl/static/img/Respuesta/62607776/d01736f34cf7d2fbf49c953d76e353f2.jpg"/>
  </r>
  <r>
    <n v="3649288"/>
    <x v="3"/>
    <s v="katerin.diaz@oxxo.com"/>
    <s v="14/07/2026"/>
    <s v="14/07/2026"/>
    <s v="08:50"/>
    <n v="2026"/>
    <s v="07"/>
    <s v="Enviado"/>
    <s v="Autopista 159"/>
    <x v="0"/>
    <s v="Bogotá"/>
    <s v="Calle 159a 22 76"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</r>
  <r>
    <n v="3649297"/>
    <x v="3"/>
    <s v="katerin.diaz@oxxo.com"/>
    <s v="14/07/2026"/>
    <s v="14/07/2026"/>
    <s v="09:25"/>
    <n v="2026"/>
    <s v="07"/>
    <s v="Enviado"/>
    <s v="Parque Toberin"/>
    <x v="0"/>
    <s v="Bogotá"/>
    <s v="Cra 21 168"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</r>
  <r>
    <n v="3649449"/>
    <x v="4"/>
    <s v="jairo.hernandez@oxxo.com"/>
    <s v="14/07/2026"/>
    <s v="14/07/2026"/>
    <s v="15:19"/>
    <n v="2026"/>
    <s v="07"/>
    <s v="Enviado"/>
    <s v="Oxxo Bolivar Desnudo"/>
    <x v="2"/>
    <s v="Eje Cafetero"/>
    <s v="Calle 19 carrera 7 esquina"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</r>
  <r>
    <n v="3649582"/>
    <x v="4"/>
    <s v="jairo.hernandez@oxxo.com"/>
    <s v="14/07/2026"/>
    <s v="14/07/2026"/>
    <s v="16:17"/>
    <n v="2026"/>
    <s v="07"/>
    <s v="Enviado"/>
    <s v="Oxxo Los Rosales"/>
    <x v="2"/>
    <s v="Eje Cafetero"/>
    <s v="Carrera 9 24- 62"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</r>
  <r>
    <n v="3649592"/>
    <x v="5"/>
    <s v="alejandror.gomez@oxxo.com"/>
    <s v="14/07/2026"/>
    <s v="14/07/2026"/>
    <s v="16:33"/>
    <n v="2026"/>
    <s v="07"/>
    <s v="Enviado"/>
    <s v="Oxxo cra 13"/>
    <x v="2"/>
    <s v="Eje Cafetero"/>
    <s v="Cra 13 no 11-09"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</r>
  <r>
    <n v="3649609"/>
    <x v="6"/>
    <s v="cristian.romero@oxxo.com"/>
    <s v="14/07/2026"/>
    <s v="14/07/2026"/>
    <s v="17:11"/>
    <n v="2026"/>
    <s v="07"/>
    <s v="Enviado"/>
    <s v="Parque industrial kuma"/>
    <x v="0"/>
    <s v="Centro Norte"/>
    <s v="Km 4 via Zipaquirá Bogotá después de el puente de ingreso a Zipaquirá variante Zipaquirá Ubaté vía nacional"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</r>
  <r>
    <n v="3652749"/>
    <x v="7"/>
    <s v="daniela.menasse@oxxo.com"/>
    <s v="15/07/2026"/>
    <s v="15/07/2026"/>
    <s v="08:30"/>
    <n v="2026"/>
    <s v="07"/>
    <s v="Enviado"/>
    <s v="Santo Tomás"/>
    <x v="0"/>
    <s v="Bogotá"/>
    <s v="Carrera 13#52-30 esquina"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</r>
  <r>
    <n v="3652752"/>
    <x v="7"/>
    <s v="daniela.menasse@oxxo.com"/>
    <s v="15/07/2026"/>
    <s v="15/07/2026"/>
    <s v="08:34"/>
    <n v="2026"/>
    <s v="07"/>
    <s v="Enviado"/>
    <s v="Parque Santa Bárbara"/>
    <x v="0"/>
    <s v="Bogotá"/>
    <s v="Calle 122#18b-07"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</r>
  <r>
    <n v="3652756"/>
    <x v="7"/>
    <s v="daniela.menasse@oxxo.com"/>
    <s v="15/07/2026"/>
    <s v="15/07/2026"/>
    <s v="08:39"/>
    <n v="2026"/>
    <s v="07"/>
    <s v="Enviado"/>
    <s v="Av cra 15?"/>
    <x v="0"/>
    <s v="Bogotá"/>
    <s v="Av 15#118-93"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</r>
  <r>
    <n v="3652790"/>
    <x v="8"/>
    <s v="brayan.ortiz@oxxo.com"/>
    <s v="15/07/2026"/>
    <s v="15/07/2026"/>
    <s v="09:22"/>
    <n v="2026"/>
    <s v="07"/>
    <s v="Enviado"/>
    <s v="Tunjuelito"/>
    <x v="0"/>
    <s v="Bogotá"/>
    <s v="Cra 12b 52 80 sur"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</r>
  <r>
    <n v="3652807"/>
    <x v="7"/>
    <s v="daniela.menasse@oxxo.com"/>
    <s v="15/07/2026"/>
    <s v="15/07/2026"/>
    <s v="09:42"/>
    <n v="2026"/>
    <s v="07"/>
    <s v="Enviado"/>
    <s v="Le grand"/>
    <x v="0"/>
    <s v="Bogotá"/>
    <s v="Av 116#15-2"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</r>
  <r>
    <n v="3652812"/>
    <x v="7"/>
    <s v="daniela.menasse@oxxo.com"/>
    <s v="15/07/2026"/>
    <s v="15/07/2026"/>
    <s v="09:48"/>
    <n v="2026"/>
    <s v="07"/>
    <s v="Enviado"/>
    <s v="Pepe av 116"/>
    <x v="0"/>
    <s v="Bogotá"/>
    <s v="Av 116 16-78"/>
    <s v="https://maps.app.goo.gl/FbPpk8UWb766FAqY8?g_st=ic"/>
    <s v="Receso "/>
    <s v="Medianero"/>
    <s v="Zona Comercial"/>
    <n v="3105722683"/>
    <s v="Hay 3 locales desocupados _x000a_2 pegados para que de el área y otro 102 m2"/>
    <s v="Foto: https://oxxo-colombia.oneapp.cl/static/img/Respuesta/62678392/15e782c8af7c8926b7b1e25733587063.jpg"/>
  </r>
  <r>
    <n v="3652852"/>
    <x v="9"/>
    <s v="diana.arevalo@oxxo.com"/>
    <s v="15/07/2026"/>
    <s v="15/07/2026"/>
    <s v="10:38"/>
    <n v="2026"/>
    <s v="07"/>
    <s v="Enviado"/>
    <s v="Fusa Sutagao"/>
    <x v="0"/>
    <s v="Centro Sur "/>
    <s v="EDS Primax - Antigua Panamericana, Arbeláez-Fusagasuga, Fusagasugá, Cundinamarca"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</r>
  <r>
    <n v="3652942"/>
    <x v="10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x v="0"/>
    <s v="Bogotá"/>
    <s v="Carrera 13# 52-22"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</r>
  <r>
    <n v="3652948"/>
    <x v="11"/>
    <s v="christian.rodriguezmarin@oxxo.com"/>
    <s v="15/07/2026"/>
    <s v="15/07/2026"/>
    <s v="12:22"/>
    <n v="2026"/>
    <s v="07"/>
    <s v="Enviado"/>
    <s v="Centro comercial el portico"/>
    <x v="0"/>
    <s v="Centro Sur "/>
    <s v="Centro comercial el pórtico n Fusagasuga"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</r>
  <r>
    <n v="3652991"/>
    <x v="11"/>
    <s v="christian.rodriguezmarin@oxxo.com"/>
    <s v="15/07/2026"/>
    <s v="15/07/2026"/>
    <s v="13:21"/>
    <n v="2026"/>
    <s v="07"/>
    <s v="Enviado"/>
    <s v="Chapinero facatativa"/>
    <x v="0"/>
    <s v="Centro Sur "/>
    <s v="Calle 1 #3-97"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</r>
  <r>
    <n v="3653000"/>
    <x v="12"/>
    <s v="danny.perdomo@oxxo.com"/>
    <s v="15/07/2026"/>
    <s v="15/07/2026"/>
    <s v="13:37"/>
    <n v="2026"/>
    <s v="07"/>
    <s v="Enviado"/>
    <s v="Pasaje 10.60 Outlet américas"/>
    <x v="0"/>
    <s v="Bogotá"/>
    <s v="Cra 60 # 10_ 44 local 105"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</r>
  <r>
    <n v="3653008"/>
    <x v="11"/>
    <s v="christian.rodriguezmarin@oxxo.com"/>
    <s v="15/07/2026"/>
    <s v="15/07/2026"/>
    <s v="13:43"/>
    <n v="2026"/>
    <s v="07"/>
    <s v="Enviado"/>
    <s v="Montecarlo facatativa"/>
    <x v="0"/>
    <s v="Centro Sur "/>
    <s v="Calle 2#5-03"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</r>
  <r>
    <n v="3653140"/>
    <x v="10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x v="0"/>
    <s v="Bogotá"/>
    <s v="Av calle 53 # av cr 72"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</r>
  <r>
    <n v="3653143"/>
    <x v="13"/>
    <s v="massiel.garzon@oxxo.com"/>
    <s v="15/07/2026"/>
    <s v="15/07/2026"/>
    <s v="19:57"/>
    <n v="2026"/>
    <s v="07"/>
    <s v="Enviado"/>
    <s v="Santa Beatriz"/>
    <x v="0"/>
    <s v="Bogotá"/>
    <s v="Cra 15 n 118 93"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</r>
  <r>
    <n v="3653092"/>
    <x v="14"/>
    <s v="brayan.mogollon@oxxo.com"/>
    <s v="15/07/2026"/>
    <s v="15/07/2026"/>
    <s v="21:05"/>
    <n v="2026"/>
    <s v="07"/>
    <s v="Enviado"/>
    <s v="Citadinno"/>
    <x v="0"/>
    <s v="Centro Sur "/>
    <s v="Carrera 13 #33 a - 10"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</r>
  <r>
    <n v="3656243"/>
    <x v="9"/>
    <s v="diana.arevalo@oxxo.com"/>
    <s v="16/07/2026"/>
    <s v="16/07/2026"/>
    <s v="09:43"/>
    <n v="2026"/>
    <s v="07"/>
    <s v="Enviado"/>
    <s v="Girardot Oasis"/>
    <x v="0"/>
    <s v="Centro Sur "/>
    <s v="Carrera 10 # 19 -87  _x000a_Centro  comercial Oasis _x000a_Teléfono  8361574"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</r>
  <r>
    <n v="3656464"/>
    <x v="3"/>
    <s v="katerin.diaz@oxxo.com"/>
    <s v="16/07/2026"/>
    <s v="16/07/2026"/>
    <s v="13:29"/>
    <n v="2026"/>
    <s v="07"/>
    <s v="Enviado"/>
    <s v="Auto 161"/>
    <x v="0"/>
    <s v="Bogotá"/>
    <s v="Cra 45 161 40"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</r>
  <r>
    <n v="3656477"/>
    <x v="8"/>
    <s v="brayan.ortiz@oxxo.com"/>
    <s v="16/07/2026"/>
    <s v="16/07/2026"/>
    <s v="13:45"/>
    <n v="2026"/>
    <s v="07"/>
    <s v="Enviado"/>
    <s v="Siena apartamentos"/>
    <x v="0"/>
    <s v="Bogotá"/>
    <s v="Dg 68 a sur #14 T 20"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</r>
  <r>
    <n v="3656520"/>
    <x v="5"/>
    <s v="alejandror.gomez@oxxo.com"/>
    <s v="16/07/2026"/>
    <s v="16/07/2026"/>
    <s v="15:12"/>
    <n v="2026"/>
    <s v="07"/>
    <s v="Enviado"/>
    <s v="Pinares"/>
    <x v="2"/>
    <s v="Eje Cafetero"/>
    <s v="Calle 14, esquina de clinica san rafael y megacentro pereira"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</r>
  <r>
    <n v="3656577"/>
    <x v="4"/>
    <s v="jairo.hernandez@oxxo.com"/>
    <s v="16/07/2026"/>
    <s v="16/07/2026"/>
    <s v="16:55"/>
    <n v="2026"/>
    <s v="07"/>
    <s v="Enviado"/>
    <s v="Oxxo Monarca"/>
    <x v="2"/>
    <s v="Eje Cafetero"/>
    <s v="Sector las piñas cerritos, Mall Plaza Monarca"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</r>
  <r>
    <n v="3656588"/>
    <x v="13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x v="0"/>
    <s v="Bogotá"/>
    <s v="Auto Norte cra 45 N 122 36"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</r>
  <r>
    <n v="3656652"/>
    <x v="3"/>
    <s v="katerin.diaz@oxxo.com"/>
    <s v="16/07/2026"/>
    <s v="16/07/2026"/>
    <s v="21:40"/>
    <n v="2026"/>
    <s v="07"/>
    <s v="Enviado"/>
    <s v="Pinar"/>
    <x v="0"/>
    <s v="Bogotá"/>
    <s v="Cra 97b calle 153"/>
    <s v="https://maps.app.goo.gl/Zs8Bp3Xwscm3Lyq39"/>
    <s v="Hogar"/>
    <s v="Esquinero"/>
    <s v="Zona Residencial"/>
    <n v="3124883281"/>
    <n v="3028167161"/>
    <s v="Foto: 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</r>
  <r>
    <n v="3668119"/>
    <x v="15"/>
    <s v="diana.bernal@oxxo.com"/>
    <s v="19/07/2026"/>
    <s v="19/07/2026"/>
    <s v="11:52"/>
    <n v="2026"/>
    <s v="07"/>
    <s v="Enviado"/>
    <s v="OXXO ESMERALDA"/>
    <x v="0"/>
    <s v="Centro Norte"/>
    <s v="Calle 11 Cra 11 esquina"/>
    <s v="https://maps.app.goo.gl/xG4YUUbdmJKMJHGW8?g_st=aw"/>
    <s v="Hogar"/>
    <s v="Esquinero"/>
    <s v="Zona Residencial"/>
    <s v="LUis Alberto Páez"/>
    <n v="3112581902"/>
    <s v="Foto: https://oxxo-colombia.oneapp.cl/static/img/Respuesta/62915009/fc0338b1145297bcaa7fe7e1a19bac18.jpg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">
  <r>
    <n v="3649249"/>
    <x v="0"/>
    <s v="sandra.padilla@oxxo.com"/>
    <s v="14/07/2026"/>
    <s v="14/07/2026"/>
    <s v="08:19"/>
    <n v="2026"/>
    <s v="07"/>
    <s v="Enviado"/>
    <s v="Centro comercial cañaveral"/>
    <m/>
    <s v="Nororiente"/>
    <s v="Oriente"/>
    <s v="Calle 30 # 30-04 centro comercial cañaveral"/>
    <m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  <n v="29"/>
    <n v="7"/>
    <n v="2026"/>
    <s v="29-2026"/>
    <s v="Subido"/>
    <n v="7.0706374277242299"/>
    <n v="-73.105528329117803"/>
    <s v="Punto potencial fue mal subido en la plataforma, se registraba en la ciudad de Ocaña"/>
    <x v="0"/>
    <x v="0"/>
    <m/>
    <m/>
    <m/>
    <m/>
    <m/>
    <m/>
  </r>
  <r>
    <n v="3649288"/>
    <x v="1"/>
    <s v="katerin.diaz@oxxo.com"/>
    <s v="14/07/2026"/>
    <s v="14/07/2026"/>
    <s v="08:50"/>
    <n v="2026"/>
    <s v="07"/>
    <s v="Enviado"/>
    <s v="Autopista 159"/>
    <m/>
    <s v="Centro"/>
    <s v="Bogotá"/>
    <s v="Calle 159a 22 76"/>
    <m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  <n v="29"/>
    <n v="7"/>
    <n v="2026"/>
    <s v="29-2026"/>
    <s v="Subido"/>
    <n v="4.7402539522694704"/>
    <n v="-74.047801728288505"/>
    <m/>
    <x v="0"/>
    <x v="0"/>
    <m/>
    <m/>
    <m/>
    <m/>
    <m/>
    <m/>
  </r>
  <r>
    <n v="3649297"/>
    <x v="1"/>
    <s v="katerin.diaz@oxxo.com"/>
    <s v="14/07/2026"/>
    <s v="14/07/2026"/>
    <s v="09:25"/>
    <n v="2026"/>
    <s v="07"/>
    <s v="Enviado"/>
    <s v="Parque Toberin"/>
    <m/>
    <s v="Centro"/>
    <s v="Bogotá"/>
    <s v="Cra 21 168"/>
    <m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  <n v="29"/>
    <n v="7"/>
    <n v="2026"/>
    <s v="29-2026"/>
    <s v="Subido"/>
    <n v="4.7487732422165099"/>
    <n v="-74.0441775661929"/>
    <m/>
    <x v="1"/>
    <x v="0"/>
    <m/>
    <s v="Stefanny Prieto"/>
    <s v="ELVIA JAIMES"/>
    <d v="2026-07-28T00:00:00"/>
    <m/>
    <m/>
  </r>
  <r>
    <n v="3649449"/>
    <x v="2"/>
    <s v="jairo.hernandez@oxxo.com"/>
    <s v="14/07/2026"/>
    <s v="14/07/2026"/>
    <s v="15:19"/>
    <n v="2026"/>
    <s v="07"/>
    <s v="Enviado"/>
    <s v="Oxxo Bolivar Desnudo"/>
    <m/>
    <s v="Occidente"/>
    <s v="Eje Cafetero"/>
    <s v="Calle 19 carrera 7 esquina"/>
    <m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  <n v="29"/>
    <n v="7"/>
    <n v="2026"/>
    <s v="29-2026"/>
    <s v="Subido"/>
    <n v="4.8148684273055098"/>
    <n v="-75.694004374277299"/>
    <m/>
    <x v="1"/>
    <x v="0"/>
    <m/>
    <s v="Stefanny Prieto"/>
    <s v="ALEJANDRA ROJAS ROMERO"/>
    <d v="2026-07-29T00:00:00"/>
    <m/>
    <m/>
  </r>
  <r>
    <n v="3649582"/>
    <x v="2"/>
    <s v="jairo.hernandez@oxxo.com"/>
    <s v="14/07/2026"/>
    <s v="14/07/2026"/>
    <s v="16:17"/>
    <n v="2026"/>
    <s v="07"/>
    <s v="Enviado"/>
    <s v="Oxxo Los Rosales"/>
    <m/>
    <s v="Occidente"/>
    <s v="Eje Cafetero"/>
    <s v="Carrera 9 24- 62"/>
    <m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  <n v="29"/>
    <n v="7"/>
    <n v="2026"/>
    <s v="29-2026"/>
    <s v="Subido"/>
    <n v="4.8134006544967303"/>
    <n v="-75.699304830684"/>
    <m/>
    <x v="1"/>
    <x v="0"/>
    <m/>
    <s v="Cristian Herrera"/>
    <s v="ALEJANDRA ROJAS ROMERO"/>
    <d v="2026-07-30T00:00:00"/>
    <m/>
    <m/>
  </r>
  <r>
    <n v="3649592"/>
    <x v="3"/>
    <s v="alejandror.gomez@oxxo.com"/>
    <s v="14/07/2026"/>
    <s v="14/07/2026"/>
    <s v="16:33"/>
    <n v="2026"/>
    <s v="07"/>
    <s v="Enviado"/>
    <s v="Oxxo cra 13"/>
    <s v="Carrera 13"/>
    <s v="Occidente"/>
    <s v="Eje Cafetero"/>
    <s v="Cra 13 no 11-09"/>
    <m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  <n v="29"/>
    <n v="7"/>
    <n v="2026"/>
    <s v="29-2026"/>
    <s v="Subido"/>
    <n v="4.8082106455401501"/>
    <n v="-75.688230399999597"/>
    <m/>
    <x v="1"/>
    <x v="0"/>
    <m/>
    <s v="Cristian Herrera"/>
    <s v="ALEJANDRA ROJAS ROMERO"/>
    <d v="2026-07-30T00:00:00"/>
    <m/>
    <m/>
  </r>
  <r>
    <n v="3649609"/>
    <x v="4"/>
    <s v="cristian.romero@oxxo.com"/>
    <s v="14/07/2026"/>
    <s v="14/07/2026"/>
    <s v="17:11"/>
    <n v="2026"/>
    <s v="07"/>
    <s v="Enviado"/>
    <s v="Parque industrial kuma"/>
    <m/>
    <s v="Centro"/>
    <s v="Centro Norte"/>
    <s v="Km 4 via Zipaquirá Bogotá después de el puente de ingreso a Zipaquirá variante Zipaquirá Ubaté vía nacional"/>
    <m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  <n v="29"/>
    <n v="7"/>
    <n v="2026"/>
    <s v="29-2026"/>
    <s v="Subido"/>
    <n v="5.0009072881179204"/>
    <n v="-73.999167262091305"/>
    <m/>
    <x v="1"/>
    <x v="0"/>
    <m/>
    <s v="Stefanny Prieto"/>
    <s v="Carlos Bolaños"/>
    <d v="2026-07-31T00:00:00"/>
    <m/>
    <m/>
  </r>
  <r>
    <n v="3652749"/>
    <x v="5"/>
    <s v="daniela.menasse@oxxo.com"/>
    <s v="15/07/2026"/>
    <s v="15/07/2026"/>
    <s v="08:30"/>
    <n v="2026"/>
    <s v="07"/>
    <s v="Enviado"/>
    <s v="Santo Tomás"/>
    <s v="Rubio 53"/>
    <s v="Centro"/>
    <s v="Bogotá"/>
    <s v="Carrera 13#52-30 esquina"/>
    <m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  <n v="29"/>
    <n v="7"/>
    <n v="2026"/>
    <s v="29-2026"/>
    <s v="Subido"/>
    <n v="4.63943295015559"/>
    <n v="-74.065112728285797"/>
    <m/>
    <x v="1"/>
    <x v="0"/>
    <m/>
    <s v="Stefanny Prieto"/>
    <s v="Jenny Acuña"/>
    <d v="2026-07-28T00:00:00"/>
    <m/>
    <s v="Punto ya lo venia trabajando el especialista, llamado chapinero central, el martes se hizo levantamiento"/>
  </r>
  <r>
    <n v="3652752"/>
    <x v="5"/>
    <s v="daniela.menasse@oxxo.com"/>
    <s v="15/07/2026"/>
    <s v="15/07/2026"/>
    <s v="08:34"/>
    <n v="2026"/>
    <s v="07"/>
    <s v="Enviado"/>
    <s v="Parque Santa Bárbara"/>
    <s v="Parque Santa Barbara 122"/>
    <s v="Centro"/>
    <s v="Bogotá"/>
    <s v="Calle 122#18b-07"/>
    <m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  <n v="29"/>
    <n v="7"/>
    <n v="2026"/>
    <s v="29-2026"/>
    <s v="Subido"/>
    <n v="4.7013211899417797"/>
    <n v="-74.047880000000305"/>
    <m/>
    <x v="0"/>
    <x v="0"/>
    <m/>
    <m/>
    <m/>
    <m/>
    <m/>
    <m/>
  </r>
  <r>
    <n v="3652756"/>
    <x v="5"/>
    <s v="daniela.menasse@oxxo.com"/>
    <s v="15/07/2026"/>
    <s v="15/07/2026"/>
    <s v="08:39"/>
    <n v="2026"/>
    <s v="07"/>
    <s v="Enviado"/>
    <s v="Av cra 15?"/>
    <s v="Carrera 15 "/>
    <s v="Centro"/>
    <s v="Bogotá"/>
    <s v="Av 15#118-93"/>
    <m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  <n v="29"/>
    <n v="7"/>
    <n v="2026"/>
    <s v="29-2026"/>
    <s v="Subido"/>
    <n v="4.6983514463927198"/>
    <n v="-74.043404099997403"/>
    <m/>
    <x v="0"/>
    <x v="0"/>
    <m/>
    <m/>
    <m/>
    <m/>
    <m/>
    <m/>
  </r>
  <r>
    <n v="3652790"/>
    <x v="6"/>
    <s v="brayan.ortiz@oxxo.com"/>
    <s v="15/07/2026"/>
    <s v="15/07/2026"/>
    <s v="09:22"/>
    <n v="2026"/>
    <s v="07"/>
    <s v="Enviado"/>
    <s v="Tunjuelito"/>
    <m/>
    <s v="Centro"/>
    <s v="Bogotá"/>
    <s v="Cra 12b 52 80 sur"/>
    <m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  <n v="29"/>
    <n v="7"/>
    <n v="2026"/>
    <s v="29-2026"/>
    <s v="Subido"/>
    <n v="4.5608458575304303"/>
    <n v="-74.126013736619299"/>
    <m/>
    <x v="1"/>
    <x v="0"/>
    <m/>
    <s v="Stefanny Prieto"/>
    <s v="ELVIA JAIMES"/>
    <d v="2026-07-30T00:00:00"/>
    <m/>
    <m/>
  </r>
  <r>
    <n v="3652807"/>
    <x v="5"/>
    <s v="daniela.menasse@oxxo.com"/>
    <s v="15/07/2026"/>
    <s v="15/07/2026"/>
    <s v="09:42"/>
    <n v="2026"/>
    <s v="07"/>
    <s v="Enviado"/>
    <s v="Le grand"/>
    <m/>
    <s v="Centro"/>
    <s v="Bogotá"/>
    <s v="Av 116#15-2"/>
    <m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  <n v="29"/>
    <n v="7"/>
    <n v="2026"/>
    <s v="29-2026"/>
    <s v="Subido"/>
    <n v="4.6970167212173299"/>
    <n v="-74.044096808662403"/>
    <m/>
    <x v="0"/>
    <x v="0"/>
    <m/>
    <m/>
    <m/>
    <m/>
    <m/>
    <m/>
  </r>
  <r>
    <n v="3652812"/>
    <x v="5"/>
    <s v="daniela.menasse@oxxo.com"/>
    <s v="15/07/2026"/>
    <s v="15/07/2026"/>
    <s v="09:48"/>
    <n v="2026"/>
    <s v="07"/>
    <s v="Enviado"/>
    <s v="Pepe av 116"/>
    <m/>
    <s v="Centro"/>
    <s v="Bogotá"/>
    <s v="Av 116 16-78"/>
    <m/>
    <s v="https://maps.app.goo.gl/FbPpk8UWb766FAqY8?g_st=ic"/>
    <s v="Receso "/>
    <s v="Medianero"/>
    <s v="Zona Comercial"/>
    <n v="3105722683"/>
    <s v="Hay 3 locales desocupados _x000a_2 pegados para que de el área y otro 102 m2"/>
    <s v="https://oxxo-colombia.oneapp.cl/static/img/Respuesta/62678392/15e782c8af7c8926b7b1e25733587063.jpg"/>
    <n v="29"/>
    <n v="7"/>
    <n v="2026"/>
    <s v="29-2026"/>
    <s v="Subido"/>
    <n v="4.6976472368839497"/>
    <n v="-74.045903241507105"/>
    <m/>
    <x v="0"/>
    <x v="0"/>
    <m/>
    <m/>
    <m/>
    <m/>
    <m/>
    <m/>
  </r>
  <r>
    <n v="3652852"/>
    <x v="7"/>
    <s v="diana.arevalo@oxxo.com"/>
    <s v="15/07/2026"/>
    <s v="15/07/2026"/>
    <s v="10:38"/>
    <n v="2026"/>
    <s v="07"/>
    <s v="Enviado"/>
    <s v="Fusa Sutagao"/>
    <m/>
    <s v="Centro"/>
    <s v="Centro Sur "/>
    <s v="EDS Primax - Antigua Panamericana, Arbeláez-Fusagasuga, Fusagasugá, Cundinamarca"/>
    <m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  <n v="29"/>
    <n v="7"/>
    <n v="2026"/>
    <s v="29-2026"/>
    <s v="Subido"/>
    <n v="4.3265115472693196"/>
    <n v="-74.396469270556196"/>
    <m/>
    <x v="1"/>
    <x v="0"/>
    <m/>
    <s v="Stefanny Prieto"/>
    <s v="JAIME GUTIERREZ"/>
    <d v="2026-07-30T00:00:00"/>
    <m/>
    <m/>
  </r>
  <r>
    <n v="3652942"/>
    <x v="8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m/>
    <s v="Centro"/>
    <s v="Bogotá"/>
    <s v="Carrera 13# 52-22"/>
    <m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  <n v="29"/>
    <n v="7"/>
    <n v="2026"/>
    <s v="29-2026"/>
    <s v="No subido"/>
    <m/>
    <m/>
    <m/>
    <x v="0"/>
    <x v="0"/>
    <m/>
    <m/>
    <m/>
    <m/>
    <m/>
    <m/>
  </r>
  <r>
    <n v="3652948"/>
    <x v="9"/>
    <s v="christian.rodriguezmarin@oxxo.com"/>
    <s v="15/07/2026"/>
    <s v="15/07/2026"/>
    <s v="12:22"/>
    <n v="2026"/>
    <s v="07"/>
    <s v="Enviado"/>
    <s v="Centro comercial el portico"/>
    <m/>
    <s v="Centro"/>
    <s v="Centro Sur "/>
    <s v="Centro comercial el pórtico Facatativá"/>
    <m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  <n v="29"/>
    <n v="7"/>
    <n v="2026"/>
    <s v="29-2026"/>
    <s v="Subido"/>
    <n v="4.8180466816630698"/>
    <n v="-74.358422879050096"/>
    <m/>
    <x v="1"/>
    <x v="0"/>
    <m/>
    <s v="Stefanny Prieto"/>
    <s v="JAIME GUTIERREZ"/>
    <d v="2026-07-30T00:00:00"/>
    <m/>
    <m/>
  </r>
  <r>
    <n v="3652991"/>
    <x v="9"/>
    <s v="christian.rodriguezmarin@oxxo.com"/>
    <s v="15/07/2026"/>
    <s v="15/07/2026"/>
    <s v="13:21"/>
    <n v="2026"/>
    <s v="07"/>
    <s v="Enviado"/>
    <s v="Chapinero facatativa"/>
    <s v="Hospital San Rafael"/>
    <s v="Centro"/>
    <s v="Centro Sur "/>
    <s v="Calle 1 #3-97"/>
    <m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  <n v="29"/>
    <n v="7"/>
    <n v="2026"/>
    <s v="29-2026"/>
    <s v="Subido"/>
    <n v="4.8077699537529099"/>
    <n v="-74.3498237283534"/>
    <m/>
    <x v="1"/>
    <x v="0"/>
    <m/>
    <s v="Stefanny Prieto"/>
    <s v="JAIME GUTIERREZ"/>
    <d v="2026-07-30T00:00:00"/>
    <m/>
    <m/>
  </r>
  <r>
    <n v="3653000"/>
    <x v="10"/>
    <s v="danny.perdomo@oxxo.com"/>
    <s v="15/07/2026"/>
    <s v="15/07/2026"/>
    <s v="13:37"/>
    <n v="2026"/>
    <s v="07"/>
    <s v="Enviado"/>
    <s v="Pasaje 10.60 Outlet américas"/>
    <s v="Pasaje Américas"/>
    <s v="Centro"/>
    <s v="Bogotá"/>
    <s v="Cra 60 # 10_ 44 local 105"/>
    <m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  <n v="29"/>
    <n v="7"/>
    <n v="2026"/>
    <s v="29-2026"/>
    <s v="Subido"/>
    <n v="4.6289799591781398"/>
    <n v="-74.114922000028599"/>
    <m/>
    <x v="1"/>
    <x v="0"/>
    <m/>
    <s v="Stefanny Prieto"/>
    <s v="ELVIA JAIMES"/>
    <d v="2026-07-29T00:00:00"/>
    <m/>
    <s v="Punto se trajo en algun momento y fue negado, Este local se visito el 9 de julio, el tema del esquinero Local 5 tiene una arra de 469 mts y canon de $25.776.000, el tema es que no lo dejan dividir"/>
  </r>
  <r>
    <n v="3653008"/>
    <x v="9"/>
    <s v="christian.rodriguezmarin@oxxo.com"/>
    <s v="15/07/2026"/>
    <s v="15/07/2026"/>
    <s v="13:43"/>
    <n v="2026"/>
    <s v="07"/>
    <s v="Enviado"/>
    <s v="Montecarlo facatativa"/>
    <m/>
    <s v="Centro"/>
    <s v="Centro Sur "/>
    <s v="Calle 2#5-03"/>
    <m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  <n v="29"/>
    <n v="7"/>
    <n v="2026"/>
    <s v="29-2026"/>
    <s v="Subido"/>
    <n v="4.8101169010620399"/>
    <n v="-74.350224000008893"/>
    <m/>
    <x v="1"/>
    <x v="0"/>
    <m/>
    <s v="Stefanny Prieto"/>
    <s v="JAIME GUTIERREZ"/>
    <d v="2026-07-30T00:00:00"/>
    <m/>
    <m/>
  </r>
  <r>
    <n v="3653140"/>
    <x v="8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m/>
    <s v="Centro"/>
    <s v="Bogotá"/>
    <s v="Av calle 53 # av cr 72"/>
    <m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  <n v="29"/>
    <n v="7"/>
    <n v="2026"/>
    <s v="29-2026"/>
    <s v="Subido"/>
    <n v="4.6710371533935504"/>
    <n v="-74.106393869313095"/>
    <m/>
    <x v="0"/>
    <x v="0"/>
    <m/>
    <s v="Cristian Herrera"/>
    <s v="Carlos Bolaños"/>
    <d v="2026-07-29T00:00:00"/>
    <m/>
    <m/>
  </r>
  <r>
    <n v="3653143"/>
    <x v="11"/>
    <s v="massiel.garzon@oxxo.com"/>
    <s v="15/07/2026"/>
    <s v="15/07/2026"/>
    <s v="19:57"/>
    <n v="2026"/>
    <s v="07"/>
    <s v="Enviado"/>
    <s v="Santa Beatriz"/>
    <m/>
    <s v="Centro"/>
    <s v="Bogotá"/>
    <s v="Cra 15 n 118 93"/>
    <m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  <n v="29"/>
    <n v="7"/>
    <n v="2026"/>
    <s v="29-2026"/>
    <s v="Subido"/>
    <n v="4.6983253464068202"/>
    <n v="-74.0433192000106"/>
    <m/>
    <x v="0"/>
    <x v="0"/>
    <m/>
    <m/>
    <m/>
    <m/>
    <m/>
    <m/>
  </r>
  <r>
    <n v="3653092"/>
    <x v="12"/>
    <s v="brayan.mogollon@oxxo.com"/>
    <s v="15/07/2026"/>
    <s v="15/07/2026"/>
    <s v="21:05"/>
    <n v="2026"/>
    <s v="07"/>
    <s v="Enviado"/>
    <s v="Citadinno"/>
    <m/>
    <s v="Centro"/>
    <s v="Centro Sur "/>
    <s v="Carrera 13 #33 a - 10"/>
    <m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  <n v="29"/>
    <n v="7"/>
    <n v="2026"/>
    <s v="29-2026"/>
    <s v="Subido"/>
    <n v="4.6214150772067697"/>
    <n v="-74.068016700000101"/>
    <m/>
    <x v="1"/>
    <x v="0"/>
    <m/>
    <s v="Cristian Herrera"/>
    <s v="Carlos Bolaños"/>
    <d v="2026-07-29T00:00:00"/>
    <m/>
    <s v="Asignar a especialista carlos bolañps"/>
  </r>
  <r>
    <n v="3656243"/>
    <x v="7"/>
    <s v="diana.arevalo@oxxo.com"/>
    <s v="16/07/2026"/>
    <s v="16/07/2026"/>
    <s v="09:43"/>
    <n v="2026"/>
    <s v="07"/>
    <s v="Enviado"/>
    <s v="Girardot Oasis"/>
    <m/>
    <s v="Centro"/>
    <s v="Centro Sur "/>
    <s v="Carrera 10 # 19 -87  _x000a_Centro  comercial Oasis _x000a_Teléfono  8361574"/>
    <m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  <n v="29"/>
    <n v="7"/>
    <n v="2026"/>
    <s v="29-2026"/>
    <s v="Subido"/>
    <n v="4.2976649519973202"/>
    <n v="-74.804779644180798"/>
    <m/>
    <x v="1"/>
    <x v="0"/>
    <m/>
    <s v="Cristian Herrera"/>
    <s v="JAIME GUTIERREZ"/>
    <d v="2026-07-30T00:00:00"/>
    <m/>
    <m/>
  </r>
  <r>
    <n v="3656464"/>
    <x v="1"/>
    <s v="katerin.diaz@oxxo.com"/>
    <s v="16/07/2026"/>
    <s v="16/07/2026"/>
    <s v="13:29"/>
    <n v="2026"/>
    <s v="07"/>
    <s v="Enviado"/>
    <s v="Auto 161"/>
    <m/>
    <s v="Centro"/>
    <s v="Bogotá"/>
    <s v="Cra 45 161 40"/>
    <m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  <n v="29"/>
    <n v="7"/>
    <n v="2026"/>
    <s v="29-2026"/>
    <s v="Subido"/>
    <n v="4.7423162697336601"/>
    <n v="-74.047421626984203"/>
    <m/>
    <x v="1"/>
    <x v="0"/>
    <m/>
    <s v="Jonathan Aguirre"/>
    <s v="Martha Lopez"/>
    <d v="2026-07-30T00:00:00"/>
    <m/>
    <m/>
  </r>
  <r>
    <n v="3656477"/>
    <x v="6"/>
    <s v="brayan.ortiz@oxxo.com"/>
    <s v="16/07/2026"/>
    <s v="16/07/2026"/>
    <s v="13:45"/>
    <n v="2026"/>
    <s v="07"/>
    <s v="Enviado"/>
    <s v="Siena apartamentos"/>
    <m/>
    <s v="Centro"/>
    <s v="Bogotá"/>
    <s v="Dg 68 a sur #14 T 20"/>
    <m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  <n v="29"/>
    <n v="7"/>
    <n v="2026"/>
    <s v="29-2026"/>
    <s v="Subido"/>
    <n v="4.5235151000670504"/>
    <n v="-74.123654575595296"/>
    <m/>
    <x v="1"/>
    <x v="0"/>
    <m/>
    <s v="Cristian Herrera"/>
    <s v="JAIME GUTIERREZ"/>
    <d v="2026-07-30T00:00:00"/>
    <m/>
    <m/>
  </r>
  <r>
    <n v="3656520"/>
    <x v="3"/>
    <s v="alejandror.gomez@oxxo.com"/>
    <s v="16/07/2026"/>
    <s v="16/07/2026"/>
    <s v="15:12"/>
    <n v="2026"/>
    <s v="07"/>
    <s v="Enviado"/>
    <s v="Pinares"/>
    <m/>
    <s v="Occidente"/>
    <s v="Eje Cafetero"/>
    <s v="Calle 14, esquina de clinica san rafael y megacentro pereira"/>
    <m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  <n v="29"/>
    <n v="7"/>
    <n v="2026"/>
    <s v="29-2026"/>
    <s v="Subido"/>
    <n v="4.8035609814776299"/>
    <n v="-75.690927171519505"/>
    <m/>
    <x v="1"/>
    <x v="0"/>
    <m/>
    <s v="Cristian Herrera"/>
    <s v="ALEJANDRA ROJAS ROMERO"/>
    <d v="2026-07-30T00:00:00"/>
    <m/>
    <m/>
  </r>
  <r>
    <n v="3656577"/>
    <x v="2"/>
    <s v="jairo.hernandez@oxxo.com"/>
    <s v="16/07/2026"/>
    <s v="16/07/2026"/>
    <s v="16:55"/>
    <n v="2026"/>
    <s v="07"/>
    <s v="Enviado"/>
    <s v="Oxxo Monarca"/>
    <m/>
    <s v="Occidente"/>
    <s v="Eje Cafetero"/>
    <s v="Sector las piñas cerritos, Mall Plaza Monarca"/>
    <m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  <n v="29"/>
    <n v="7"/>
    <n v="2026"/>
    <s v="29-2026"/>
    <s v="Subido"/>
    <n v="4.8014199279788201"/>
    <n v="-75.841607628850099"/>
    <m/>
    <x v="0"/>
    <x v="0"/>
    <m/>
    <m/>
    <m/>
    <m/>
    <m/>
    <m/>
  </r>
  <r>
    <n v="3656588"/>
    <x v="11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m/>
    <s v="Centro"/>
    <s v="Bogotá"/>
    <s v="Auto Norte cra 45 N 122 36"/>
    <m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  <n v="29"/>
    <n v="7"/>
    <n v="2026"/>
    <s v="29-2026"/>
    <s v="Subido"/>
    <n v="4.7032329975330303"/>
    <n v="-74.054021598190303"/>
    <m/>
    <x v="1"/>
    <x v="0"/>
    <m/>
    <s v="Stefanny Prieto"/>
    <s v="Martha Lopez"/>
    <d v="2026-07-30T00:00:00"/>
    <m/>
    <m/>
  </r>
  <r>
    <n v="3656652"/>
    <x v="1"/>
    <s v="katerin.diaz@oxxo.com"/>
    <s v="16/07/2026"/>
    <s v="16/07/2026"/>
    <s v="21:40"/>
    <n v="2026"/>
    <s v="07"/>
    <s v="Enviado"/>
    <s v="Pinar"/>
    <s v="El pinar bog"/>
    <s v="Centro"/>
    <s v="Bogotá"/>
    <s v="Cra 97b calle 153"/>
    <m/>
    <s v="https://maps.app.goo.gl/Zs8Bp3Xwscm3Lyq39"/>
    <s v="Hogar"/>
    <s v="Esquinero"/>
    <s v="Zona Residencial"/>
    <n v="3124883281"/>
    <n v="3028167161"/>
    <s v="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  <n v="29"/>
    <n v="7"/>
    <n v="2026"/>
    <s v="29-2026"/>
    <s v="Subido"/>
    <n v="4.7516917299031904"/>
    <n v="-74.086346186513794"/>
    <m/>
    <x v="1"/>
    <x v="0"/>
    <m/>
    <s v="Jonathan Aguirre"/>
    <m/>
    <m/>
    <m/>
    <m/>
  </r>
  <r>
    <n v="3668119"/>
    <x v="13"/>
    <s v="diana.bernal@oxxo.com"/>
    <s v="19/07/2026"/>
    <s v="19/07/2026"/>
    <s v="11:52"/>
    <n v="2026"/>
    <s v="07"/>
    <s v="Enviado"/>
    <s v="OXXO ESMERALDA"/>
    <s v="Zipa 11"/>
    <s v="Centro"/>
    <s v="Centro Norte"/>
    <s v="Calle 11 Cra 11 esquina"/>
    <m/>
    <s v="https://maps.app.goo.gl/xG4YUUbdmJKMJHGW8?g_st=aw"/>
    <s v="Hogar"/>
    <s v="Esquinero"/>
    <s v="Zona Residencial"/>
    <s v="LUis Alberto Páez"/>
    <n v="3112581902"/>
    <s v="https://oxxo-colombia.oneapp.cl/static/img/Respuesta/62915009/fc0338b1145297bcaa7fe7e1a19bac18.jpg"/>
    <n v="30"/>
    <n v="7"/>
    <n v="2026"/>
    <s v="29-2026"/>
    <s v="Subido"/>
    <s v="5.027791593988247, -73.99874073746274"/>
    <m/>
    <m/>
    <x v="0"/>
    <x v="0"/>
    <s v="Variables de éxito"/>
    <m/>
    <m/>
    <m/>
    <m/>
    <m/>
  </r>
  <r>
    <n v="3671208"/>
    <x v="14"/>
    <s v="daniel.panqueba@oxxo.com"/>
    <s v="20/07/2026"/>
    <s v="20/07/2026"/>
    <s v="10:43"/>
    <n v="2026"/>
    <s v="07"/>
    <s v="Enviado"/>
    <s v="Hacienda los lagos"/>
    <m/>
    <s v="Centro"/>
    <s v="Bogotá"/>
    <s v="Carrera 54 D # 200-54"/>
    <m/>
    <s v="https://maps.app.goo.gl/sq7pMrES6283SMyr6?g_st=ac"/>
    <s v="Hogar"/>
    <s v="Medianero"/>
    <s v="Zona Residencial"/>
    <n v="3014398395"/>
    <s v="Sin correo"/>
    <s v="Foto: https://oxxo-colombia.oneapp.cl/static/img/Respuesta/62960615/8801b3ddd9ed6187e40704018b2f1392.jpg"/>
    <n v="30"/>
    <n v="7"/>
    <n v="2026"/>
    <s v="30-2026"/>
    <s v="Subido"/>
    <s v="4.781802983206212, -74.04198865758453"/>
    <m/>
    <m/>
    <x v="0"/>
    <x v="1"/>
    <s v="Canibalización "/>
    <s v="Stefanny Prieto"/>
    <m/>
    <m/>
    <m/>
    <m/>
  </r>
  <r>
    <n v="3671222"/>
    <x v="14"/>
    <s v="daniel.panqueba@oxxo.com"/>
    <s v="20/07/2026"/>
    <s v="20/07/2026"/>
    <s v="11:18"/>
    <n v="2026"/>
    <s v="07"/>
    <s v="Enviado"/>
    <s v="Parque Toberin"/>
    <m/>
    <s v="Centro"/>
    <s v="Bogotá"/>
    <s v="Calle 168 # 20-71"/>
    <m/>
    <s v="https://maps.app.goo.gl/mWPt1WTFKARjgwHP6?g_st=ac"/>
    <s v="Base"/>
    <s v="Esquinero"/>
    <s v="Zona Industrial"/>
    <n v="3004550101"/>
    <s v="Sin correo"/>
    <s v="Foto: https://oxxo-colombia.oneapp.cl/static/img/Respuesta/62961274/6a6cb01e1b5a6340b9373c48063db102.jpg"/>
    <n v="30"/>
    <n v="7"/>
    <n v="2026"/>
    <s v="30-2026"/>
    <s v="No subido"/>
    <m/>
    <m/>
    <s v="Descartado por punto duplicado (Parque Toberín- Katerin Zorro)"/>
    <x v="0"/>
    <x v="1"/>
    <s v="Duplicado"/>
    <m/>
    <m/>
    <m/>
    <m/>
    <m/>
  </r>
  <r>
    <n v="3671223"/>
    <x v="14"/>
    <s v="daniel.panqueba@oxxo.com"/>
    <s v="20/07/2026"/>
    <s v="20/07/2026"/>
    <s v="11:30"/>
    <n v="2026"/>
    <s v="07"/>
    <s v="Enviado"/>
    <s v="Colegio las orquídeas"/>
    <m/>
    <s v="Centro"/>
    <s v="Bogotá"/>
    <s v="Calle 161 # 16 A -50"/>
    <m/>
    <s v="https://maps.app.goo.gl/U51zZk2Qhyu1RYGE8?g_st=ac_x000a__x000a_"/>
    <s v="Base"/>
    <s v="Medianero"/>
    <s v="Zona Comercial"/>
    <n v="3146011459"/>
    <s v="Sin correo"/>
    <s v="Foto: https://oxxo-colombia.oneapp.cl/static/img/Respuesta/62961438/66e0b5625c4e11858657fb9abf2597f6.jpg"/>
    <n v="30"/>
    <n v="7"/>
    <n v="2026"/>
    <s v="30-2026"/>
    <s v="Subido"/>
    <s v="4.739775161783024, -74.03977905766746"/>
    <m/>
    <m/>
    <x v="0"/>
    <x v="1"/>
    <s v="Área/Propuesta de valor"/>
    <m/>
    <m/>
    <m/>
    <m/>
    <m/>
  </r>
  <r>
    <n v="3671230"/>
    <x v="14"/>
    <s v="daniel.panqueba@oxxo.com"/>
    <s v="20/07/2026"/>
    <s v="20/07/2026"/>
    <s v="11:58"/>
    <n v="2026"/>
    <s v="07"/>
    <s v="Enviado"/>
    <s v="Ciudadela la Salle"/>
    <m/>
    <s v="Centro"/>
    <s v="Bogotá"/>
    <s v="Carrera 10 # 172 B -50"/>
    <m/>
    <s v="https://maps.app.goo.gl/hh9DqoKdf3dEj9zaA?g_st=ac"/>
    <s v="Hogar"/>
    <s v="Esquinero"/>
    <s v="Zona Residencial"/>
    <s v="3132739812_x000a__x000a_Este número lo entrego la administración del conjunto indicandome que ellos como constructora son quienes aún tienen el espacio y lo están terminando _x000a__x000a_Es un buen punto , muy bien ubicado y con altísima proyección"/>
    <s v="Sin correo"/>
    <s v="Foto: https://oxxo-colombia.oneapp.cl/static/img/Respuesta/62961649/0271a83bc51b864d61be563a1521a6aa.jpg_x000a_Foto: https://oxxo-colombia.oneapp.cl/static/img/Respuesta/62961649/2977d7b7ca7580190481d2ff03aa6c49.jpg"/>
    <n v="30"/>
    <n v="7"/>
    <n v="2026"/>
    <s v="30-2026"/>
    <s v="Subido"/>
    <s v="4.754217862074933, -74.0325415577275"/>
    <m/>
    <m/>
    <x v="1"/>
    <x v="1"/>
    <m/>
    <s v="Cristian Herrera"/>
    <s v="JAIME GUTIERREZ"/>
    <d v="2026-07-29T00:00:00"/>
    <m/>
    <m/>
  </r>
  <r>
    <n v="3671239"/>
    <x v="12"/>
    <s v="brayan.mogollon@oxxo.com"/>
    <s v="20/07/2026"/>
    <s v="20/07/2026"/>
    <s v="12:20"/>
    <n v="2026"/>
    <s v="07"/>
    <s v="Enviado"/>
    <s v="Torre del reloj"/>
    <m/>
    <s v="Centro"/>
    <s v="Bogotá"/>
    <s v="Transversal 60 #103 b - 33"/>
    <m/>
    <s v="https://maps.app.goo.gl/dmeiK9Y56iBqfb7k6?g_st=ac"/>
    <s v="Hogar"/>
    <s v="Medianero"/>
    <s v="Zona Residencial"/>
    <n v="3124174552"/>
    <n v="3124174552"/>
    <s v="Foto: https://oxxo-colombia.oneapp.cl/static/img/Respuesta/62962139/2dc0881fa48466a7efb2eb5606372e40.jpg_x000a_Foto: https://oxxo-colombia.oneapp.cl/static/img/Respuesta/62962139/831cef9c86838823549a2290cad8a43c.jpg"/>
    <n v="30"/>
    <n v="7"/>
    <n v="2026"/>
    <s v="30-2026"/>
    <s v="Subido"/>
    <m/>
    <m/>
    <m/>
    <x v="1"/>
    <x v="1"/>
    <m/>
    <s v="Stefanny Prieto"/>
    <s v="LAURA AVILA"/>
    <d v="2026-07-30T00:00:00"/>
    <m/>
    <m/>
  </r>
  <r>
    <n v="3671241"/>
    <x v="12"/>
    <s v="brayan.mogollon@oxxo.com"/>
    <s v="20/07/2026"/>
    <s v="20/07/2026"/>
    <s v="12:28"/>
    <n v="2026"/>
    <s v="07"/>
    <s v="Enviado"/>
    <s v="El faro"/>
    <m/>
    <s v="Centro"/>
    <s v="Bogotá"/>
    <s v="Avenida carrera 100 #49-79"/>
    <m/>
    <s v="https://maps.app.goo.gl/p5zUjk4WGLsFS4F36?g_st=ac"/>
    <s v="Hogar"/>
    <s v="Medianero"/>
    <s v="Zona Residencial"/>
    <n v="3151587722"/>
    <n v="3114408944"/>
    <s v="Foto: https://oxxo-colombia.oneapp.cl/static/img/Respuesta/62962373/8599d006e3407f393b65424c01d3bf3c.jpg_x000a_Foto: https://oxxo-colombia.oneapp.cl/static/img/Respuesta/62962373/0b2651d5d6a62132117be1f485cce921.jpg"/>
    <n v="30"/>
    <n v="7"/>
    <n v="2026"/>
    <s v="30-2026"/>
    <s v="Subido"/>
    <m/>
    <m/>
    <m/>
    <x v="0"/>
    <x v="1"/>
    <s v="Canibalización "/>
    <m/>
    <m/>
    <m/>
    <m/>
    <m/>
  </r>
  <r>
    <n v="3671242"/>
    <x v="12"/>
    <s v="brayan.mogollon@oxxo.com"/>
    <s v="20/07/2026"/>
    <s v="20/07/2026"/>
    <s v="12:34"/>
    <n v="2026"/>
    <s v="07"/>
    <s v="Enviado"/>
    <s v="Avenida 100"/>
    <m/>
    <s v="Centro"/>
    <s v="Bogotá"/>
    <s v="Avenida carrera 100 #49-71"/>
    <m/>
    <s v="https://maps.app.goo.gl/YkLLtdtkCjYSog6J7?g_st=ac"/>
    <s v="Base"/>
    <s v="Medianero"/>
    <s v="Zona Residencial"/>
    <n v="3123849628"/>
    <n v="3213048268"/>
    <s v="Foto: https://oxxo-colombia.oneapp.cl/static/img/Respuesta/62962491/741128f502c6b0deaee305612375db45.jpg_x000a_Foto: https://oxxo-colombia.oneapp.cl/static/img/Respuesta/62962491/5ab43e990151593dd48b428700c82364.jpg"/>
    <n v="30"/>
    <n v="7"/>
    <n v="2026"/>
    <s v="30-2026"/>
    <s v="Subido"/>
    <m/>
    <m/>
    <m/>
    <x v="0"/>
    <x v="1"/>
    <s v="Canibalización "/>
    <m/>
    <m/>
    <m/>
    <m/>
    <m/>
  </r>
  <r>
    <n v="3671243"/>
    <x v="12"/>
    <s v="brayan.mogollon@oxxo.com"/>
    <s v="20/07/2026"/>
    <s v="20/07/2026"/>
    <s v="12:49"/>
    <n v="2026"/>
    <s v="07"/>
    <s v="Enviado"/>
    <s v="Santa barbara 109"/>
    <m/>
    <s v="Centro"/>
    <s v="Bogotá"/>
    <s v="Carrera 17 #109 -21"/>
    <m/>
    <s v="https://maps.app.goo.gl/9gYzbHpcbRQwNBec9?g_st=ac"/>
    <s v="Hogar"/>
    <s v="Medianero"/>
    <s v="Zona Comercial"/>
    <n v="3144802665"/>
    <n v="3144802665"/>
    <s v="Foto: https://oxxo-colombia.oneapp.cl/static/img/Respuesta/62962673/39e0dad2ac948f6f82c6e935f31cfbff.jpg_x000a_Foto: https://oxxo-colombia.oneapp.cl/static/img/Respuesta/62962673/bbf64a867d5d4aad62898c28df60600e.jpg"/>
    <n v="30"/>
    <n v="7"/>
    <n v="2026"/>
    <s v="30-2026"/>
    <s v="Subido"/>
    <m/>
    <m/>
    <m/>
    <x v="1"/>
    <x v="1"/>
    <m/>
    <s v="Cristian Herrera"/>
    <s v="ELVIA JAIMES"/>
    <d v="2026-07-29T00:00:00"/>
    <m/>
    <m/>
  </r>
  <r>
    <n v="3671245"/>
    <x v="12"/>
    <s v="brayan.mogollon@oxxo.com"/>
    <s v="20/07/2026"/>
    <s v="20/07/2026"/>
    <s v="13:00"/>
    <n v="2026"/>
    <s v="07"/>
    <s v="Enviado"/>
    <s v="Living 109"/>
    <m/>
    <s v="Centro"/>
    <s v="Bogotá"/>
    <s v="Cra 19 #109-40"/>
    <m/>
    <s v="https://maps.app.goo.gl/nkuWwF8dxLDuY6YZ9?g_st=ac"/>
    <s v="Receso "/>
    <s v="Medianero"/>
    <s v="Zona Comercial"/>
    <n v="3168329200"/>
    <n v="3168329200"/>
    <s v="Foto: https://oxxo-colombia.oneapp.cl/static/img/Respuesta/62962924/dcbcce1889cefe8bd7b3c0f61ac28a80.jpg_x000a_Foto: https://oxxo-colombia.oneapp.cl/static/img/Respuesta/62962924/3657364ab4ca218b91fe6bcf5ea01495.jpg"/>
    <n v="30"/>
    <n v="7"/>
    <n v="2026"/>
    <s v="30-2026"/>
    <s v="Subido"/>
    <m/>
    <m/>
    <m/>
    <x v="0"/>
    <x v="1"/>
    <s v="Canibalización "/>
    <m/>
    <m/>
    <m/>
    <m/>
    <m/>
  </r>
  <r>
    <n v="3671253"/>
    <x v="12"/>
    <s v="brayan.mogollon@oxxo.com"/>
    <s v="20/07/2026"/>
    <s v="20/07/2026"/>
    <s v="13:12"/>
    <n v="2026"/>
    <s v="07"/>
    <s v="Enviado"/>
    <s v="Pepe sierra 116"/>
    <m/>
    <s v="Centro"/>
    <s v="Bogotá"/>
    <s v="Calle 116 #16-78"/>
    <m/>
    <s v="https://maps.app.goo.gl/ycEJu2jwy79qR4py8?g_st=ac"/>
    <s v="Hogar"/>
    <s v="Medianero"/>
    <s v="Zona Comercial"/>
    <n v="3105726862"/>
    <n v="3105726862"/>
    <s v="Foto: https://oxxo-colombia.oneapp.cl/static/img/Respuesta/62963260/f15bc7658b69abe02fc129784d008720.jpg_x000a_Foto: https://oxxo-colombia.oneapp.cl/static/img/Respuesta/62963260/d80490b685ecc44ad7e1ab7d03a1c36c.jpg_x000a_Foto: https://oxxo-colombia.oneapp.cl/static/img/Respuesta/62963260/d263ff39f1af739bfdc9dec724f94997.jpg"/>
    <n v="30"/>
    <n v="7"/>
    <n v="2026"/>
    <s v="30-2026"/>
    <s v="No subido"/>
    <m/>
    <m/>
    <s v="Descartado por punto duplicado (Pepe av 116- Daniela Menasse)"/>
    <x v="0"/>
    <x v="1"/>
    <s v="Duplicado"/>
    <m/>
    <m/>
    <m/>
    <m/>
    <m/>
  </r>
  <r>
    <n v="3676125"/>
    <x v="15"/>
    <s v="diana.araque@oxxo.com"/>
    <s v="21/07/2026"/>
    <s v="21/07/2026"/>
    <s v="10:32"/>
    <n v="2026"/>
    <s v="07"/>
    <s v="Enviado"/>
    <s v="FONTANA"/>
    <m/>
    <s v="Nororiente"/>
    <s v="Oriente"/>
    <s v="Cra. 19 #102-40, Bucaramanga, Santander"/>
    <m/>
    <s v="https://maps.app.goo.gl/tguqLex5RC5W2E976?g_st=ac"/>
    <s v="Hogar"/>
    <s v="Medianero"/>
    <s v="Zona Residencial"/>
    <n v="3160181684"/>
    <s v="comercialarcof1@gmail.com"/>
    <s v="https://oxxo-colombia.oneapp.cl/static/img/Respuesta/63022672/81fa2636d53ac76f36319b19b4479d70.jpg_x000a_Foto: https://oxxo-colombia.oneapp.cl/static/img/Respuesta/63022672/e55130858a347b5a12c60aea2693c797.jpg_x000a_Foto: https://oxxo-colombia.oneapp.cl/static/img/Respuesta/63022672/56a8eafbcc939e8d460c1e7bfa6329a8.jpg"/>
    <n v="30"/>
    <n v="7"/>
    <n v="2026"/>
    <s v="30-2026"/>
    <s v="Subido"/>
    <m/>
    <m/>
    <m/>
    <x v="0"/>
    <x v="1"/>
    <m/>
    <m/>
    <m/>
    <m/>
    <m/>
    <m/>
  </r>
  <r>
    <n v="3676210"/>
    <x v="16"/>
    <s v="dany.ospina@oxxo.com"/>
    <s v="21/07/2026"/>
    <s v="21/07/2026"/>
    <s v="12:54"/>
    <n v="2026"/>
    <s v="07"/>
    <s v="Enviado"/>
    <s v="San jose sur"/>
    <m/>
    <s v="Centro"/>
    <s v="Bogotá"/>
    <s v="Calle 27 sur 12-78"/>
    <m/>
    <s v="https://maps.app.goo.gl/Re2hX3yEGKe3qDFh6"/>
    <s v="Base"/>
    <s v="Medianero"/>
    <s v="Zona Comercial"/>
    <s v="Melba cristina salamanca Bonilla"/>
    <s v="Jenicita15@yahoo.es"/>
    <s v="Foto: https://oxxo-colombia.oneapp.cl/static/img/Respuesta/63028228/15ec112ce4d8895782a461b65897cddb.jpg"/>
    <n v="30"/>
    <n v="7"/>
    <n v="2026"/>
    <s v="30-2026"/>
    <s v="Subido"/>
    <m/>
    <m/>
    <m/>
    <x v="0"/>
    <x v="1"/>
    <s v="Variables de éxito"/>
    <s v="Stefanny Prieto"/>
    <m/>
    <m/>
    <m/>
    <m/>
  </r>
  <r>
    <n v="3676236"/>
    <x v="17"/>
    <s v="diana.becerramelo@oxxo.com"/>
    <s v="21/07/2026"/>
    <s v="21/07/2026"/>
    <s v="13:54"/>
    <n v="2026"/>
    <s v="07"/>
    <s v="Enviado"/>
    <s v="CC punto 72"/>
    <m/>
    <s v="Centro"/>
    <s v="Bogotá"/>
    <s v="Av cali calle 72"/>
    <m/>
    <s v="https://maps.app.goo.gl/JSyt4qJYuenXjgtm6"/>
    <s v="Hogar"/>
    <s v="Medianero"/>
    <s v="Zona Comercial"/>
    <n v="3102267246"/>
    <s v="No tengo"/>
    <s v="Foto: https://oxxo-colombia.oneapp.cl/static/img/Respuesta/63029551/d98bfed266cbf8485dca7253639141e0.jpg_x000a_Foto: https://oxxo-colombia.oneapp.cl/static/img/Respuesta/63029551/0969a210ef7a75b7979f03383c9a274e.jpg"/>
    <n v="30"/>
    <n v="7"/>
    <n v="2026"/>
    <s v="30-2026"/>
    <s v="Subido"/>
    <m/>
    <m/>
    <m/>
    <x v="1"/>
    <x v="1"/>
    <m/>
    <s v="Stefanny Prieto"/>
    <s v="LAURA AVILA"/>
    <d v="2026-07-29T00:00:00"/>
    <m/>
    <m/>
  </r>
  <r>
    <n v="3676247"/>
    <x v="0"/>
    <s v="sandra.padilla@oxxo.com"/>
    <s v="21/07/2026"/>
    <s v="21/07/2026"/>
    <s v="14:22"/>
    <n v="2026"/>
    <s v="07"/>
    <s v="Enviado"/>
    <s v="Centro servicio los sauces lebrija_x000a_El local lo construyen deacuerdo a nuestras especificaciones.  Actualmente está el lote. _x000a_Queda en toda la vía principal en un triángulo que comunica con el pueblo del municipio"/>
    <s v="Los Sauces Lebrija"/>
    <s v="Nororiente"/>
    <s v="Oriente"/>
    <s v="Centro de servicio los sauces municipio lebrija santander"/>
    <m/>
    <s v="https://maps.app.goo.gl/Fqt5xWrLJWy62G8s6?g_st=iwb"/>
    <s v="Base"/>
    <s v="Esquinero"/>
    <s v="Zona Industrial"/>
    <n v="3209500506"/>
    <s v="Natalia roncancio_x000a_Nataliaroncancio123@gmail.com"/>
    <s v="Foto: https://oxxo-colombia.oneapp.cl/static/img/Respuesta/63030372/36558cfdd4e236b839665b1755181b1f.jpg"/>
    <n v="30"/>
    <n v="7"/>
    <n v="2026"/>
    <s v="30-2026"/>
    <s v="Subido"/>
    <m/>
    <m/>
    <m/>
    <x v="0"/>
    <x v="1"/>
    <m/>
    <m/>
    <m/>
    <m/>
    <m/>
    <m/>
  </r>
  <r>
    <n v="3676328"/>
    <x v="18"/>
    <s v="yury.sanchez@oxxo.com"/>
    <s v="21/07/2026"/>
    <s v="21/07/2026"/>
    <s v="16:42"/>
    <n v="2026"/>
    <s v="07"/>
    <s v="Enviado"/>
    <s v="Andatti HIC"/>
    <m/>
    <s v="Nororiente"/>
    <s v="Oriente"/>
    <s v="Vereda Mensuly # km 7, piedecuesta"/>
    <m/>
    <s v="https://maps.app.goo.gl/kAT7PsDEWgBy4ckM7?g_st=aw"/>
    <s v="Receso "/>
    <s v="Medianero"/>
    <s v="Hospitales/ Clinícas"/>
    <s v="3002843683_x000a_Isabel pinto"/>
    <s v="No aplica"/>
    <s v="Foto: https://oxxo-colombia.oneapp.cl/static/img/Respuesta/63033754/d7a44baf35aab8b61733b83d317a06b0.jpg_x000a_Foto: https://oxxo-colombia.oneapp.cl/static/img/Respuesta/63033754/7b2d6e594e3a76901da0f70ea2d01f3f.jpg"/>
    <n v="30"/>
    <n v="7"/>
    <n v="2026"/>
    <s v="30-2026"/>
    <s v="Subido"/>
    <m/>
    <m/>
    <m/>
    <x v="0"/>
    <x v="1"/>
    <m/>
    <m/>
    <m/>
    <m/>
    <m/>
    <m/>
  </r>
  <r>
    <n v="3676345"/>
    <x v="18"/>
    <s v="yury.sanchez@oxxo.com"/>
    <s v="21/07/2026"/>
    <s v="21/07/2026"/>
    <s v="17:33"/>
    <n v="2026"/>
    <s v="07"/>
    <s v="Enviado"/>
    <s v="Oxxo parnaso"/>
    <m/>
    <s v="Nororiente"/>
    <s v="Oriente"/>
    <s v="Cra 18 a n 61 06 parnaso_x000a_Calle 61 n 18b 07 parnaso"/>
    <m/>
    <s v="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"/>
    <s v="Base"/>
    <s v="Esquinero"/>
    <s v="Zona Residencial"/>
    <s v="Roberth Alvarez_x000a_Cel: 3185579848"/>
    <s v="NA"/>
    <s v="Foto: https://oxxo-colombia.oneapp.cl/static/img/Respuesta/63035030/eb712607b0619306c8ea76066cb9a411.jpg_x000a_Foto: https://oxxo-colombia.oneapp.cl/static/img/Respuesta/63035030/e95ec3015a5d9b7517a96ede710d0d7a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76323"/>
    <x v="15"/>
    <s v="diana.araque@oxxo.com"/>
    <s v="21/07/2026"/>
    <s v="21/07/2026"/>
    <s v="20:18"/>
    <n v="2026"/>
    <s v="07"/>
    <s v="Enviado"/>
    <s v="Calle 11"/>
    <m/>
    <s v="Nororiente"/>
    <s v="Oriente"/>
    <s v="Calle 11# 22-04 esquina Barrio san francisco"/>
    <m/>
    <s v="https://maps.app.goo.gl/e6zYrkzXtHa5ac9T9?g_st=iw"/>
    <s v="Base"/>
    <s v="Esquinero"/>
    <s v="Zona Comercial"/>
    <s v="3182544040- 3150475053_x000a_HERNANDO RODRIGUEZ PATIÑO"/>
    <s v="Hrodriguezconta@gmail.com"/>
    <s v="Foto: https://oxxo-colombia.oneapp.cl/static/img/Respuesta/63037142/c765f8f8aa56ed352238cdb0c4651b44.jpg_x000a_Foto: https://oxxo-colombia.oneapp.cl/static/img/Respuesta/63037142/7b486301a008d088374c82bd30ac2b05.jpg"/>
    <n v="30"/>
    <n v="7"/>
    <n v="2026"/>
    <s v="30-2026"/>
    <s v="Subido"/>
    <m/>
    <m/>
    <m/>
    <x v="0"/>
    <x v="1"/>
    <m/>
    <m/>
    <m/>
    <m/>
    <m/>
    <m/>
  </r>
  <r>
    <n v="3679961"/>
    <x v="19"/>
    <m/>
    <s v="22/07/2026"/>
    <s v="22/07/2026"/>
    <s v="16:13"/>
    <n v="2026"/>
    <s v="07"/>
    <s v="Enviado"/>
    <s v="EDS SAN FERNANDO"/>
    <m/>
    <s v="Centro"/>
    <s v="Bogotá"/>
    <s v="Cra. 57 #68-27, Bogotá"/>
    <s v="PEDRO MORENO SUAREZ"/>
    <s v="https://maps.app.goo.gl/6YBR9JYLZWtzb83y7?g_st=ac"/>
    <s v="Hogar"/>
    <s v="Esquinero"/>
    <s v="Zona Residencial"/>
    <n v="3212818265"/>
    <n v="3214550461"/>
    <s v="Foto: https://oxxo-colombia.oneapp.cl/static/img/Respuesta/63102363/e13cae0c9439d46f1a63203b6fc43080.jpg_x000a_Foto: https://oxxo-colombia.oneapp.cl/static/img/Respuesta/63102363/d37c621d8eb87ff59d04ddb294a7e4c1.jpg_x000a_Foto: https://oxxo-colombia.oneapp.cl/static/img/Respuesta/63102363/b6077fea768c969e1647f1b8dca1d13f.jpg"/>
    <n v="30"/>
    <n v="7"/>
    <n v="2026"/>
    <s v="30-2026"/>
    <s v="Subido"/>
    <m/>
    <m/>
    <m/>
    <x v="0"/>
    <x v="1"/>
    <m/>
    <m/>
    <m/>
    <m/>
    <m/>
    <m/>
  </r>
  <r>
    <n v="3679980"/>
    <x v="19"/>
    <m/>
    <s v="22/07/2026"/>
    <s v="22/07/2026"/>
    <s v="16:57"/>
    <n v="2026"/>
    <s v="07"/>
    <s v="Enviado"/>
    <s v="Campus"/>
    <m/>
    <s v="Centro"/>
    <s v="Bogotá"/>
    <s v="Cl. 68b # 68A-35, Engativá, Bogotá"/>
    <s v="PEDRO MORENO SUAREZ"/>
    <s v="https://maps.app.goo.gl/EyCAWArR3m9TpYUx7?g_st=ac"/>
    <s v="Receso "/>
    <s v="Medianero"/>
    <s v="Centros Educativos"/>
    <n v="3144553626"/>
    <s v="No cuenta"/>
    <s v="Foto: https://oxxo-colombia.oneapp.cl/static/img/Respuesta/63103282/805a307f089ae21f717810c4c5685458.jpg_x000a_Foto: https://oxxo-colombia.oneapp.cl/static/img/Respuesta/63103282/b49bfc6562cdfa93c7028bbd312ee339.jpg"/>
    <n v="30"/>
    <n v="7"/>
    <n v="2026"/>
    <s v="30-2026"/>
    <s v="Subido"/>
    <m/>
    <m/>
    <m/>
    <x v="0"/>
    <x v="1"/>
    <m/>
    <m/>
    <m/>
    <m/>
    <m/>
    <m/>
  </r>
  <r>
    <n v="3679984"/>
    <x v="19"/>
    <m/>
    <s v="22/07/2026"/>
    <s v="22/07/2026"/>
    <s v="17:06"/>
    <n v="2026"/>
    <s v="07"/>
    <s v="Enviado"/>
    <s v="Campus Compensar"/>
    <m/>
    <s v="Centro"/>
    <s v="Bogotá"/>
    <s v="Av. 68 #68b-10, Bogotá"/>
    <s v="PEDRO MORENO SUAREZ"/>
    <s v="https://maps.app.goo.gl/wbcjBnHS4KwUYnNN9?g_st=ac"/>
    <s v="Receso "/>
    <s v="Esquinero"/>
    <s v="Centros Educativos"/>
    <n v="3118109385"/>
    <s v="No tiene"/>
    <s v="Foto: https://oxxo-colombia.oneapp.cl/static/img/Respuesta/63103379/879e90a19957c356f0e0f03fa10b0623.jpg_x000a_Foto: https://oxxo-colombia.oneapp.cl/static/img/Respuesta/63103379/aae55205a69bada077b9965a7ca22d29.jpg"/>
    <n v="30"/>
    <n v="7"/>
    <n v="2026"/>
    <s v="30-2026"/>
    <s v="Subido"/>
    <m/>
    <m/>
    <m/>
    <x v="1"/>
    <x v="1"/>
    <m/>
    <s v="Cristian Herrera"/>
    <s v="ELVIA JAIMES"/>
    <d v="2026-07-29T00:00:00"/>
    <m/>
    <m/>
  </r>
  <r>
    <n v="3680011"/>
    <x v="20"/>
    <s v="andres.ortiz@oxxo.com"/>
    <s v="22/07/2026"/>
    <s v="22/07/2026"/>
    <s v="17:56"/>
    <n v="2026"/>
    <s v="07"/>
    <s v="Enviado"/>
    <s v="Centro Suba"/>
    <m/>
    <s v="Centro"/>
    <s v="Bogotá"/>
    <m/>
    <s v="PEDRO MORENO SUAREZ"/>
    <s v="https://maps.app.goo.gl/TCHUdwg6A8YgVuCz5?g_st=ac"/>
    <s v="Base"/>
    <s v="Esquinero"/>
    <s v="Zona Comercial"/>
    <s v="6017447577 ext. 101"/>
    <s v="Analistacomercial@centrosuba.com"/>
    <s v="Foto: https://oxxo-colombia.oneapp.cl/static/img/Respuesta/63104136/8830531906816548589e2ebf7962c632.jpg_x000a_Foto: https://oxxo-colombia.oneapp.cl/static/img/Respuesta/63104136/f60c7ae18db0a2c8b38cb5a301207bdd.jpg_x000a_Foto: https://oxxo-colombia.oneapp.cl/static/img/Respuesta/63104136/bdaf13cf7a54a5e262ee11a96c734d6a.jpg"/>
    <n v="30"/>
    <n v="7"/>
    <n v="2026"/>
    <s v="30-2026"/>
    <s v="Subido"/>
    <m/>
    <m/>
    <m/>
    <x v="1"/>
    <x v="1"/>
    <m/>
    <s v="Jonathan Aguirre"/>
    <m/>
    <m/>
    <m/>
    <m/>
  </r>
  <r>
    <n v="3680024"/>
    <x v="3"/>
    <s v="alejandror.gomez@oxxo.com"/>
    <s v="22/07/2026"/>
    <s v="22/07/2026"/>
    <s v="18:47"/>
    <n v="2026"/>
    <s v="07"/>
    <s v="Enviado"/>
    <s v="Oxxo cuba"/>
    <m/>
    <s v="Occidente"/>
    <s v="Eje Cafetero"/>
    <s v="Cra. 26 Bis # 71-73, Pereira, Risaralda"/>
    <s v="YESENIA ARIZTIZABAL ALZATE"/>
    <s v="https://share.google/CPQ8CQuA70rGqPrMw"/>
    <s v="Base"/>
    <s v="Medianero"/>
    <s v="Zona de Transporte Público"/>
    <n v="3137456421"/>
    <s v="No posee"/>
    <s v="Foto: https://oxxo-colombia.oneapp.cl/static/img/Respuesta/63104750/ef3a8d39358b32f701fddadc9d3f29cb.jpg_x000a_Foto: https://oxxo-colombia.oneapp.cl/static/img/Respuesta/63104750/bcb7187031b8414d4079f30796859c38.jpg_x000a_Foto: https://oxxo-colombia.oneapp.cl/static/img/Respuesta/63104750/492725e73708efc02fbd4d8d55f1652e.jpg_x000a_Foto: https://oxxo-colombia.oneapp.cl/static/img/Respuesta/63104750/3330383ca4366c1b0790adcda94490c8.jpg_x000a_Foto: https://oxxo-colombia.oneapp.cl/static/img/Respuesta/63104750/0fafba6024d5d26375653d9db8317f8b.jpg"/>
    <n v="30"/>
    <n v="7"/>
    <n v="2026"/>
    <s v="30-2026"/>
    <s v="Subido"/>
    <m/>
    <m/>
    <m/>
    <x v="2"/>
    <x v="1"/>
    <m/>
    <s v="Jonathan Aguirre"/>
    <m/>
    <m/>
    <m/>
    <m/>
  </r>
  <r>
    <n v="3680050"/>
    <x v="20"/>
    <s v="andres.ortiz@oxxo.com"/>
    <s v="22/07/2026"/>
    <s v="22/07/2026"/>
    <s v="20:10"/>
    <n v="2026"/>
    <s v="07"/>
    <s v="Enviado"/>
    <s v="Suba Acuarela"/>
    <m/>
    <s v="Centro"/>
    <s v="Bogotá"/>
    <s v="Ac 145 #92 - 30 "/>
    <s v="PEDRO MORENO SUAREZ"/>
    <s v="https://maps.app.goo.gl/BeTGCR24bq6FqSRe8?g_st=ac"/>
    <s v="Base"/>
    <s v="Esquinero"/>
    <s v="Zona Comercial"/>
    <n v="3213475722"/>
    <n v="3057995626"/>
    <s v="Foto: https://oxxo-colombia.oneapp.cl/static/img/Respuesta/63105738/863419e6033867a5b4470c295b65cb58.jpg"/>
    <n v="30"/>
    <n v="7"/>
    <n v="2026"/>
    <s v="30-2026"/>
    <s v="Subido"/>
    <s v="4.7388603931210005, -74.08629502884321"/>
    <m/>
    <m/>
    <x v="1"/>
    <x v="1"/>
    <m/>
    <s v="Stefanny Prieto"/>
    <s v="Jenny Acuña"/>
    <d v="2026-07-31T00:00:00"/>
    <m/>
    <m/>
  </r>
  <r>
    <n v="3680054"/>
    <x v="20"/>
    <s v="andres.ortiz@oxxo.com"/>
    <s v="22/07/2026"/>
    <s v="22/07/2026"/>
    <s v="20:26"/>
    <n v="2026"/>
    <s v="07"/>
    <s v="Enviado"/>
    <s v="Suba Piloto"/>
    <m/>
    <s v="Centro"/>
    <s v="Bogotá"/>
    <s v="Cra. 118 #132a-13, Bogotá"/>
    <s v="PEDRO MORENO SUAREZ"/>
    <s v="https://maps.app.goo.gl/BKx91rDJ4CJKfCNt7?g_st=ac"/>
    <s v="Hogar"/>
    <s v="Esquinero"/>
    <s v="Zona Residencial"/>
    <n v="3143704135"/>
    <s v="Na"/>
    <s v="Foto: https://oxxo-colombia.oneapp.cl/static/img/Respuesta/63105816/a9cd1bb35b449123912cebbafd048567.jpg_x000a_Foto: https://oxxo-colombia.oneapp.cl/static/img/Respuesta/63105816/7eb12e7051609ff2f8add6ad4ac9eab3.jpg_x000a_Foto: https://oxxo-colombia.oneapp.cl/static/img/Respuesta/63105816/4f005d03ac24dfb04fee2231c12f4f29.jpg"/>
    <n v="30"/>
    <n v="7"/>
    <n v="2026"/>
    <s v="30-2026"/>
    <s v="Subido"/>
    <s v="4.738428961750473, -74.10561618650813"/>
    <m/>
    <m/>
    <x v="0"/>
    <x v="1"/>
    <s v="Variables de éxito"/>
    <s v="Stefanny Prieto"/>
    <m/>
    <m/>
    <m/>
    <m/>
  </r>
  <r>
    <n v="3680055"/>
    <x v="20"/>
    <s v="andres.ortiz@oxxo.com"/>
    <s v="22/07/2026"/>
    <s v="22/07/2026"/>
    <s v="20:31"/>
    <n v="2026"/>
    <s v="07"/>
    <s v="Enviado"/>
    <s v="Ilarco"/>
    <m/>
    <s v="Centro"/>
    <s v="Bogotá"/>
    <s v="Av Suba #115-58, Bogotá"/>
    <s v="JUAN QUIROGA"/>
    <s v="https://maps.app.goo.gl/3zpfDx5Jekfv4v86A?g_st=ac"/>
    <s v="Hogar"/>
    <s v="Esquinero"/>
    <s v="Zona Residencial"/>
    <n v="3154965337"/>
    <s v="Na"/>
    <s v="Foto: https://oxxo-colombia.oneapp.cl/static/img/Respuesta/63105863/9a2ee0e114d799b3eb6d0c4c6dfc4dc4.jpg_x000a_Foto: https://oxxo-colombia.oneapp.cl/static/img/Respuesta/63105863/5dfb36936e6cb77192df2893aec9daa1.jpg_x000a_Foto: https://oxxo-colombia.oneapp.cl/static/img/Respuesta/63105863/bb38ed20a5dbc308275476604cddba6c.jpg"/>
    <n v="30"/>
    <n v="7"/>
    <n v="2026"/>
    <s v="30-2026"/>
    <s v="Subido"/>
    <s v="4.698999960838861, -74.06954454233055"/>
    <m/>
    <m/>
    <x v="1"/>
    <x v="1"/>
    <m/>
    <s v="Jonathan Aguirre"/>
    <m/>
    <m/>
    <m/>
    <m/>
  </r>
  <r>
    <n v="3679995"/>
    <x v="19"/>
    <m/>
    <s v="22/07/2026"/>
    <s v="22/07/2026"/>
    <s v="20:44"/>
    <n v="2026"/>
    <s v="07"/>
    <s v="Enviado"/>
    <s v="Mandalay"/>
    <m/>
    <s v="Centro"/>
    <s v="Bogotá"/>
    <s v="Cl. 2 # 73b 39, Kennedy, Bogotá"/>
    <s v="PEDRO MORENO SUAREZ"/>
    <s v="https://maps.app.goo.gl/XQdTnYufh5YeLTcXA?g_st=ac"/>
    <s v="Hogar"/>
    <s v="Esquinero"/>
    <s v="Zona Residencial"/>
    <n v="3132969330"/>
    <s v="joseggordillo@gmail.com"/>
    <s v="Foto: https://oxxo-colombia.oneapp.cl/static/img/Respuesta/63106181/53bbeb64db9a1e79aee0bb1d17a0db5e.jpg_x000a_Foto: https://oxxo-colombia.oneapp.cl/static/img/Respuesta/63106181/102b5a3337dee803bb88e6ae8403b808.jpg_x000a_Foto: https://oxxo-colombia.oneapp.cl/static/img/Respuesta/63106181/35e9cceb82dff20f13d33ca56c59a3be.jpg_x000a_Foto: https://oxxo-colombia.oneapp.cl/static/img/Respuesta/63106181/047019f37a472e61efed9140c3474d30.jpg"/>
    <n v="30"/>
    <n v="7"/>
    <n v="2026"/>
    <s v="30-2026"/>
    <s v="Subido"/>
    <s v="4.6240111347916, -74.14309515767714"/>
    <m/>
    <m/>
    <x v="3"/>
    <x v="1"/>
    <m/>
    <s v="Stefanny Prieto"/>
    <m/>
    <m/>
    <m/>
    <m/>
  </r>
  <r>
    <n v="3683298"/>
    <x v="2"/>
    <s v="jairo.hernandez@oxxo.com"/>
    <s v="23/07/2026"/>
    <s v="23/07/2026"/>
    <s v="11:29"/>
    <n v="2026"/>
    <s v="07"/>
    <s v="Enviado"/>
    <s v="Circunvalar intersección"/>
    <m/>
    <s v="Occidente"/>
    <s v="Eje Cafetero"/>
    <s v="Cra. 13 #11-31, Pereira, Risaralda"/>
    <s v="YESENIA ARIZTIZABAL ALZATE"/>
    <s v="https://maps.app.goo.gl/BS9YHfeBx8LigNK16?g_st=aw"/>
    <s v="Receso "/>
    <s v="Esquinero"/>
    <s v="Zona Administrativa"/>
    <s v="6063344240_x000a_3009121600"/>
    <s v="www.rentainmobiliaria.com"/>
    <s v="Foto: https://oxxo-colombia.oneapp.cl/static/img/Respuesta/63158543/9810a680f4f88d4e6c8be1d1782908f5.jpg"/>
    <n v="30"/>
    <n v="7"/>
    <n v="2026"/>
    <s v="30-2026"/>
    <s v="No subido"/>
    <s v="4.808281963380165, -75.68834972883444"/>
    <m/>
    <s v="Descartado por punto duplicado (Oxxo cra 13- Alejandro Gomez)"/>
    <x v="0"/>
    <x v="1"/>
    <s v="Duplicado"/>
    <m/>
    <m/>
    <m/>
    <m/>
    <m/>
  </r>
  <r>
    <n v="3683348"/>
    <x v="21"/>
    <s v="ernesto.latorre@oxxo.com"/>
    <s v="23/07/2026"/>
    <s v="23/07/2026"/>
    <s v="12:14"/>
    <n v="2026"/>
    <s v="07"/>
    <s v="Enviado"/>
    <s v="Edificio Tequendama Calle 100"/>
    <s v="Tequendama 100"/>
    <s v="Centro"/>
    <s v="Bogotá"/>
    <s v="Ac. 100 #11A-51, Bogotá"/>
    <s v="PEDRO MORENO SUAREZ"/>
    <s v="https://maps.app.goo.gl/PE1f4S4YcVUUo6e98?g_st=ac"/>
    <s v="Receso "/>
    <s v="Esquinero"/>
    <s v="Centros Educativos"/>
    <n v="3214903514"/>
    <s v="www.gnbsudameris.com.co"/>
    <s v="Foto: https://oxxo-colombia.oneapp.cl/static/img/Respuesta/63160024/372397dc164e9f428f9e1d436dc1293c.jpg_x000a_Foto: https://oxxo-colombia.oneapp.cl/static/img/Respuesta/63160024/9c4d3f7fd9308fd969bad057b88620c4.jpg_x000a_Foto: https://oxxo-colombia.oneapp.cl/static/img/Respuesta/63160024/93a41d7f180ce765672bbc88b608f2a3.jpg"/>
    <n v="30"/>
    <n v="7"/>
    <n v="2026"/>
    <s v="30-2026"/>
    <s v="Subido"/>
    <s v="4.682833960466399, -74.04458175766959"/>
    <m/>
    <m/>
    <x v="0"/>
    <x v="1"/>
    <s v="Canibalización "/>
    <m/>
    <m/>
    <m/>
    <m/>
    <m/>
  </r>
  <r>
    <n v="3683607"/>
    <x v="12"/>
    <s v="brayan.mogollon@oxxo.com"/>
    <s v="23/07/2026"/>
    <s v="23/07/2026"/>
    <s v="17:25"/>
    <n v="2026"/>
    <s v="07"/>
    <s v="Enviado"/>
    <s v="Industrial AC"/>
    <m/>
    <s v="Centro"/>
    <s v="Bogotá"/>
    <m/>
    <s v="JUAN QUIROGA"/>
    <s v="https://maps.app.goo.gl/iQjt8Ebm6H8CuvqJ8?g_st=ac"/>
    <s v="Receso "/>
    <s v="Esquinero"/>
    <s v="Zona Industrial"/>
    <n v="3175022222"/>
    <n v="3153522582"/>
    <s v="Foto: https://oxxo-colombia.oneapp.cl/static/img/Respuesta/63170378/4b7d83cae36bd3b56b5223a303d5741e.jpg_x000a_Foto: https://oxxo-colombia.oneapp.cl/static/img/Respuesta/63170378/8f095f0db6f437786bab9652af214bc1.jpg"/>
    <n v="30"/>
    <n v="7"/>
    <n v="2026"/>
    <s v="30-2026"/>
    <s v="Subido"/>
    <m/>
    <m/>
    <m/>
    <x v="1"/>
    <x v="1"/>
    <m/>
    <s v="Cristian Herrera"/>
    <s v="JAIME GUTIERREZ"/>
    <d v="2026-07-29T00:00:00"/>
    <m/>
    <m/>
  </r>
  <r>
    <n v="3683610"/>
    <x v="22"/>
    <s v="francisco.gomezgrajales@oxxo.com"/>
    <s v="23/07/2026"/>
    <s v="23/07/2026"/>
    <s v="17:37"/>
    <n v="2026"/>
    <s v="07"/>
    <s v="Enviado"/>
    <s v="Ciudad jardín sur"/>
    <s v="Ciudad Salitre "/>
    <s v="Centro"/>
    <s v="Bogotá"/>
    <s v="Cra. 12c #17-07 sur, Bogotá"/>
    <s v="JUAN QUIROGA"/>
    <s v="https://maps.app.goo.gl/974Kc9pnwF5W8VPB9?g_st=aw"/>
    <s v="Base"/>
    <s v="Esquinero"/>
    <s v="Zona Comercial"/>
    <n v="3186280302"/>
    <s v="Spabalanceperfecto.bogota@gmail.com"/>
    <s v="Foto: https://oxxo-colombia.oneapp.cl/static/img/Respuesta/63170723/6312aa5d086347342ecf73aadd382c54.jpg_x000a_Foto: https://oxxo-colombia.oneapp.cl/static/img/Respuesta/63170723/5c54c8d70bd8a08cce7458dee02778ed.jpg"/>
    <n v="30"/>
    <n v="7"/>
    <n v="2026"/>
    <s v="30-2026"/>
    <s v="Subido"/>
    <s v="4.581879147272417, -74.09702741534957"/>
    <m/>
    <m/>
    <x v="1"/>
    <x v="1"/>
    <m/>
    <s v="Stefanny Prieto"/>
    <s v="Carlos Bolaños"/>
    <d v="2026-07-30T00:00:00"/>
    <m/>
    <m/>
  </r>
  <r>
    <n v="3683591"/>
    <x v="0"/>
    <s v="sandra.padilla@oxxo.com"/>
    <s v="23/07/2026"/>
    <s v="23/07/2026"/>
    <s v="18:55"/>
    <n v="2026"/>
    <s v="07"/>
    <s v="Enviado"/>
    <s v="Centro comercial cañaveral"/>
    <s v="Comercial Molinos"/>
    <s v="Nororiente"/>
    <s v="Oriente"/>
    <s v="Calle 30 #30 04"/>
    <s v="DIEGO RODRIGUEZ ESTEBAN"/>
    <s v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/>
    <s v="Base"/>
    <s v="Esquinero"/>
    <s v="Zona Comercial"/>
    <n v="3202129355"/>
    <n v="3202129355"/>
    <s v="Foto: https://oxxo-colombia.oneapp.cl/static/img/Respuesta/63172270/9c2813dede708f4ff65dcc136a20d8d7.jpg_x000a_Foto: https://oxxo-colombia.oneapp.cl/static/img/Respuesta/63172270/f90569968d9a2605648e11719142d1fe.jpg"/>
    <n v="30"/>
    <n v="7"/>
    <n v="2026"/>
    <s v="30-2026"/>
    <s v="Subido"/>
    <s v="7.070605485983002, -73.10553905819518"/>
    <m/>
    <m/>
    <x v="1"/>
    <x v="1"/>
    <m/>
    <s v="Stefanny Prieto"/>
    <s v="JAIME GUTIERREZ"/>
    <d v="2026-07-30T00:00:00"/>
    <m/>
    <m/>
  </r>
  <r>
    <n v="3683612"/>
    <x v="12"/>
    <s v="brayan.mogollon@oxxo.com"/>
    <s v="23/07/2026"/>
    <s v="23/07/2026"/>
    <s v="19:25"/>
    <n v="2026"/>
    <s v="07"/>
    <s v="Enviado"/>
    <s v="Santa isabela calle 3"/>
    <m/>
    <s v="Centro"/>
    <s v="Bogotá"/>
    <m/>
    <s v="JUAN QUIROGA"/>
    <s v="https://maps.app.goo.gl/mPEriJi82CJKdctc8?g_st=ac"/>
    <s v="Hogar"/>
    <s v="Esquinero"/>
    <s v="Zona Residencial"/>
    <n v="3503394887"/>
    <n v="3503394887"/>
    <s v="Foto: https://oxxo-colombia.oneapp.cl/static/img/Respuesta/63172624/16f64a1b013fa137a3baca6a7f2f9605.jpg_x000a_Foto: https://oxxo-colombia.oneapp.cl/static/img/Respuesta/63172624/4133496338cc64e8f89aa12e3b652549.jpg"/>
    <n v="30"/>
    <n v="7"/>
    <n v="2026"/>
    <s v="30-2026"/>
    <s v="Subido"/>
    <m/>
    <m/>
    <m/>
    <x v="1"/>
    <x v="1"/>
    <m/>
    <s v="Jonathan Aguirre"/>
    <m/>
    <m/>
    <m/>
    <m/>
  </r>
  <r>
    <n v="3686736"/>
    <x v="17"/>
    <s v="diana.becerramelo@oxxo.com"/>
    <s v="24/07/2026"/>
    <s v="24/07/2026"/>
    <s v="07:20"/>
    <n v="2026"/>
    <s v="07"/>
    <s v="Enviado"/>
    <s v="Boyacá calle 54"/>
    <m/>
    <s v="Centro"/>
    <s v="Bogotá"/>
    <s v="Cra. 72 #Calle 54, Engativá"/>
    <s v="JUAN QUIROGA"/>
    <s v="https://maps.app.goo.gl/WcJZpZR1WDn3aMew7?g_st=ac"/>
    <s v="Base"/>
    <s v="Esquinero"/>
    <s v="Zona Comercial"/>
    <s v="3224263319 -321 4619461"/>
    <s v="Sin correo"/>
    <s v="Foto: https://oxxo-colombia.oneapp.cl/static/img/Respuesta/63210605/87bb73effdd53d613d5e5d89237a72c5.jpg_x000a_Foto: https://oxxo-colombia.oneapp.cl/static/img/Respuesta/63210605/e9281d24a03f80e79fb6308f61ade15c.jpg"/>
    <n v="30"/>
    <n v="7"/>
    <n v="2026"/>
    <s v="30-2026"/>
    <s v="Subido"/>
    <s v="4.67096763143146, -74.10627311627897"/>
    <m/>
    <m/>
    <x v="1"/>
    <x v="1"/>
    <m/>
    <s v="Stefanny Prieto"/>
    <s v="Carlos Bolaños"/>
    <d v="2026-07-30T00:00:00"/>
    <m/>
    <m/>
  </r>
  <r>
    <n v="3687074"/>
    <x v="23"/>
    <s v="juan.garciadiaz@oxxo.com"/>
    <s v="24/07/2026"/>
    <s v="24/07/2026"/>
    <s v="13:14"/>
    <n v="2026"/>
    <s v="07"/>
    <s v="Enviado"/>
    <s v="Estadio"/>
    <s v="Diamante 74"/>
    <s v="Occidente"/>
    <s v="Antioquia"/>
    <m/>
    <s v="YESENIA ARIZTIZABAL ALZATE"/>
    <s v="https://maps.app.goo.gl/9xoNxA6hMPpPfmUY7"/>
    <s v="Base"/>
    <s v="Esquinero"/>
    <s v="Zona Comercial"/>
    <n v="3133263867"/>
    <s v="NA"/>
    <s v="Foto: https://oxxo-colombia.oneapp.cl/static/img/Respuesta/63229185/70932c80ebd1b4397c05c529e13148d2.jpg"/>
    <n v="30"/>
    <n v="7"/>
    <n v="2026"/>
    <s v="30-2026"/>
    <s v="Subido"/>
    <m/>
    <m/>
    <m/>
    <x v="1"/>
    <x v="1"/>
    <m/>
    <s v="Cristian Herrera"/>
    <s v="VALENTINA VALENCIA"/>
    <d v="2026-07-30T00:00:00"/>
    <m/>
    <m/>
  </r>
  <r>
    <n v="3687128"/>
    <x v="21"/>
    <s v="ernesto.latorre@oxxo.com"/>
    <s v="24/07/2026"/>
    <s v="24/07/2026"/>
    <s v="14:19"/>
    <n v="2026"/>
    <s v="07"/>
    <s v="Enviado"/>
    <s v="Edificio Messina"/>
    <m/>
    <s v="Centro"/>
    <s v="Bogotá"/>
    <s v="Cra 19 #9352, Bogotá"/>
    <s v="PEDRO MORENO SUAREZ"/>
    <s v="https://maps.app.goo.gl/qVPDTGyYWwahjkAp7?g_st=ac"/>
    <s v="Hogar"/>
    <s v="Medianero"/>
    <s v="Zona Residencial"/>
    <s v="3004937535- 3102305745"/>
    <s v="www.miamibrokersmbc.com"/>
    <s v="Foto: https://oxxo-colombia.oneapp.cl/static/img/Respuesta/63231681/cc4b2aa03dc9b3c26c45ec24759218c2.jpg_x000a_Foto: https://oxxo-colombia.oneapp.cl/static/img/Respuesta/63231681/ace220beb318ccf86769f09b1b7dd88d.jpg"/>
    <n v="30"/>
    <n v="7"/>
    <n v="2026"/>
    <s v="30-2026"/>
    <s v="Subido"/>
    <s v="4.678926908067848, -74.05448047647374"/>
    <m/>
    <m/>
    <x v="1"/>
    <x v="1"/>
    <m/>
    <s v="Stefanny Prieto"/>
    <s v="JAIME GUTIERREZ"/>
    <d v="2026-07-28T00:00:00"/>
    <m/>
    <m/>
  </r>
  <r>
    <n v="3687196"/>
    <x v="24"/>
    <s v="lorena.beltran@oxxo.com"/>
    <d v="2026-07-24T00:00:00"/>
    <d v="2026-07-24T00:00:00"/>
    <d v="1899-12-30T15:41:00"/>
    <n v="2026"/>
    <s v="07"/>
    <s v="Enviado"/>
    <s v="La Aldea"/>
    <m/>
    <s v="Occidente"/>
    <s v="Eje Cafetero"/>
    <s v="Kilómetro 7 vía Pereira a Armenia"/>
    <s v="YESENIA ARIZTIZABAL ALZATE"/>
    <s v="https://maps.app.goo.gl/JrkTt1eXML1QMxUc8"/>
    <s v="Base"/>
    <s v="Esquinero"/>
    <s v="Zona Comercial"/>
    <n v="3024234177"/>
    <n v="3024234177"/>
    <s v="Foto: https://oxxo-colombia.oneapp.cl/static/img/Respuesta/63234280/1eb00ebff368e6719f9c1bc3b3edb8fd.jpg"/>
    <n v="30"/>
    <n v="7"/>
    <n v="2026"/>
    <s v="30-2026"/>
    <s v="Subido"/>
    <m/>
    <m/>
    <m/>
    <x v="2"/>
    <x v="1"/>
    <m/>
    <s v="Jonathan Aguirre"/>
    <m/>
    <m/>
    <m/>
    <m/>
  </r>
  <r>
    <n v="3687205"/>
    <x v="25"/>
    <s v="john.espinosa@oxxo.com"/>
    <d v="2026-07-24T00:00:00"/>
    <d v="2026-07-24T00:00:00"/>
    <d v="1899-12-30T15:56:00"/>
    <n v="2026"/>
    <s v="07"/>
    <s v="Enviado"/>
    <s v="EDS la pista"/>
    <m/>
    <s v="Occidente"/>
    <s v="Eje Cafetero"/>
    <m/>
    <s v="YESENIA ARIZTIZABAL ALZATE"/>
    <s v="https://maps.app.goo.gl/kzskW8qdvmWNrmtU8?g_st=iw"/>
    <s v="Receso"/>
    <s v="Esquinero"/>
    <s v="Centros Educativos"/>
    <s v="‪315 3217754‬"/>
    <s v="Dante.sandra72@gmail.com"/>
    <s v="Foto: https://oxxo-colombia.oneapp.cl/static/img/Respuesta/63234643/fc05e86c5b9aa2c4db94266f19506d37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87227"/>
    <x v="17"/>
    <s v="diana.becerramelo@oxxo.com"/>
    <d v="2026-07-24T00:00:00"/>
    <d v="2026-07-24T00:00:00"/>
    <d v="1899-12-30T17:03:00"/>
    <n v="2026"/>
    <s v="07"/>
    <s v="Enviado"/>
    <s v="Tabora 77"/>
    <m/>
    <s v="Centro"/>
    <s v="Bogotá"/>
    <m/>
    <s v="JUAN QUIROGA"/>
    <s v="https://maps.app.goo.gl/bgEumNMMgswLuWug8"/>
    <s v="Hogar"/>
    <s v="Esquinero"/>
    <s v="Zona Residencial"/>
    <n v="3024817872"/>
    <s v="No tiene"/>
    <s v="Foto: https://oxxo-colombia.oneapp.cl/static/img/Respuesta/63235378/ba7e80d8123a945309a14b94fa26aff4.jpg"/>
    <n v="30"/>
    <n v="7"/>
    <n v="2026"/>
    <s v="30-2026"/>
    <s v="Subido"/>
    <m/>
    <m/>
    <m/>
    <x v="0"/>
    <x v="1"/>
    <s v="Rentado a otra marca"/>
    <s v="Stefanny Prieto"/>
    <m/>
    <m/>
    <m/>
    <m/>
  </r>
  <r>
    <n v="3687230"/>
    <x v="26"/>
    <s v="ana.gonzalez@oxxo.com"/>
    <d v="2026-07-24T00:00:00"/>
    <d v="2026-07-24T00:00:00"/>
    <d v="1899-12-30T17:21:00"/>
    <n v="2026"/>
    <s v="07"/>
    <s v="Enviado"/>
    <s v="Carrera 15 con 117"/>
    <m/>
    <s v="Centro"/>
    <s v="Bogotá"/>
    <m/>
    <s v="PEDRO MORENO SUAREZ"/>
    <s v="https://maps.app.goo.gl/jdeQFRYYpEDtfF3c8"/>
    <s v="Base"/>
    <s v="Medianero"/>
    <s v="Zona Comercial"/>
    <n v="3114910947"/>
    <s v="No aplica"/>
    <s v="Foto: https://oxxo-colombia.oneapp.cl/static/img/Respuesta/63235652/1fb2d400043bca38cf104da0f63ee849.jpg"/>
    <n v="30"/>
    <n v="7"/>
    <n v="2026"/>
    <s v="30-2026"/>
    <s v="No subido"/>
    <m/>
    <m/>
    <s v="Punto duplicado y descartado (Av cra 15- Daniela Menasse)"/>
    <x v="0"/>
    <x v="1"/>
    <s v="Duplicado"/>
    <m/>
    <m/>
    <m/>
    <m/>
    <m/>
  </r>
  <r>
    <n v="3687232"/>
    <x v="19"/>
    <m/>
    <d v="2026-07-24T00:00:00"/>
    <d v="2026-07-24T00:00:00"/>
    <d v="1899-12-30T17:22:00"/>
    <n v="2026"/>
    <s v="07"/>
    <s v="Enviado"/>
    <s v="Oxxo Altamar"/>
    <m/>
    <s v="Centro"/>
    <s v="Bogotá"/>
    <s v="Cra91#127c25"/>
    <s v="PEDRO MORENO SUAREZ"/>
    <s v="https://maps.app.goo.gl/PxTZKoG3Fzs2hRSV6?g_st=ac"/>
    <s v="Hogar"/>
    <s v="Medianero"/>
    <s v="Zona Comercial"/>
    <n v="3142715094"/>
    <s v="No aplica"/>
    <s v="Foto: https://oxxo-colombia.oneapp.cl/static/img/Respuesta/63235704/1cbcf88bc193677f42e920ff2e2cedc4.jpg"/>
    <n v="30"/>
    <n v="7"/>
    <n v="2026"/>
    <s v="30-2026"/>
    <s v="Subido"/>
    <m/>
    <m/>
    <m/>
    <x v="0"/>
    <x v="1"/>
    <s v="Variables de éxito"/>
    <s v="Jonathan Aguirre"/>
    <m/>
    <m/>
    <m/>
    <m/>
  </r>
  <r>
    <n v="3687233"/>
    <x v="26"/>
    <s v="ana.gonzalez@oxxo.com"/>
    <d v="2026-07-24T00:00:00"/>
    <d v="2026-07-24T00:00:00"/>
    <d v="1899-12-30T17:28:00"/>
    <n v="2026"/>
    <s v="07"/>
    <s v="Enviado"/>
    <s v="Carrera 15 -116"/>
    <m/>
    <s v="Centro"/>
    <s v="Bogotá"/>
    <m/>
    <s v="PEDRO MORENO SUAREZ"/>
    <s v="https://maps.app.goo.gl/8mb4UcCPc2SYD4bm7"/>
    <s v="Base"/>
    <s v="Medianero"/>
    <s v="Zona Comercial"/>
    <s v="3204994000 - 3229007098"/>
    <s v="No aplica"/>
    <s v="Foto: https://oxxo-colombia.oneapp.cl/static/img/Respuesta/63235758/c10391636aa52d896f9c53fc97b340ed.jpg"/>
    <n v="30"/>
    <n v="7"/>
    <n v="2026"/>
    <s v="30-2026"/>
    <s v="Subido"/>
    <m/>
    <m/>
    <m/>
    <x v="1"/>
    <x v="1"/>
    <m/>
    <s v="Stefanny Prieto"/>
    <m/>
    <m/>
    <m/>
    <m/>
  </r>
  <r>
    <n v="3687238"/>
    <x v="19"/>
    <m/>
    <d v="2026-07-24T00:00:00"/>
    <d v="2026-07-24T00:00:00"/>
    <d v="1899-12-30T17:34:00"/>
    <n v="2026"/>
    <s v="07"/>
    <s v="Enviado"/>
    <s v="Cerros de suba"/>
    <m/>
    <s v="Centro"/>
    <s v="Bogotá"/>
    <m/>
    <s v="PEDRO MORENO SUAREZ"/>
    <s v="https://maps.app.goo.gl/FtHvRa2r8ixdKF4D6?g_st=ac"/>
    <s v="Hogar"/>
    <s v="Esquinero"/>
    <s v="Zona Residencial"/>
    <s v="601 7042160"/>
    <s v="Cerrosdesubaph@gmail.com"/>
    <s v="Foto: https://oxxo-colombia.oneapp.cl/static/img/Respuesta/63235871/7145912e4d14bfd5caa7936f3a4fec12.jpg"/>
    <n v="30"/>
    <n v="7"/>
    <n v="2026"/>
    <s v="30-2026"/>
    <s v="Subido"/>
    <m/>
    <m/>
    <m/>
    <x v="1"/>
    <x v="1"/>
    <m/>
    <s v="Stefanny Prieto"/>
    <s v="Martha Lopez"/>
    <d v="2026-07-31T00:00:00"/>
    <m/>
    <m/>
  </r>
  <r>
    <n v="3687240"/>
    <x v="27"/>
    <s v="omar.beltrannovoa@oxxo.com"/>
    <d v="2026-07-24T00:00:00"/>
    <d v="2026-07-24T00:00:00"/>
    <d v="1899-12-30T17:35:00"/>
    <n v="2026"/>
    <s v="07"/>
    <s v="Enviado"/>
    <s v="Fontibón la Cabaña"/>
    <m/>
    <s v="Centro"/>
    <s v="Bogotá"/>
    <m/>
    <s v="JUAN QUIROGA"/>
    <s v="https://maps.app.goo.gl/SZ1jnkoZu5dSkpNk6"/>
    <s v="Hogar"/>
    <s v="Medianero"/>
    <s v="Zona Industrial"/>
    <s v="Nixon Rojas"/>
    <s v="nixon1869@gmail.com"/>
    <s v="Foto: https://oxxo-colombia.oneapp.cl/static/img/Respuesta/63235847/6b506c7cab4e01f44d9398d3f2f8e012.jpg"/>
    <n v="30"/>
    <n v="7"/>
    <n v="2026"/>
    <s v="30-2026"/>
    <s v="Subido"/>
    <m/>
    <m/>
    <m/>
    <x v="1"/>
    <x v="1"/>
    <m/>
    <s v="Cristian Herrera"/>
    <s v="Carlos Bolaños"/>
    <d v="2026-07-30T00:00:00"/>
    <m/>
    <m/>
  </r>
  <r>
    <n v="3687244"/>
    <x v="26"/>
    <s v="ana.gonzalez@oxxo.com"/>
    <d v="2026-07-24T00:00:00"/>
    <d v="2026-07-24T00:00:00"/>
    <d v="1899-12-30T17:45:00"/>
    <n v="2026"/>
    <s v="07"/>
    <s v="Enviado"/>
    <s v="116 con 16"/>
    <m/>
    <s v="Centro"/>
    <s v="Bogotá"/>
    <m/>
    <s v="PEDRO MORENO SUAREZ"/>
    <s v="https://maps.app.goo.gl/We16jmS8NyUGf58B9?g_st=ac"/>
    <s v="Base"/>
    <s v="Medianero"/>
    <s v="Zona Comercial"/>
    <n v="3105726862"/>
    <s v="No aplica"/>
    <s v="Foto: https://oxxo-colombia.oneapp.cl/static/img/Respuesta/63236023/ac75ede8715a9f362f4a8edbdac1b1ba.jpg"/>
    <n v="30"/>
    <n v="7"/>
    <n v="2026"/>
    <s v="30-2026"/>
    <s v="Subido"/>
    <m/>
    <m/>
    <m/>
    <x v="0"/>
    <x v="1"/>
    <s v="Área/Propuesta de valor"/>
    <m/>
    <m/>
    <m/>
    <m/>
    <m/>
  </r>
  <r>
    <n v="3687254"/>
    <x v="17"/>
    <s v="diana.becerramelo@oxxo.com"/>
    <d v="2026-07-24T00:00:00"/>
    <d v="2026-07-24T00:00:00"/>
    <d v="1899-12-30T17:48:00"/>
    <n v="2026"/>
    <s v="07"/>
    <s v="Enviado"/>
    <s v="Santa Helena cr 80"/>
    <s v="Santa Real 80"/>
    <s v="Centro"/>
    <s v="Bogotá"/>
    <s v="Cr 80 no 71 14"/>
    <s v="JUAN QUIROGA"/>
    <s v="https://maps.app.goo.gl/5mWFmMDmeqUZdebx5?g_st=ac"/>
    <s v="Base"/>
    <s v="Medianero"/>
    <s v="Zona Comercial"/>
    <n v="3154720372"/>
    <s v="No se tiene"/>
    <s v="Foto: https://oxxo-colombia.oneapp.cl/static/img/Respuesta/63236045/61f38cb8a2537eb126a93f4752a4f3cf.jpg"/>
    <n v="30"/>
    <n v="7"/>
    <n v="2026"/>
    <s v="30-2026"/>
    <s v="Subido"/>
    <m/>
    <m/>
    <m/>
    <x v="0"/>
    <x v="1"/>
    <s v="Variables de éxito"/>
    <m/>
    <m/>
    <m/>
    <m/>
    <m/>
  </r>
  <r>
    <n v="3687255"/>
    <x v="17"/>
    <s v="diana.becerramelo@oxxo.com"/>
    <d v="2026-07-24T00:00:00"/>
    <d v="2026-07-24T00:00:00"/>
    <d v="1899-12-30T17:52:00"/>
    <n v="2026"/>
    <s v="07"/>
    <s v="Enviado"/>
    <s v="Av cali 46 sur"/>
    <m/>
    <s v="Centro"/>
    <s v="Bogotá"/>
    <s v="Av cali no 43 sur 46"/>
    <s v="JUAN QUIROGA"/>
    <s v="https://maps.app.goo.gl/PMevYe65TjPxJGpC6?g_st=ac"/>
    <s v="Hogar"/>
    <s v="Medianero"/>
    <s v="Zona de Transporte Público"/>
    <n v="3142935162"/>
    <s v="Sin correo"/>
    <s v="Foto: https://oxxo-colombia.oneapp.cl/static/img/Respuesta/63236068/c868ccb2be43c2d4111c12a827094da7.jpg"/>
    <n v="30"/>
    <n v="7"/>
    <n v="2026"/>
    <s v="30-2026"/>
    <s v="Subido"/>
    <m/>
    <m/>
    <m/>
    <x v="0"/>
    <x v="1"/>
    <s v="Variables de éxito"/>
    <m/>
    <m/>
    <m/>
    <m/>
    <m/>
  </r>
  <r>
    <n v="3687264"/>
    <x v="12"/>
    <s v="brayan.mogollon@oxxo.com"/>
    <d v="2026-07-24T00:00:00"/>
    <d v="2026-07-24T00:00:00"/>
    <d v="1899-12-30T18:11:00"/>
    <n v="2026"/>
    <s v="07"/>
    <s v="Enviado"/>
    <s v="Calle 72"/>
    <m/>
    <s v="Centro"/>
    <s v="Bogotá"/>
    <m/>
    <s v="JUAN QUIROGA"/>
    <s v="https://maps.app.goo.gl/HzUx1Jk4129XH5uB8"/>
    <s v="Hogar"/>
    <s v="Medianero"/>
    <s v="Zona Comercial"/>
    <n v="3115734621"/>
    <n v="3115734621"/>
    <s v="Foto: https://oxxo-colombia.oneapp.cl/static/img/Respuesta/63236267/086de637da14c4093d2c2bbe9e337aab.jpg"/>
    <n v="30"/>
    <n v="7"/>
    <n v="2026"/>
    <s v="30-2026"/>
    <s v="Subido"/>
    <m/>
    <m/>
    <m/>
    <x v="0"/>
    <x v="1"/>
    <s v="Variables de éxito"/>
    <m/>
    <m/>
    <m/>
    <m/>
    <m/>
  </r>
  <r>
    <n v="3690383"/>
    <x v="26"/>
    <s v="ana.gonzalez@oxxo.com"/>
    <d v="2026-07-25T00:00:00"/>
    <d v="2026-07-25T00:00:00"/>
    <d v="1899-12-30T09:09:00"/>
    <n v="2026"/>
    <s v="07"/>
    <s v="Enviado"/>
    <s v="Vasquez Cobos (Cali)"/>
    <m/>
    <s v="Nororiente"/>
    <s v="Valle"/>
    <s v="Avenida 2 B Norte # 25 N 15"/>
    <s v="YESENIA ARIZTIZABAL ALZATE"/>
    <s v="https://maps.app.goo.gl/7u7woAW25HSBe6hF7"/>
    <s v="Receso"/>
    <s v="Medianero"/>
    <s v="Hospitales/ Clinícas"/>
    <n v="3184196150"/>
    <s v="No aplica"/>
    <s v="Foto: https://oxxo-colombia.oneapp.cl/static/img/Respuesta/63283434/7cc75b63444a0be61f41df29f8e2f7fe.jpg"/>
    <n v="30"/>
    <n v="7"/>
    <n v="2026"/>
    <s v="30-2026"/>
    <s v="Subido"/>
    <m/>
    <m/>
    <m/>
    <x v="2"/>
    <x v="1"/>
    <m/>
    <s v="Jonathan Aguirre"/>
    <m/>
    <m/>
    <m/>
    <m/>
  </r>
  <r>
    <n v="3690504"/>
    <x v="28"/>
    <s v="oscar.ramirez@oxxo.com"/>
    <d v="2026-07-25T00:00:00"/>
    <d v="2026-07-25T00:00:00"/>
    <d v="1899-12-30T13:31:00"/>
    <n v="2026"/>
    <s v="07"/>
    <s v="Enviado"/>
    <s v="Oxxo Venecia"/>
    <s v="Claret 45 sur"/>
    <s v="Centro"/>
    <s v="Bogotá"/>
    <s v="Diagonal 45 sur # 53-26"/>
    <s v="JUAN QUIROGA"/>
    <s v="https://waze.com/ul?a=share_drive&amp;locale=en&amp;sd=8V1N9lyGxeYy2cyyFQ-sd&amp;env=row&amp;utm_source=waze_app&amp;utm_campaign=share_drive"/>
    <s v="Base"/>
    <s v="Medianero"/>
    <s v="Zona Comercial"/>
    <n v="3142980570"/>
    <s v="No aplica"/>
    <s v="Foto: https://oxxo-colombia.oneapp.cl/static/img/Respuesta/63290615/fe38ff36a53c7b1ce4c348c31beafeea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90509"/>
    <x v="29"/>
    <s v="fabian.cardozo@oxxo.com"/>
    <d v="2026-07-25T00:00:00"/>
    <d v="2026-07-25T00:00:00"/>
    <d v="1899-12-30T13:52:00"/>
    <n v="2026"/>
    <s v="07"/>
    <s v="Enviado"/>
    <s v="Bochalema plaza"/>
    <m/>
    <s v="Occidente"/>
    <s v="Valle"/>
    <s v="Calle 25 -109, vía jamundi cali"/>
    <s v="YESENIA ARIZTIZABAL ALZATE"/>
    <s v="https://maps.app.goo.gl/xLtFdzwmwgZb9LkR8?g_st=ac"/>
    <s v="Base"/>
    <s v="Esquinero"/>
    <s v="Zona Residencial"/>
    <n v="3214953993"/>
    <m/>
    <s v="Foto: https://oxxo-colombia.oneapp.cl/static/img/Respuesta/63291098/925b5afb34e9d861486cda56304edf36.jpg"/>
    <n v="30"/>
    <n v="7"/>
    <n v="2026"/>
    <s v="30-2026"/>
    <s v="Subido"/>
    <m/>
    <m/>
    <m/>
    <x v="2"/>
    <x v="1"/>
    <m/>
    <s v="Cristian Herrera"/>
    <m/>
    <m/>
    <m/>
    <m/>
  </r>
  <r>
    <n v="3690581"/>
    <x v="17"/>
    <s v="diana.becerramelo@oxxo.com"/>
    <d v="2026-07-25T00:00:00"/>
    <d v="2026-07-25T00:00:00"/>
    <d v="1899-12-30T18:06:00"/>
    <n v="2026"/>
    <s v="07"/>
    <s v="Enviado"/>
    <s v="Eds Calle 45"/>
    <m/>
    <s v="Centro"/>
    <s v="Bogotá"/>
    <s v="Av quito (cr 30) con cr 45"/>
    <s v="JUAN QUIROGA"/>
    <s v="https://maps.app.goo.gl/MUSPvnJZHx1MypYo7?g_st=ac"/>
    <s v="Receso"/>
    <s v="Esquinero"/>
    <s v="Centros Educativos"/>
    <n v="3176427845"/>
    <s v="No tiene"/>
    <s v="Foto: https://oxxo-colombia.oneapp.cl/static/img/Respuesta/63293537/48e2c5117bc1a0a0052f685f2e7aa552.jpg"/>
    <n v="30"/>
    <n v="7"/>
    <n v="2026"/>
    <s v="30-2026"/>
    <s v="Subido"/>
    <m/>
    <m/>
    <m/>
    <x v="1"/>
    <x v="1"/>
    <m/>
    <s v="Stefanny Prieto"/>
    <s v="Jenny Acuña"/>
    <d v="2026-07-30T00:00:00"/>
    <m/>
    <s v="Especialista comenta que hace un tiempo llego y fue negado"/>
  </r>
  <r>
    <n v="3690583"/>
    <x v="17"/>
    <s v="diana.becerramelo@oxxo.com"/>
    <d v="2026-07-25T00:00:00"/>
    <d v="2026-07-25T00:00:00"/>
    <d v="1899-12-30T18:13:00"/>
    <n v="2026"/>
    <s v="07"/>
    <s v="Enviado"/>
    <s v="Sanfernando72"/>
    <m/>
    <s v="Centro"/>
    <s v="Bogotá"/>
    <s v="Calle 7269b 42"/>
    <s v="JUAN QUIROGA"/>
    <s v="https://maps.app.goo.gl/j5WYVr4kxC7cGkAD7?g_st=ac"/>
    <s v="Base"/>
    <s v="Medianero"/>
    <s v="Zona Comercial"/>
    <n v="3125357136"/>
    <s v="No tiene"/>
    <s v="Foto: https://oxxo-colombia.oneapp.cl/static/img/Respuesta/63293647/9188c0495b21b3c3d21ec7a66cbd5560.jpg"/>
    <n v="30"/>
    <n v="7"/>
    <n v="2026"/>
    <s v="30-2026"/>
    <s v="Subido"/>
    <m/>
    <m/>
    <m/>
    <x v="1"/>
    <x v="1"/>
    <m/>
    <s v="Stefanny Prieto"/>
    <s v="Lina Diaz"/>
    <d v="2026-07-30T00:00:00"/>
    <m/>
    <m/>
  </r>
  <r>
    <n v="3690591"/>
    <x v="17"/>
    <s v="diana.becerramelo@oxxo.com"/>
    <d v="2026-07-25T00:00:00"/>
    <d v="2026-07-25T00:00:00"/>
    <d v="1899-12-30T18:22:00"/>
    <n v="2026"/>
    <s v="07"/>
    <s v="Enviado"/>
    <s v="Española 76"/>
    <m/>
    <s v="Centro"/>
    <s v="Bogotá"/>
    <s v="Trans v 76 83a 83"/>
    <s v="JUAN QUIROGA"/>
    <s v="https://maps.app.goo.gl/qQ9pDY39yvugjvXw6?g_st=ac"/>
    <s v="Hogar"/>
    <s v="Esquinero"/>
    <s v="Zona Residencial"/>
    <n v="3118918691"/>
    <s v="No tiene"/>
    <s v="Foto: https://oxxo-colombia.oneapp.cl/static/img/Respuesta/63293713/30ff14b7ee68ac494983b41968add7a0.jpg"/>
    <n v="30"/>
    <n v="7"/>
    <n v="2026"/>
    <s v="30-2026"/>
    <s v="Subido"/>
    <m/>
    <m/>
    <m/>
    <x v="0"/>
    <x v="1"/>
    <s v="Variables de éxito"/>
    <s v="Stefanny Prieto"/>
    <m/>
    <m/>
    <m/>
    <m/>
  </r>
  <r>
    <n v="3690617"/>
    <x v="16"/>
    <s v="dany.ospina@oxxo.com"/>
    <d v="2026-07-25T00:00:00"/>
    <d v="2026-07-25T00:00:00"/>
    <d v="1899-12-30T19:27:00"/>
    <n v="2026"/>
    <s v="07"/>
    <s v="Enviado"/>
    <s v="Nuestro cartago"/>
    <m/>
    <s v="Occidente"/>
    <s v="Valle"/>
    <s v="Centro comercial nuestro cartago local 101 abc"/>
    <s v="YESENIA ARIZTIZABAL ALZATE"/>
    <s v="https://maps.app.goo.gl/P9rFkTjiQJ3dnWFt8"/>
    <s v="Base"/>
    <s v="Esquinero"/>
    <s v="Zona Comercial"/>
    <n v="3178928902"/>
    <s v="Centro comercial nuestro"/>
    <s v="Foto: https://oxxo-colombia.oneapp.cl/static/img/Respuesta/63294087/8e132cc7d7522521b5f96d14bd4e2184.jpg"/>
    <n v="30"/>
    <n v="7"/>
    <n v="2026"/>
    <s v="30-2026"/>
    <s v="Subido"/>
    <m/>
    <m/>
    <m/>
    <x v="2"/>
    <x v="1"/>
    <m/>
    <s v="Cristian Herrera"/>
    <m/>
    <m/>
    <m/>
    <m/>
  </r>
  <r>
    <n v="3690627"/>
    <x v="16"/>
    <s v="dany.ospina@oxxo.com"/>
    <d v="2026-07-25T00:00:00"/>
    <d v="2026-07-25T00:00:00"/>
    <d v="1899-12-30T20:57:00"/>
    <n v="2026"/>
    <s v="07"/>
    <s v="Enviado"/>
    <s v="Cascabel cartago"/>
    <m/>
    <s v="Occidente"/>
    <s v="Valle"/>
    <s v="Carrera 2 28-173 cartago valle"/>
    <s v="YESENIA ARIZTIZABAL ALZATE"/>
    <s v="https://maps.app.goo.gl/fo9rHJK6f2fgyKv67?g_st=ac"/>
    <s v="Hogar"/>
    <s v="Medianero"/>
    <s v="Zona Residencial"/>
    <s v="Laura Rodriguez 3137283885"/>
    <s v="No correo"/>
    <s v="Foto: https://oxxo-colombia.oneapp.cl/static/img/Respuesta/63294600/7253b93995d8241c71ecc67ada873de3.jpg"/>
    <n v="30"/>
    <n v="7"/>
    <n v="2026"/>
    <s v="30-2026"/>
    <s v="Subido"/>
    <m/>
    <m/>
    <m/>
    <x v="2"/>
    <x v="1"/>
    <m/>
    <s v="Stefanny Prieto"/>
    <m/>
    <m/>
    <m/>
    <m/>
  </r>
  <r>
    <n v="3690630"/>
    <x v="16"/>
    <s v="dany.ospina@oxxo.com"/>
    <d v="2026-07-25T00:00:00"/>
    <d v="2026-07-25T00:00:00"/>
    <d v="1899-12-30T21:04:00"/>
    <n v="2026"/>
    <s v="07"/>
    <s v="Enviado"/>
    <s v="Cascabel 2"/>
    <m/>
    <s v="Occidente"/>
    <s v="Valle"/>
    <s v="Carrera 2 calle 25"/>
    <s v="YESENIA ARIZTIZABAL ALZATE"/>
    <s v="https://maps.app.goo.gl/DcaXAMLmX1ce6YETA?g_st=ac"/>
    <s v="Hogar"/>
    <s v="Medianero"/>
    <s v="Zona Residencial"/>
    <s v="Laura rodriguez 3137283885"/>
    <s v="No tiene"/>
    <s v="Foto: https://oxxo-colombia.oneapp.cl/static/img/Respuesta/63294622/fccf04f93e0c28772b29a0162ac620e3.jpg"/>
    <n v="30"/>
    <n v="7"/>
    <n v="2026"/>
    <s v="30-2026"/>
    <s v="Subido"/>
    <m/>
    <m/>
    <m/>
    <x v="2"/>
    <x v="1"/>
    <m/>
    <s v="Stefanny Prieto"/>
    <m/>
    <m/>
    <m/>
    <m/>
  </r>
  <r>
    <n v="3690631"/>
    <x v="16"/>
    <s v="dany.ospina@oxxo.com"/>
    <d v="2026-07-25T00:00:00"/>
    <d v="2026-07-25T00:00:00"/>
    <d v="1899-12-30T21:19:00"/>
    <n v="2026"/>
    <s v="07"/>
    <s v="Enviado"/>
    <s v="Parque Bolívar Cartago"/>
    <m/>
    <s v="Occidente"/>
    <s v="Eje Cafetero"/>
    <s v="Calle 12 4-20"/>
    <s v="YESENIA ARIZTIZABAL ALZATE"/>
    <s v="https://maps.app.goo.gl/b131Rb364e84ymVp7?g_st=ac"/>
    <s v="Base"/>
    <s v="Medianero"/>
    <s v="Zona Comercial"/>
    <n v="3105050992"/>
    <s v="No tiene"/>
    <s v="Foto: https://oxxo-colombia.oneapp.cl/static/img/Respuesta/63294725/7a5a93d337453201c642d86559be42f6.jpg"/>
    <n v="30"/>
    <n v="7"/>
    <n v="2026"/>
    <s v="30-2026"/>
    <s v="Subido"/>
    <m/>
    <m/>
    <m/>
    <x v="2"/>
    <x v="1"/>
    <m/>
    <s v="Jonathan Aguirre"/>
    <m/>
    <m/>
    <m/>
    <m/>
  </r>
  <r>
    <n v="3693642"/>
    <x v="24"/>
    <s v="lorena.beltran@oxxo.com"/>
    <d v="2026-07-26T00:00:00"/>
    <d v="2026-07-26T00:00:00"/>
    <d v="1899-12-30T17:10:00"/>
    <n v="2026"/>
    <s v="07"/>
    <s v="Enviado"/>
    <s v="Filandia"/>
    <m/>
    <s v="Occidente"/>
    <s v="Eje Cafetero"/>
    <s v="Cra 5 # 7 - 42"/>
    <s v="YESENIA ARIZTIZABAL ALZATE"/>
    <s v="https://maps.app.goo.gl/DJBmRXqQasd2Vk147"/>
    <s v="Base"/>
    <s v="Medianero"/>
    <s v="Zona Comercial"/>
    <n v="3122972656"/>
    <n v="3122972656"/>
    <s v="Foto: https://oxxo-colombia.oneapp.cl/static/img/Respuesta/63339353/7705c68cb3cdebfb03b58f15fa9ec0c1.jpg"/>
    <n v="31"/>
    <n v="7"/>
    <n v="2026"/>
    <s v="31-2026"/>
    <s v="Subido"/>
    <m/>
    <m/>
    <m/>
    <x v="2"/>
    <x v="2"/>
    <m/>
    <s v="Stefanny Prieto"/>
    <m/>
    <m/>
    <m/>
    <m/>
  </r>
  <r>
    <n v="3696824"/>
    <x v="11"/>
    <s v="massiel.garzon@oxxo.com"/>
    <d v="2026-07-27T00:00:00"/>
    <d v="2026-07-27T00:00:00"/>
    <d v="1899-12-30T10:02:00"/>
    <n v="2026"/>
    <s v="07"/>
    <s v="Enviado"/>
    <s v="Parkway 116 "/>
    <m/>
    <s v="Centro"/>
    <s v="Bogotá"/>
    <s v="Calle 116 n 17 13"/>
    <s v="PEDRO MORENO SUAREZ"/>
    <s v="https://maps.app.goo.gl/zSQCn9i6jww5XLox7?g_st=aw"/>
    <s v="Receso"/>
    <s v="Esquinero"/>
    <s v="Zona Comercial"/>
    <s v="6014256000 Recepción de challenguer. Ellos dan los datos del arrendador"/>
    <s v="N/A"/>
    <s v="Foto: https://oxxo-colombia.oneapp.cl/static/img/Respuesta/63387714/f124d584558a775b084329f8f42f49cf.jpg"/>
    <n v="31"/>
    <n v="7"/>
    <n v="2026"/>
    <s v="31-2026"/>
    <s v="Subido"/>
    <m/>
    <m/>
    <m/>
    <x v="1"/>
    <x v="2"/>
    <m/>
    <s v="Stefanny Prieto"/>
    <s v="ELVIA JAIMES"/>
    <d v="2026-07-30T00:00:00"/>
    <m/>
    <m/>
  </r>
  <r>
    <n v="3696844"/>
    <x v="11"/>
    <s v="massiel.garzon@oxxo.com"/>
    <d v="2026-07-27T00:00:00"/>
    <d v="2026-07-27T00:00:00"/>
    <d v="1899-12-30T10:13:00"/>
    <n v="2026"/>
    <s v="07"/>
    <s v="Enviado"/>
    <s v="Absolut 123"/>
    <m/>
    <s v="Centro"/>
    <s v="Bogotá"/>
    <s v="Av cr 19 no 123 82"/>
    <s v="PEDRO MORENO SUAREZ"/>
    <s v="https://maps.app.goo.gl/AhW911b84Yas6EB19?g_st=aw"/>
    <s v="Receso"/>
    <s v="Medianero"/>
    <s v="Zona Comercial"/>
    <s v="3023199009 3106137457"/>
    <s v="N/A"/>
    <s v="Foto: https://oxxo-colombia.oneapp.cl/static/img/Respuesta/63388027/680b1b6f582e2dd2d7445085ee62dc31.jpg"/>
    <n v="31"/>
    <n v="7"/>
    <n v="2026"/>
    <s v="31-2026"/>
    <s v="Subido"/>
    <m/>
    <m/>
    <m/>
    <x v="0"/>
    <x v="2"/>
    <s v="Variables de éxito"/>
    <s v="Stefanny Prieto"/>
    <m/>
    <m/>
    <m/>
    <m/>
  </r>
  <r>
    <n v="3696848"/>
    <x v="11"/>
    <s v="massiel.garzon@oxxo.com"/>
    <d v="2026-07-27T00:00:00"/>
    <d v="2026-07-27T00:00:00"/>
    <d v="1899-12-30T10:20:00"/>
    <n v="2026"/>
    <s v="07"/>
    <s v="Enviado"/>
    <s v="Atabanza 2"/>
    <s v="Callejas 53"/>
    <s v="Centro"/>
    <s v="Bogotá"/>
    <s v="Cr 53 a 127 27"/>
    <s v="PEDRO MORENO SUAREZ"/>
    <s v="https://maps.app.goo.gl/W19H25CexMXZWCyc8?g_st=aw"/>
    <s v="Base"/>
    <s v="Esquinero"/>
    <s v="Zona Residencial"/>
    <s v="Resident 3112072457"/>
    <s v="N/A"/>
    <s v="Foto: https://oxxo-colombia.oneapp.cl/static/img/Respuesta/63388253/8450c81c64856218bb75aca92028cb1f.jpg"/>
    <n v="31"/>
    <n v="7"/>
    <n v="2026"/>
    <s v="31-2026"/>
    <s v="Subido"/>
    <m/>
    <m/>
    <m/>
    <x v="0"/>
    <x v="2"/>
    <s v="Canibalización "/>
    <s v="Cristian Herrera"/>
    <m/>
    <m/>
    <m/>
    <m/>
  </r>
  <r>
    <n v="3696850"/>
    <x v="11"/>
    <s v="massiel.garzon@oxxo.com"/>
    <d v="2026-07-27T00:00:00"/>
    <d v="2026-07-27T00:00:00"/>
    <d v="1899-12-30T10:25:00"/>
    <n v="2026"/>
    <s v="07"/>
    <s v="Enviado"/>
    <s v="Indigo 116"/>
    <m/>
    <s v="Centro"/>
    <s v="Bogotá"/>
    <s v="Calle 116 n 16 78"/>
    <s v="PEDRO MORENO SUAREZ"/>
    <s v="https://maps.app.goo.gl/YQ3EaDo6RE4ZJ3wy8?g_st=aw"/>
    <s v="Base"/>
    <s v="Medianero"/>
    <s v="Zona Comercial"/>
    <n v="3105726862"/>
    <s v="N/A"/>
    <s v="Foto : https://oxxo-colombia.oneapp.cl/static/img/Respuesta/63388428/172038a89dc04695c868088d514e5543.jpg"/>
    <n v="31"/>
    <n v="7"/>
    <n v="2026"/>
    <s v="31-2026"/>
    <s v="No subido"/>
    <m/>
    <m/>
    <s v="Descartado por punto duplicado (116 con 16- Milena Gonzalez)"/>
    <x v="0"/>
    <x v="2"/>
    <s v="Duplicado"/>
    <s v="Jonathan Aguirre"/>
    <m/>
    <m/>
    <m/>
    <m/>
  </r>
  <r>
    <n v="3696960"/>
    <x v="19"/>
    <m/>
    <d v="2026-07-27T00:00:00"/>
    <d v="2026-07-27T00:00:00"/>
    <d v="1899-12-30T12:21:00"/>
    <n v="2026"/>
    <s v="07"/>
    <s v="Enviado"/>
    <s v="Gaviria"/>
    <m/>
    <s v="Centro"/>
    <s v="Bogotá"/>
    <s v="Ak 15 #93-99 a 93-21, Bogotá"/>
    <s v="PEDRO MORENO SUAREZ"/>
    <s v="https://maps.app.goo.gl/2ZJ6y54pUYk9vjcF6?g_st=ac"/>
    <s v="Base"/>
    <s v="Esquinero"/>
    <s v="Zona Industrial"/>
    <n v="3102275656"/>
    <s v="a.arias@naigaviria.com"/>
    <s v="Foto: https://oxxo-colombia.oneapp.cl/static/img/Respuesta/63393109/ef98d3e838bb69e0a3158b1069057235.jpg"/>
    <n v="31"/>
    <n v="7"/>
    <n v="2026"/>
    <s v="31-2026"/>
    <s v="Subido"/>
    <m/>
    <m/>
    <m/>
    <x v="0"/>
    <x v="2"/>
    <s v="Canibalización "/>
    <s v="Jonathan Aguirre"/>
    <m/>
    <m/>
    <m/>
    <m/>
  </r>
  <r>
    <n v="3696961"/>
    <x v="19"/>
    <m/>
    <d v="2026-07-27T00:00:00"/>
    <d v="2026-07-27T00:00:00"/>
    <d v="1899-12-30T12:26:00"/>
    <n v="2026"/>
    <s v="07"/>
    <s v="Enviado"/>
    <s v="Oxxo Spid"/>
    <m/>
    <s v="Centro"/>
    <s v="Bogotá"/>
    <s v="Ak 15 #93-53, Bogotá"/>
    <s v="PEDRO MORENO SUAREZ"/>
    <s v="https://maps.app.goo.gl/8ydjruyoHP8sGb538"/>
    <s v="Base"/>
    <s v="Medianero"/>
    <s v="Zona Comercial"/>
    <n v="3330334242"/>
    <s v="a.arias@naigaviria.com"/>
    <s v="Foto: https://oxxo-colombia.oneapp.cl/static/img/Respuesta/63393355/30fd5d94d97855af9d13c23b09032a59.jpg"/>
    <n v="31"/>
    <n v="7"/>
    <n v="2026"/>
    <s v="31-2026"/>
    <s v="Subido"/>
    <m/>
    <m/>
    <m/>
    <x v="0"/>
    <x v="2"/>
    <s v="Variables de éxito"/>
    <s v="Stefanny Prieto"/>
    <m/>
    <m/>
    <m/>
    <m/>
  </r>
  <r>
    <n v="3696979"/>
    <x v="19"/>
    <m/>
    <d v="2026-07-27T00:00:00"/>
    <d v="2026-07-27T00:00:00"/>
    <d v="1899-12-30T12:49:00"/>
    <n v="2026"/>
    <s v="07"/>
    <s v="Enviado"/>
    <s v="Calle 94"/>
    <m/>
    <s v="Centro"/>
    <s v="Bogotá"/>
    <s v="Cr 11A#94-12"/>
    <s v="PEDRO MORENO SUAREZ"/>
    <s v="https://maps.app.goo.gl/WCjMYbsnnYidbw3m6?g_st=ac"/>
    <s v="Receso"/>
    <s v="Esquinero"/>
    <s v="Zona Residencial"/>
    <n v="3176606271"/>
    <s v="."/>
    <s v="Foto: https://oxxo-colombia.oneapp.cl/static/img/Respuesta/63394453/4ce43c6a140a896060f568d78a9c6b47.jpg"/>
    <n v="31"/>
    <n v="7"/>
    <n v="2026"/>
    <s v="31-2026"/>
    <s v="Subido"/>
    <m/>
    <m/>
    <m/>
    <x v="1"/>
    <x v="2"/>
    <m/>
    <s v="Cristian Herrera"/>
    <s v="JAIME GUTIERREZ"/>
    <d v="2026-07-30T00:00:00"/>
    <m/>
    <m/>
  </r>
  <r>
    <n v="3696981"/>
    <x v="19"/>
    <m/>
    <d v="2026-07-27T00:00:00"/>
    <d v="2026-07-27T00:00:00"/>
    <d v="1899-12-30T12:53:00"/>
    <n v="2026"/>
    <s v="07"/>
    <s v="Enviado"/>
    <s v="CENTER 94"/>
    <m/>
    <s v="Centro"/>
    <s v="Bogotá"/>
    <s v="Cra 11a#94-45"/>
    <s v="PEDRO MORENO SUAREZ"/>
    <s v="https://maps.app.goo.gl/H38s6ufbLT2AYCts9?g_st=ac"/>
    <s v="Receso"/>
    <s v="Esquinero"/>
    <s v="Zona Comercial"/>
    <n v="3125370241"/>
    <s v="."/>
    <s v="Foto: https://oxxo-colombia.oneapp.cl/static/img/Respuesta/63394569/5e176010cd3a3d3e5cef11dfd46a4adc.jpg"/>
    <n v="31"/>
    <n v="7"/>
    <n v="2026"/>
    <s v="31-2026"/>
    <s v="Subido"/>
    <m/>
    <m/>
    <m/>
    <x v="0"/>
    <x v="2"/>
    <s v="Variables de éxito"/>
    <s v="Jonathan Aguirre"/>
    <m/>
    <m/>
    <m/>
    <m/>
  </r>
  <r>
    <n v="3697115"/>
    <x v="30"/>
    <s v="luis.rodelob@oxxo.com"/>
    <d v="2026-07-27T00:00:00"/>
    <d v="2026-07-27T00:00:00"/>
    <d v="1899-12-30T16:47:00"/>
    <n v="2026"/>
    <s v="07"/>
    <s v="Enviado"/>
    <s v="Betania"/>
    <m/>
    <s v="Centro"/>
    <s v="Bogotá"/>
    <s v="Calle 51 sur # 86A -83"/>
    <s v="JUAN QUIROGA"/>
    <s v="https://maps.app.goo.gl/k1gwEEtxGUx6kpUJA"/>
    <s v="Receso"/>
    <s v="Esquinero"/>
    <s v="Zona Comercial"/>
    <n v="3123972027"/>
    <s v="Josewilliam071313@gmail.com"/>
    <s v="Foto: https://oxxo-colombia.oneapp.cl/static/img/Respuesta/63401994/a2d2c202bcad290c05f7064100e1b996.jpg"/>
    <n v="31"/>
    <n v="7"/>
    <n v="2026"/>
    <s v="31-2026"/>
    <s v="Subido"/>
    <m/>
    <m/>
    <m/>
    <x v="0"/>
    <x v="2"/>
    <s v="Variables de éxito"/>
    <s v="Jonathan Aguirre"/>
    <m/>
    <m/>
    <m/>
    <m/>
  </r>
  <r>
    <n v="3696742"/>
    <x v="17"/>
    <s v="diana.becerramelo@oxxo.com"/>
    <d v="2026-07-27T00:00:00"/>
    <d v="2026-07-27T00:00:00"/>
    <d v="1899-12-30T08:10:00"/>
    <n v="2026"/>
    <s v="07"/>
    <s v="Enviado"/>
    <s v="Carrera 50"/>
    <m/>
    <s v="Centro"/>
    <s v="Bogotá"/>
    <s v="Cr 50 18 a 15"/>
    <s v="JUAN QUIROGA"/>
    <s v="https://maps.app.goo.gl/xWHbEcBVLLShy7rY8"/>
    <s v="Base"/>
    <s v="Esquinero"/>
    <s v="Zona Comercial"/>
    <s v="3507055002 Henry zapata"/>
    <s v="Abogadohzf@gmail.com"/>
    <s v="Foto: https://oxxo-colombia.oneapp.cl/static/img/Respuesta/63380340/dd79b6fe5bba15fc123c186fe236a1da.jpg"/>
    <n v="31"/>
    <n v="7"/>
    <n v="2026"/>
    <s v="31-2026"/>
    <s v="Subido"/>
    <s v="4.632029931030604, -74.10366461404"/>
    <m/>
    <m/>
    <x v="1"/>
    <x v="2"/>
    <m/>
    <s v="Cristian Herrera"/>
    <s v="ELVIA JAIMES"/>
    <d v="2026-07-30T00:00:00"/>
    <m/>
    <m/>
  </r>
  <r>
    <n v="3697029"/>
    <x v="31"/>
    <s v="katerin.diaz@oxxo.com"/>
    <d v="2026-07-27T00:00:00"/>
    <d v="2026-07-27T00:00:00"/>
    <d v="1899-12-30T14:35:00"/>
    <n v="2026"/>
    <s v="07"/>
    <s v="Enviado"/>
    <s v="9na Cedritos"/>
    <m/>
    <s v="Centro"/>
    <s v="Bogotá"/>
    <s v="Cra 9 #145-84"/>
    <s v="PEDRO MORENO SUAREZ"/>
    <s v="https://maps.app.goo.gl/9gHjCQ8JNhUSZAr89"/>
    <s v="Base"/>
    <s v="Esquinero"/>
    <s v="Zona Residencial"/>
    <n v="3005546100"/>
    <m/>
    <s v="Foto: https://oxxo-colombia.oneapp.cl/static/img/Respuesta/63397732/f30122521ce1f02acb830415f1166331.jpg"/>
    <n v="31"/>
    <n v="7"/>
    <n v="2026"/>
    <s v="31-2026"/>
    <s v="Subido"/>
    <s v="4.72384009350718, -74.03209848668541"/>
    <m/>
    <m/>
    <x v="1"/>
    <x v="2"/>
    <m/>
    <s v="Stefanny Prieto"/>
    <s v="Jenny Acuña"/>
    <d v="2026-07-31T00:00:00"/>
    <m/>
    <m/>
  </r>
  <r>
    <n v="3697093"/>
    <x v="26"/>
    <s v="ana.gonzalez@oxxo.com"/>
    <d v="2026-07-27T00:00:00"/>
    <d v="2026-07-27T00:00:00"/>
    <d v="1899-12-30T16:00:00"/>
    <n v="2026"/>
    <s v="07"/>
    <s v="Enviado"/>
    <s v="Castellana carrera 30"/>
    <m/>
    <s v="Centro"/>
    <s v="Bogotá"/>
    <s v="Avenida Carrera 30 # 86-47"/>
    <s v="PEDRO MORENO SUAREZ"/>
    <s v="https://maps.app.goo.gl/9be5Sa4knHdePcCg7"/>
    <s v="Base"/>
    <s v="Esquinero"/>
    <s v="Zona de Transporte Público"/>
    <n v="3203854343"/>
    <s v="No qplica"/>
    <s v="Foto: https://oxxo-colombia.oneapp.cl/static/img/Respuesta/63400250/fe4023da6d233af07cc9ae77e06bbf53.jpg"/>
    <n v="31"/>
    <n v="7"/>
    <n v="2026"/>
    <s v="31-2026"/>
    <s v="Subido"/>
    <s v="4.675686756913115, -74.0652372367865"/>
    <m/>
    <m/>
    <x v="1"/>
    <x v="2"/>
    <m/>
    <s v="Stefanny Prieto"/>
    <s v="Carlos Bolaños"/>
    <d v="2026-07-31T00:00:00"/>
    <m/>
    <m/>
  </r>
  <r>
    <n v="3702232"/>
    <x v="21"/>
    <s v="ernesto.latorre@oxxo.com"/>
    <d v="2026-07-28T00:00:00"/>
    <d v="2026-07-28T00:00:00"/>
    <d v="1899-12-30T11:18:00"/>
    <n v="2026"/>
    <s v="07"/>
    <s v="Enviado"/>
    <s v="Oxxo La 94"/>
    <m/>
    <s v="Centro"/>
    <s v="Bogotá"/>
    <s v="Cra 11 a # 94 - 12"/>
    <s v="PEDRO MORENO SUAREZ"/>
    <s v="https://maps.app.goo.gl/pzvqEkXRQ1FXBKRe7"/>
    <s v="Receso"/>
    <s v="Esquinero"/>
    <s v="Zona Residencial"/>
    <n v="3176606271"/>
    <s v="N/A"/>
    <s v="Foto : https://oxxo-colombia.oneapp.cl/static/img/Respuesta/63388428/172038a89dc04695c868088d514e5543.jpg"/>
    <n v="31"/>
    <n v="7"/>
    <n v="2026"/>
    <s v="31-2026"/>
    <s v="No subido"/>
    <s v="4.677963434356992, -74.04675254232723"/>
    <m/>
    <s v="Descartado por punto duplicado (Calle 94- Hermis Cuicas)"/>
    <x v="0"/>
    <x v="2"/>
    <s v="Duplicado"/>
    <s v="Jonathan Aguirre"/>
    <m/>
    <m/>
    <m/>
    <m/>
  </r>
  <r>
    <n v="3702113"/>
    <x v="10"/>
    <s v="danny.perdomo@oxxo.com"/>
    <d v="2026-07-28T00:00:00"/>
    <d v="2026-07-28T00:00:00"/>
    <d v="1899-12-30T11:47:00"/>
    <n v="2026"/>
    <s v="07"/>
    <s v="Enviado"/>
    <s v="Kennedy 37"/>
    <m/>
    <s v="Centro"/>
    <s v="Bogotá"/>
    <s v="Cra. 78k #37a Sur68, Bogotá"/>
    <s v="JUAN QUIROGA"/>
    <s v="https://maps.app.goo.gl/aaDoeSBT3xWo4jV39"/>
    <s v="Base"/>
    <s v="Medianero"/>
    <s v="Zona Comercial"/>
    <n v="3143327175"/>
    <s v="N.a"/>
    <s v="Foto: https://oxxo-colombia.oneapp.cl/static/img/Respuesta/63470672/ee68e71181e2f90364fcf0ea3365e8f0.jpg"/>
    <n v="31"/>
    <n v="7"/>
    <n v="2026"/>
    <s v="31-2026"/>
    <s v="Subido"/>
    <s v="4.623622571738254, -74.15362822719047"/>
    <m/>
    <m/>
    <x v="1"/>
    <x v="2"/>
    <m/>
    <s v="Stefanny Prieto"/>
    <s v="Carlos Bolaños"/>
    <d v="2026-07-30T00:00:00"/>
    <m/>
    <m/>
  </r>
  <r>
    <n v="3702270"/>
    <x v="21"/>
    <s v="ernesto.latorre@oxxo.com"/>
    <d v="2026-07-28T00:00:00"/>
    <d v="2026-07-28T00:00:00"/>
    <d v="1899-12-30T12:05:00"/>
    <n v="2026"/>
    <s v="07"/>
    <s v="Enviado"/>
    <s v="Oxxo Chico Cra 11"/>
    <s v="Punto Chico 11"/>
    <s v="Centro"/>
    <s v="Bogotá"/>
    <s v="Calle 95 # 11 -60 (Al frente del edificio LG)"/>
    <s v="PEDRO MORENO SUAREZ"/>
    <s v="https://maps.app.goo.gl/ymfHXiNdeYS13h6z5"/>
    <s v="Base"/>
    <s v="Esquinero"/>
    <s v="Zona Residencial"/>
    <s v="3155931561 3155931557"/>
    <s v="N/A"/>
    <s v="Foto: https://oxxo-colombia.oneapp.cl/static/img/Respuesta/63472069/f53bdcedd8d975c27547092f9995220b.jpg"/>
    <n v="31"/>
    <n v="7"/>
    <n v="2026"/>
    <s v="31-2026"/>
    <s v="Subido"/>
    <s v="4.67938545460112, -74.04557085767277"/>
    <m/>
    <m/>
    <x v="1"/>
    <x v="2"/>
    <m/>
    <s v="Jonathan Aguirre"/>
    <m/>
    <m/>
    <m/>
    <m/>
  </r>
  <r>
    <n v="3702281"/>
    <x v="10"/>
    <s v="danny.perdomo@oxxo.com"/>
    <d v="2026-07-28T00:00:00"/>
    <d v="2026-07-28T00:00:00"/>
    <d v="1899-12-30T12:14:00"/>
    <n v="2026"/>
    <s v="07"/>
    <s v="Enviado"/>
    <s v="Kennedy tequendama"/>
    <m/>
    <s v="Centro"/>
    <s v="Bogotá"/>
    <s v="Kra 78k # 37 a 80 s"/>
    <s v="JUAN QUIROGA"/>
    <s v="https://maps.app.goo.gl/wWKVF48JrE8q8e8h8?g_st=ac"/>
    <s v="Receso"/>
    <s v="Medianero"/>
    <s v="Zona Comercial"/>
    <n v="3208025550"/>
    <s v="Na"/>
    <s v="Foto: https://oxxo-colombia.oneapp.cl/static/img/Respuesta/63472348/12261a71bb8bb40f9cbf719a9710877a.jpg"/>
    <n v="31"/>
    <n v="7"/>
    <n v="2026"/>
    <s v="31-2026"/>
    <s v="Subido"/>
    <s v="4.623552348109578, -74.15395872883639"/>
    <m/>
    <m/>
    <x v="1"/>
    <x v="2"/>
    <m/>
    <s v="Stefanny Prieto"/>
    <s v="Carlos Bolaños"/>
    <d v="2026-07-30T00:00:00"/>
    <m/>
    <m/>
  </r>
  <r>
    <n v="3702315"/>
    <x v="19"/>
    <m/>
    <d v="2026-07-28T00:00:00"/>
    <d v="2026-07-28T00:00:00"/>
    <d v="1899-12-30T12:56:00"/>
    <n v="2026"/>
    <s v="07"/>
    <s v="Enviado"/>
    <s v="Normandia 70"/>
    <m/>
    <s v="Centro"/>
    <s v="Bogotá"/>
    <s v="Av. 70 #54-61, Bogotá"/>
    <s v="DIEGO RODRIGUEZ ESTEBAN"/>
    <s v="https://maps.app.goo.gl/GBScWx7NhvVVE3s48?g_st=ac"/>
    <s v="Hogar"/>
    <s v="Medianero"/>
    <s v="Zona Residencial"/>
    <n v="3144428080"/>
    <s v="Na"/>
    <s v="Foto https://oxxo-colombia.oneapp.cl/static/img/Respuesta/63473872/8ced33c2aa175cdc87cce1e11e84289d.jpg"/>
    <n v="31"/>
    <n v="7"/>
    <n v="2026"/>
    <s v="31-2026"/>
    <s v="Subido"/>
    <s v="4.6698794508705666, -74.10289015767279"/>
    <m/>
    <m/>
    <x v="0"/>
    <x v="2"/>
    <s v="Variables de éxito"/>
    <s v="Stefanny Prieto"/>
    <m/>
    <m/>
    <m/>
    <m/>
  </r>
  <r>
    <n v="3702424"/>
    <x v="22"/>
    <s v="francisco.gomezgrajales@oxxo.com"/>
    <d v="2026-07-28T00:00:00"/>
    <d v="2026-07-28T00:00:00"/>
    <d v="1899-12-30T16:15:00"/>
    <n v="2026"/>
    <s v="07"/>
    <s v="Enviado"/>
    <s v="Restrepo Olaya"/>
    <m/>
    <s v="Centro"/>
    <s v="Bogotá"/>
    <s v="CRA 19 a sur 63 191"/>
    <s v="JUAN QUIROGA"/>
    <s v="https://maps.app.goo.gl/31DhpNG6HC1Mw5bK8?g_st=aw"/>
    <s v="Base"/>
    <s v="Esquinero"/>
    <s v="Zona Comercial"/>
    <s v="Henry hernandez"/>
    <s v="Henry_h_er@Hotmail.com"/>
    <s v="Foto: https://oxxo-colombia.oneapp.cl/static/img/Respuesta/63479989/0d67d0038cba0e2747d103ff8d71578a.jpg"/>
    <n v="31"/>
    <n v="7"/>
    <n v="2026"/>
    <s v="31-2026"/>
    <s v="Subido"/>
    <s v="4.5699852794208375, -74.08211546265599"/>
    <m/>
    <m/>
    <x v="1"/>
    <x v="2"/>
    <m/>
    <s v="Jonathan Aguirre"/>
    <s v="Lina Diaz"/>
    <d v="2026-07-30T00:00:00"/>
    <m/>
    <m/>
  </r>
  <r>
    <n v="3702441"/>
    <x v="22"/>
    <s v="francisco.gomezgrajales@oxxo.com"/>
    <d v="2026-07-28T00:00:00"/>
    <d v="2026-07-28T00:00:00"/>
    <d v="1899-12-30T16:33:00"/>
    <n v="2026"/>
    <s v="07"/>
    <s v="Enviado"/>
    <s v="Calle 116"/>
    <s v="Galeon 116"/>
    <s v="Centro"/>
    <s v="Bogotá"/>
    <s v="Av calle 116 con carrera 12"/>
    <s v="JUAN QUIROGA"/>
    <s v="https://maps.app.goo.gl/BqY1MVoo2UJSq6Sj9"/>
    <s v="Receso"/>
    <s v="Esquinero"/>
    <s v="Zona Residencial"/>
    <s v="Henry hernandez"/>
    <s v="Henry_h_er@hotmail.com"/>
    <s v="Foto: https://oxxo-colombia.oneapp.cl/static/img/Respuesta/63480559/b4e8d1bb66dbafb897aca7ddf8cf17fe.jpg"/>
    <n v="31"/>
    <n v="7"/>
    <n v="2026"/>
    <s v="31-2026"/>
    <s v="Subido"/>
    <s v="4.695679642193723, -74.03914328650917"/>
    <m/>
    <m/>
    <x v="1"/>
    <x v="2"/>
    <m/>
    <s v="Stefanny Prieto"/>
    <s v="Martha Lopez"/>
    <d v="2026-07-31T00:00:00"/>
    <m/>
    <m/>
  </r>
  <r>
    <n v="3702467"/>
    <x v="32"/>
    <s v="cristian.romero@oxxo.com"/>
    <d v="2026-07-28T00:00:00"/>
    <d v="2026-07-28T00:00:00"/>
    <d v="1899-12-30T17:20:00"/>
    <n v="2026"/>
    <s v="07"/>
    <s v="Enviado"/>
    <s v="Parque de la independencia"/>
    <m/>
    <s v="Centro"/>
    <s v="Bogotá"/>
    <s v="Cr 5 no 4-58"/>
    <s v="DIEGO RODRIGUEZ ESTEBAN"/>
    <s v="https://maps.app.goo.gl/g2fFnMnz5Zvc15pd8?g_st=aw"/>
    <s v="Receso"/>
    <s v="Esquinero"/>
    <s v="Zona Comercial"/>
    <n v="3208999393"/>
    <n v="3208999393"/>
    <s v="Foto: https://oxxo-colombia.oneapp.cl/static/img/Respuesta/63481463/ec3b5f4110968e87a1580adf4a6fa097.jpg"/>
    <n v="31"/>
    <n v="7"/>
    <n v="2026"/>
    <s v="31-2026"/>
    <s v="Subido"/>
    <s v="5.024507752203895, -74.00554808465444"/>
    <m/>
    <m/>
    <x v="1"/>
    <x v="2"/>
    <m/>
    <s v="Cristian Herrera"/>
    <s v="Carlos Bolaños"/>
    <d v="2026-07-30T00:00:00"/>
    <m/>
    <m/>
  </r>
  <r>
    <n v="3705728"/>
    <x v="16"/>
    <s v="dany.ospina@oxxo.com"/>
    <d v="2026-07-29T00:00:00"/>
    <d v="2026-07-29T00:00:00"/>
    <d v="1899-12-30T08:40:00"/>
    <n v="2026"/>
    <s v="07"/>
    <s v="Enviado"/>
    <s v="Santa rita sur oriental"/>
    <m/>
    <s v="Centro"/>
    <s v="Bogotá"/>
    <s v="Carrera 39 33-16 sur"/>
    <s v="JUAN QUIROGA"/>
    <s v="https://maps.app.goo.gl/nhxsEgVNz5Babgvk8?g_st=ac"/>
    <s v="Base"/>
    <s v="Esquinero"/>
    <s v="Zona Residencial"/>
    <n v="3213770000"/>
    <s v="www.reinmobiliariasas.com"/>
    <s v="Foto: https://oxxo-colombia.oneapp.cl/static/img/Respuesta/63531072/40f0ec34b6a6d208a3be21783609d112.jpg"/>
    <n v="31"/>
    <n v="7"/>
    <n v="2026"/>
    <s v="31-2026"/>
    <s v="Subido"/>
    <s v="4.602363770894242, -74.11806000000001"/>
    <m/>
    <m/>
    <x v="1"/>
    <x v="2"/>
    <m/>
    <s v="Stefanny Prieto"/>
    <s v="LAURA AVILA"/>
    <d v="2026-07-30T00:00:00"/>
    <m/>
    <s v="Punto ya se esta trabajando, como villa del rosario"/>
  </r>
  <r>
    <n v="3705921"/>
    <x v="29"/>
    <s v="fabian.cardozo@oxxo.com"/>
    <d v="2026-07-29T00:00:00"/>
    <d v="2026-07-29T00:00:00"/>
    <d v="1899-12-30T11:34:00"/>
    <n v="2026"/>
    <s v="07"/>
    <s v="Enviado"/>
    <s v="Dapa"/>
    <m/>
    <s v="Occidente"/>
    <s v="Valle"/>
    <s v="Cl 10 # 28 - 150"/>
    <s v="YESENIA ARIZTIZABAL ALZATE"/>
    <s v="https://maps.app.goo.gl/pxREnmWsp615k6Tm6?g_st=ac"/>
    <s v="Base"/>
    <s v="Esquinero"/>
    <s v="Zona Comercial"/>
    <s v="3138059943 (572)6959199"/>
    <s v="gerencia@crucerodapa.co www.crucerodapa.co"/>
    <s v="Foto: https://oxxo-colombia.oneapp.cl/static/img/Respuesta/63542159/8c778d83efbfb90bada865369b9af7ea.jpg"/>
    <n v="31"/>
    <n v="7"/>
    <n v="2026"/>
    <s v="31-2026"/>
    <s v="Subido"/>
    <s v="3.5199571719370004, -76.518046"/>
    <m/>
    <m/>
    <x v="2"/>
    <x v="2"/>
    <m/>
    <m/>
    <m/>
    <m/>
    <m/>
    <m/>
  </r>
  <r>
    <n v="3705971"/>
    <x v="25"/>
    <s v="john.espinosa@oxxo.com"/>
    <d v="2026-07-29T00:00:00"/>
    <d v="2026-07-29T00:00:00"/>
    <d v="1899-12-30T12:24:00"/>
    <n v="2026"/>
    <s v="07"/>
    <s v="Enviado"/>
    <s v="Guaymaral"/>
    <m/>
    <s v="Centro"/>
    <s v="Bogotá"/>
    <s v="Kr 55 # 232 65"/>
    <s v="PEDRO MORENO SUAREZ"/>
    <s v="https://maps.app.goo.gl/EWerdR7AGb8aMJ3H7?g_st=awb"/>
    <s v="Hogar"/>
    <s v="Medianero"/>
    <s v="Zona Residencial"/>
    <n v="3102386140"/>
    <s v="No tengo"/>
    <s v="Foto: https://oxxo-colombia.oneapp.cl/static/img/Respuesta/63544029/695857ab517fc87a28d8771d12e45a5d.jpg"/>
    <n v="31"/>
    <n v="7"/>
    <n v="2026"/>
    <s v="31-2026"/>
    <s v="Subido"/>
    <s v="4.8104942761449685, -74.04584827116359"/>
    <m/>
    <m/>
    <x v="1"/>
    <x v="2"/>
    <m/>
    <m/>
    <m/>
    <m/>
    <m/>
    <m/>
  </r>
  <r>
    <n v="3706034"/>
    <x v="29"/>
    <s v="fabian.cardozo@oxxo.com"/>
    <d v="2026-07-29T00:00:00"/>
    <d v="2026-07-29T00:00:00"/>
    <d v="1899-12-30T13:57:00"/>
    <n v="2026"/>
    <s v="07"/>
    <s v="Enviado"/>
    <s v="Santa Monica"/>
    <s v="Corceles norte"/>
    <s v="Occidente"/>
    <s v="Valle"/>
    <s v="6 Bis - 36"/>
    <s v="YESENIA ARIZTIZABAL ALZATE"/>
    <s v="https://maps.app.goo.gl/NXWr1QaBXb9ygttZ8?g_st=ac"/>
    <s v="Receso"/>
    <s v="Medianero"/>
    <s v="Hospitales/ Clinícas"/>
    <n v="3053375850"/>
    <n v="3053375850"/>
    <s v="Foto: https://oxxo-colombia.oneapp.cl/static/img/Respuesta/63546844/38eb463ec99868d56379ebddff280999.jpg"/>
    <n v="31"/>
    <n v="7"/>
    <n v="2026"/>
    <s v="31-2026"/>
    <s v="Subido"/>
    <s v="3.467866765440696, -76.53069099999999"/>
    <m/>
    <m/>
    <x v="2"/>
    <x v="2"/>
    <m/>
    <m/>
    <m/>
    <m/>
    <m/>
    <m/>
  </r>
  <r>
    <n v="3706093"/>
    <x v="33"/>
    <s v="john.alzate@oxxo.com"/>
    <d v="2026-07-29T00:00:00"/>
    <d v="2026-07-29T00:00:00"/>
    <d v="1899-12-30T15:43:00"/>
    <n v="2026"/>
    <s v="07"/>
    <s v="Enviado"/>
    <s v="Centauros Mall"/>
    <m/>
    <s v="Occidente"/>
    <s v="Eje Cafetero"/>
    <s v="Transversal 21 18 - 63"/>
    <s v="YESENIA ARIZTIZABAL ALZATE"/>
    <s v="https://maps.app.goo.gl/LVCwcdqtfVeNcN2FA"/>
    <s v="Hogar"/>
    <s v="Esquinero"/>
    <s v="Zona Residencial"/>
    <s v="+57 350 4497270"/>
    <s v="Juan Arias"/>
    <s v="Foto: https://oxxo-colombia.oneapp.cl/static/img/Respuesta/63550799/7fce2bef814c0ddfc87ad38f65ead5f1.jpg"/>
    <n v="31"/>
    <n v="7"/>
    <n v="2026"/>
    <s v="31-2026"/>
    <s v="Subido"/>
    <s v="4.82546540712825, -75.67452747921129"/>
    <m/>
    <m/>
    <x v="2"/>
    <x v="2"/>
    <m/>
    <m/>
    <m/>
    <m/>
    <m/>
    <m/>
  </r>
  <r>
    <n v="3706128"/>
    <x v="33"/>
    <s v="john.alzate@oxxo.com"/>
    <d v="2026-07-29T00:00:00"/>
    <d v="2026-07-29T00:00:00"/>
    <d v="1899-12-30T16:41:00"/>
    <n v="2026"/>
    <s v="07"/>
    <s v="Enviado"/>
    <s v="Alameda de Sultana"/>
    <m/>
    <s v="Occidente"/>
    <s v="Eje Cafetero"/>
    <s v="Cra 31 10 76"/>
    <s v="YESENIA ARIZTIZABAL ALZATE"/>
    <s v="https://maps.app.goo.gl/5KkqoATKoh68esbc7"/>
    <s v="Receso"/>
    <s v="Esquinero"/>
    <s v="Zona Residencial"/>
    <s v="+57 313 5840285"/>
    <s v="Adrián Es propietario del local de la tienda Avenida Santa Mónica tiene TMCB"/>
    <s v="Foto: https://oxxo-colombia.oneapp.cl/static/img/Respuesta/63551759/d9ded4f3477658d8a847ca77fdc6eb52.jpg"/>
    <n v="31"/>
    <n v="7"/>
    <n v="2026"/>
    <s v="31-2026"/>
    <s v="Subido"/>
    <s v="4.819110358828752, -75.68943558963592"/>
    <m/>
    <m/>
    <x v="2"/>
    <x v="2"/>
    <m/>
    <m/>
    <m/>
    <m/>
    <m/>
    <m/>
  </r>
  <r>
    <n v="3706152"/>
    <x v="7"/>
    <s v="diana.arevalo@oxxo.com"/>
    <d v="2026-07-29T00:00:00"/>
    <d v="2026-07-29T00:00:00"/>
    <d v="1899-12-30T17:39:00"/>
    <n v="2026"/>
    <s v="07"/>
    <s v="Enviado"/>
    <s v="Oxxo Isla del Sol"/>
    <m/>
    <s v="Centro"/>
    <s v="Centro Sur"/>
    <s v="Calle 10 número 1-40 rucaurte Cundinamarca"/>
    <s v="JUAN QUIROGA"/>
    <s v="https://maps.app.goo.gl/KL8kmabyoM3bgkMw9?g_st=aw"/>
    <s v="Receso"/>
    <s v="Esquinero"/>
    <s v="Zona de Transporte Público"/>
    <n v="3123855478"/>
    <s v="N/A"/>
    <s v="Foto: https://oxxo-colombia.oneapp.cl/static/img/Respuesta/63552544/4e6e5085a213140e3a0a0ee1a09dee63.jpg"/>
    <n v="31"/>
    <n v="7"/>
    <n v="2026"/>
    <s v="31-2026"/>
    <s v="Subido"/>
    <s v="4.301797333470898, -74.79414059999999"/>
    <m/>
    <m/>
    <x v="2"/>
    <x v="2"/>
    <m/>
    <m/>
    <m/>
    <m/>
    <m/>
    <m/>
  </r>
  <r>
    <n v="3709296"/>
    <x v="34"/>
    <s v="juan.neira@oxxo.com"/>
    <d v="2026-07-30T00:00:00"/>
    <d v="2026-07-30T00:00:00"/>
    <d v="1899-12-30T09:30:00"/>
    <n v="2026"/>
    <s v="07"/>
    <s v="Enviado"/>
    <s v="Oxxo valle del Lili magenta"/>
    <m/>
    <s v="Occidente"/>
    <s v="Valle"/>
    <s v="Calle 55, Cali, Valle del Cauca"/>
    <s v="YESENIA ARIZTIZABAL ALZATE"/>
    <s v="https://maps.app.goo.gl/ZhTVCnNkcqmFjSWDA?g_st=ic"/>
    <s v="Hogar"/>
    <s v="Medianero"/>
    <s v="Zona Residencial"/>
    <s v="3123364340 y 3247492558 Por que son dos locales que habría que tomar por tema de tamaño"/>
    <s v="No se tiene"/>
    <s v="Foto: https://oxxo-colombia.oneapp.cl/static/img/Respuesta/63602816/63ef684524001c49443e257a3e4fc932.jpg"/>
    <n v="31"/>
    <n v="7"/>
    <n v="2026"/>
    <s v="31-2026"/>
    <s v="Subido"/>
    <s v="3.3791356240381063, -76.5093640423272"/>
    <m/>
    <m/>
    <x v="2"/>
    <x v="2"/>
    <m/>
    <m/>
    <m/>
    <m/>
    <m/>
    <m/>
  </r>
  <r>
    <n v="3709374"/>
    <x v="22"/>
    <s v="francisco.gomezgrajales@oxxo.com"/>
    <d v="2026-07-30T00:00:00"/>
    <d v="2026-07-30T00:00:00"/>
    <d v="1899-12-30T09:31:00"/>
    <n v="2026"/>
    <s v="07"/>
    <s v="Completo"/>
    <s v="Oxxo centenario"/>
    <m/>
    <s v="Centro"/>
    <s v="Bogotá"/>
    <s v="CRA 26 b 28 03 sur, barrio centenario"/>
    <s v="JUAN QUIROGA"/>
    <s v="https://maps.app.goo.gl/GTZjpoFfF6QDbzRh9"/>
    <s v="Base"/>
    <s v="Esquinero"/>
    <s v="Zona Comercial"/>
    <n v="3155215531"/>
    <s v="Dagolopez2@hotmail.com"/>
    <s v="Foto: https://oxxo-colombia.oneapp.cl/static/img/Respuesta/63603361/76d8a2201e44acc91d02e90d683a8ca0.jpg"/>
    <n v="31"/>
    <n v="7"/>
    <n v="2026"/>
    <s v="31-2026"/>
    <s v="Subido"/>
    <s v="4.587291805971482, -74.1118483423272"/>
    <m/>
    <m/>
    <x v="2"/>
    <x v="2"/>
    <m/>
    <m/>
    <m/>
    <m/>
    <m/>
    <m/>
  </r>
  <r>
    <n v="3709378"/>
    <x v="21"/>
    <s v="ernesto.latorre@oxxo.com"/>
    <d v="2026-07-30T00:00:00"/>
    <d v="2026-07-30T00:00:00"/>
    <d v="1899-12-30T10:08:00"/>
    <n v="2026"/>
    <s v="07"/>
    <s v="Enviado"/>
    <s v="Oxxo Calle 84"/>
    <m/>
    <s v="Centro"/>
    <s v="Bogotá"/>
    <s v="Cra 14a 82-27"/>
    <s v="PEDRO MORENO SUAREZ"/>
    <s v="https://maps.app.goo.gl/uy2aB6bx2hiHSf2PA?g_st=ac"/>
    <s v="Receso"/>
    <s v="Medianero"/>
    <s v="Zona Comercial"/>
    <n v="3108252119"/>
    <s v="DianaRamirez2006@gmail.com"/>
    <s v="Foto: https://oxxo-colombia.oneapp.cl/static/img/Respuesta/63604911/efd5ad2dfdba24240a315d39fda3f20b.jpg"/>
    <n v="31"/>
    <n v="7"/>
    <n v="2026"/>
    <s v="31-2026"/>
    <s v="Subido"/>
    <s v="4.66830573789294, -74.05587671534556"/>
    <m/>
    <m/>
    <x v="1"/>
    <x v="2"/>
    <m/>
    <s v="Stefanny Prieto"/>
    <s v="Jenny Acuña"/>
    <d v="2026-07-31T00:00:00"/>
    <m/>
    <m/>
  </r>
  <r>
    <n v="3709542"/>
    <x v="25"/>
    <s v="john.espinosa@oxxo.com"/>
    <d v="2026-07-30T00:00:00"/>
    <d v="2026-07-30T00:00:00"/>
    <n v="0.52222222222222225"/>
    <n v="2026"/>
    <n v="7"/>
    <s v="Enviado"/>
    <s v="Av Norte"/>
    <m/>
    <s v="Centro"/>
    <s v="Centro Norte"/>
    <s v="Cra. 6 # 46-26, Tunja, Boyacá"/>
    <s v="PEDRO MORENO SUAREZ"/>
    <s v="https://maps.app.goo.gl/dZ1AHXEom9Bq6xSy5?g_st=ac"/>
    <s v="Base"/>
    <s v="Medianero"/>
    <s v="Zona Comercial"/>
    <n v="3208315870"/>
    <s v="No tengo"/>
    <s v="Foto: https://oxxo-colombia.oneapp.cl/static/img/Respuesta/63610159/3130ce22bb65b3eb2b7b35c38695115a.jpg"/>
    <n v="31"/>
    <n v="7"/>
    <n v="2026"/>
    <s v="31-2026"/>
    <s v="Subido"/>
    <s v="5.554447961570354, -73.35130645767278"/>
    <m/>
    <m/>
    <x v="1"/>
    <x v="2"/>
    <m/>
    <m/>
    <m/>
    <m/>
    <m/>
    <m/>
  </r>
  <r>
    <n v="3709560"/>
    <x v="34"/>
    <s v="juan.neira@oxxo.com"/>
    <d v="2026-07-30T00:00:00"/>
    <d v="2026-07-30T00:00:00"/>
    <n v="0.53541666666666665"/>
    <n v="2026"/>
    <n v="7"/>
    <s v="Enviado"/>
    <s v="Oxxo los anturios"/>
    <m/>
    <s v="Occidente"/>
    <s v="Valle"/>
    <s v="Av sachamate con 3a , en el barrio los anturios de Jamundi , NSE 4"/>
    <s v="YESENIA ARIZTIZABAL ALZATE"/>
    <s v="https://maps.app.goo.gl/NJ2XoCFAmxPtveGt7?g_st=ic"/>
    <s v="Base"/>
    <s v="Esquinero"/>
    <s v="Zona Residencial"/>
    <s v="3165890211 proyecto montessa mall"/>
    <s v="Montessamall.com"/>
    <s v="Foto: https://oxxo-colombia.oneapp.cl/static/img/Respuesta/63611056/daf685ade0811b4512d8cf488d4a0419.jpg"/>
    <n v="31"/>
    <n v="7"/>
    <n v="2026"/>
    <s v="31-2026"/>
    <s v="Subido"/>
    <s v="3.2593810148681475, -76.55118946196764"/>
    <m/>
    <m/>
    <x v="1"/>
    <x v="2"/>
    <m/>
    <m/>
    <m/>
    <m/>
    <m/>
    <m/>
  </r>
  <r>
    <n v="3709581"/>
    <x v="8"/>
    <s v="vicky.duque@oxxo.com"/>
    <d v="2026-07-30T00:00:00"/>
    <d v="2026-07-30T00:00:00"/>
    <n v="0.55833333333333335"/>
    <n v="2026"/>
    <n v="7"/>
    <s v="Enviado"/>
    <s v="OXXO Chapinero 58"/>
    <m/>
    <s v="Centro"/>
    <s v="Bogotá"/>
    <s v="Carrera 13 # 58-83"/>
    <s v="PEDRO MORENO SUAREZ"/>
    <s v="https://maps.app.goo.gl/kF1HY6itBwaxQ6YA9?g_st=iw"/>
    <s v="Base"/>
    <s v="Medianero"/>
    <s v="Zona Comercial"/>
    <n v="3212132183"/>
    <s v="No aplica"/>
    <s v="Foto: https://oxxo-colombia.oneapp.cl/static/img/Respuesta/63611910/8411c8a500eacba5053c516ec5abd6f7.jpg"/>
    <n v="31"/>
    <n v="7"/>
    <n v="2026"/>
    <s v="31-2026"/>
    <s v="Pte"/>
    <s v="4.645899865304641, -74.06450001534556"/>
    <m/>
    <m/>
    <x v="3"/>
    <x v="2"/>
    <m/>
    <m/>
    <m/>
    <m/>
    <m/>
    <m/>
  </r>
  <r>
    <n v="3706145"/>
    <x v="33"/>
    <s v="john.alzate@oxxo.com"/>
    <d v="2026-07-29T00:00:00"/>
    <d v="2026-07-29T00:00:00"/>
    <d v="1899-12-30T17:20:00"/>
    <n v="2026"/>
    <s v="07"/>
    <s v="Enviado"/>
    <s v="Alta pradera"/>
    <m/>
    <s v="Occidente"/>
    <s v="Eje Cafetero"/>
    <s v="Av la pradera vía naranjales Carrera 28"/>
    <s v="YESENIA ARIZTIZABAL ALZATE"/>
    <s v="https://maps.app.goo.gl/SY9XA97cHuSSmUDT9"/>
    <s v="Hogar"/>
    <s v="Esquinero"/>
    <s v="Zona Residencial"/>
    <s v="+57 313 5840285"/>
    <s v="Adrián Mismo propietario de tienda av santa monica."/>
    <s v="Foto: https://oxxo-colombia.oneapp.cl/static/img/Respuesta/63552412/6d1a4ffcf3090591e70f721aebd54634.jpg"/>
    <n v="31"/>
    <n v="7"/>
    <n v="2026"/>
    <s v="31-2026"/>
    <s v="Pte"/>
    <m/>
    <m/>
    <m/>
    <x v="3"/>
    <x v="2"/>
    <m/>
    <m/>
    <m/>
    <m/>
    <m/>
    <m/>
  </r>
  <r>
    <n v="3709504"/>
    <x v="34"/>
    <s v="juan.neira@oxxo.com"/>
    <d v="2026-07-30T00:00:00"/>
    <d v="2026-07-30T00:00:00"/>
    <d v="1899-12-30T11:35:00"/>
    <n v="2026"/>
    <s v="07"/>
    <s v="Enviado"/>
    <s v="Oxxo oasis plaza"/>
    <m/>
    <s v="Occidente"/>
    <s v="Valle"/>
    <s v="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"/>
    <s v="YESENIA ARIZTIZABAL ALZATE"/>
    <s v="https://maps.app.goo.gl/gvkd52DdNt9xpX5d9?g_st=ic"/>
    <s v="Base"/>
    <s v="Medianero"/>
    <s v="Otro"/>
    <s v="3175739393 Héctor, se recomienda hacer urgente el acercamiento por que hay varias personas interesadas y ya tiene citas programadas esta semana"/>
    <s v="No se tiene"/>
    <s v="Foto :https://oxxo-colombia.oneapp.cl/static/img/Respuesta/63608431/f303c5307da69bdb8cf2e38945bf5bcd.jpg"/>
    <n v="31"/>
    <n v="7"/>
    <n v="2026"/>
    <s v="31-2026"/>
    <s v="Pte"/>
    <s v="3.2838148986610607, -76.52662410429475"/>
    <m/>
    <m/>
    <x v="3"/>
    <x v="2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">
  <r>
    <n v="3649249"/>
    <x v="0"/>
    <s v="sandra.padilla@oxxo.com"/>
    <s v="14/07/2026"/>
    <s v="14/07/2026"/>
    <s v="08:19"/>
    <n v="2026"/>
    <s v="07"/>
    <s v="Enviado"/>
    <s v="Centro comercial cañaveral"/>
    <m/>
    <s v="Nororiente"/>
    <s v="Oriente"/>
    <s v="Calle 30 # 30-04 centro comercial cañaveral"/>
    <m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  <n v="29"/>
    <n v="7"/>
    <n v="2026"/>
    <s v="29-2026"/>
    <s v="Subido"/>
    <n v="7.0706374277242299"/>
    <n v="-73.105528329117803"/>
    <s v="Punto potencial fue mal subido en la plataforma, se registraba en la ciudad de Ocaña"/>
    <s v="Descartado"/>
    <n v="1"/>
    <s v="Variables de éxito"/>
    <m/>
    <m/>
    <m/>
    <m/>
    <m/>
    <m/>
    <m/>
    <m/>
  </r>
  <r>
    <n v="3649288"/>
    <x v="1"/>
    <s v="katerin.diaz@oxxo.com"/>
    <s v="14/07/2026"/>
    <s v="14/07/2026"/>
    <s v="08:50"/>
    <n v="2026"/>
    <s v="07"/>
    <s v="Enviado"/>
    <s v="Autopista 159"/>
    <m/>
    <s v="Centro"/>
    <s v="Bogotá"/>
    <s v="Calle 159a 22 76"/>
    <m/>
    <s v="https://maps.app.goo.gl/ARHY4pjoMEGefriy5?g_st=iw"/>
    <s v="Base"/>
    <s v="Zona Comercial"/>
    <n v="3103340792"/>
    <s v="Nimguno"/>
    <s v="Foto: https://oxxo-colombia.oneapp.cl/static/img/Respuesta/62609012/0c78ccadb1951931f9f9e598456c2f02.jpg"/>
    <n v="29"/>
    <n v="7"/>
    <n v="2026"/>
    <s v="29-2026"/>
    <s v="Subido"/>
    <n v="4.7402539522694704"/>
    <n v="-74.047801728288505"/>
    <m/>
    <s v="Descartado"/>
    <n v="1"/>
    <s v="Variables de éxito"/>
    <m/>
    <m/>
    <m/>
    <m/>
    <m/>
    <m/>
    <m/>
    <m/>
  </r>
  <r>
    <n v="3649297"/>
    <x v="1"/>
    <s v="katerin.diaz@oxxo.com"/>
    <s v="14/07/2026"/>
    <s v="14/07/2026"/>
    <s v="09:25"/>
    <n v="2026"/>
    <s v="07"/>
    <s v="Enviado"/>
    <s v="Parque Toberin"/>
    <m/>
    <s v="Centro"/>
    <s v="Bogotá"/>
    <s v="Cra 21 168"/>
    <m/>
    <s v="https://maps.app.goo.gl/RdznzFN8oeXt4BzY8?g_st=iw"/>
    <s v="Base"/>
    <s v="Zona Comercial"/>
    <n v="3004550101"/>
    <s v="Ninguno"/>
    <s v="Foto: https://oxxo-colombia.oneapp.cl/static/img/Respuesta/62611190/aab0753a5550540c761da14167e590bd.jpg"/>
    <n v="29"/>
    <n v="7"/>
    <n v="2026"/>
    <s v="29-2026"/>
    <s v="Subido"/>
    <n v="4.7487732422165099"/>
    <n v="-74.0441775661929"/>
    <m/>
    <s v="Aprobado"/>
    <n v="1"/>
    <m/>
    <s v="Stefanny Prieto"/>
    <s v="ELVIA JAIMES"/>
    <d v="2026-07-28T00:00:00"/>
    <m/>
    <m/>
    <m/>
    <m/>
    <m/>
  </r>
  <r>
    <n v="3649449"/>
    <x v="2"/>
    <s v="jairo.hernandez@oxxo.com"/>
    <s v="14/07/2026"/>
    <s v="14/07/2026"/>
    <s v="15:19"/>
    <n v="2026"/>
    <s v="07"/>
    <s v="Enviado"/>
    <s v="Oxxo Bolivar Desnudo"/>
    <m/>
    <s v="Occidente"/>
    <s v="Eje Cafetero"/>
    <s v="Calle 19 carrera 7 esquina"/>
    <m/>
    <s v="https://maps.app.goo.gl/cyi7f3fML7fKbAXTA"/>
    <s v="Receso "/>
    <s v="Zona Comercial"/>
    <s v="Juan Esteban Arbelaez_x000a_3218303155"/>
    <s v="Luvikasu@hotmail.com"/>
    <s v="Foto: https://oxxo-colombia.oneapp.cl/static/img/Respuesta/62624413/20c771fc6c9288613883161d80b62535.jpg"/>
    <n v="29"/>
    <n v="7"/>
    <n v="2026"/>
    <s v="29-2026"/>
    <s v="Subido"/>
    <n v="4.8148684273055098"/>
    <n v="-75.694004374277299"/>
    <m/>
    <s v="Aprobado"/>
    <n v="1"/>
    <m/>
    <s v="Stefanny Prieto"/>
    <s v="ALEJANDRA ROJAS ROMERO"/>
    <d v="2026-07-29T00:00:00"/>
    <m/>
    <m/>
    <m/>
    <m/>
    <m/>
  </r>
  <r>
    <n v="3649582"/>
    <x v="2"/>
    <s v="jairo.hernandez@oxxo.com"/>
    <s v="14/07/2026"/>
    <s v="14/07/2026"/>
    <s v="16:17"/>
    <n v="2026"/>
    <s v="07"/>
    <s v="Enviado"/>
    <s v="Oxxo Los Rosales"/>
    <m/>
    <s v="Occidente"/>
    <s v="Eje Cafetero"/>
    <s v="Carrera 9 24- 62"/>
    <m/>
    <s v="https://maps.app.goo.gl/QBWShgaJxsi6X6WG7"/>
    <s v="Base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  <n v="29"/>
    <n v="7"/>
    <n v="2026"/>
    <s v="29-2026"/>
    <s v="Subido"/>
    <n v="4.8134006544967303"/>
    <n v="-75.699304830684"/>
    <m/>
    <s v="Aprobado"/>
    <n v="1"/>
    <m/>
    <s v="Cristian Herrera"/>
    <s v="ALEJANDRA ROJAS ROMERO"/>
    <d v="2026-07-30T00:00:00"/>
    <m/>
    <m/>
    <m/>
    <m/>
    <m/>
  </r>
  <r>
    <n v="3649592"/>
    <x v="3"/>
    <s v="alejandror.gomez@oxxo.com"/>
    <s v="14/07/2026"/>
    <s v="14/07/2026"/>
    <s v="16:33"/>
    <n v="2026"/>
    <s v="07"/>
    <s v="Enviado"/>
    <s v="Oxxo cra 13"/>
    <s v="Carrera 13"/>
    <s v="Occidente"/>
    <s v="Eje Cafetero"/>
    <s v="Cra 13 no 11-09"/>
    <m/>
    <s v="https://maps.app.goo.gl/ZQgrkgw8KHzSeLA8A?g_st=iw"/>
    <s v="Base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  <n v="29"/>
    <n v="7"/>
    <n v="2026"/>
    <s v="29-2026"/>
    <s v="Subido"/>
    <n v="4.8082106455401501"/>
    <n v="-75.688230399999597"/>
    <m/>
    <s v="Aprobado"/>
    <n v="1"/>
    <m/>
    <s v="Cristian Herrera"/>
    <s v="ALEJANDRA ROJAS ROMERO"/>
    <d v="2026-07-30T00:00:00"/>
    <m/>
    <m/>
    <m/>
    <m/>
    <m/>
  </r>
  <r>
    <n v="3649609"/>
    <x v="4"/>
    <s v="cristian.romero@oxxo.com"/>
    <s v="14/07/2026"/>
    <s v="14/07/2026"/>
    <s v="17:11"/>
    <n v="2026"/>
    <s v="07"/>
    <s v="Enviado"/>
    <s v="Parque industrial kuma"/>
    <m/>
    <s v="Centro"/>
    <s v="Centro Norte"/>
    <s v="Km 4 via Zipaquirá Bogotá después de el puente de ingreso a Zipaquirá variante Zipaquirá Ubaté vía nacional"/>
    <m/>
    <s v="https://maps.app.goo.gl/a95PSeawc8zDeAyD7"/>
    <s v="Receso 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  <n v="29"/>
    <n v="7"/>
    <n v="2026"/>
    <s v="29-2026"/>
    <s v="Subido"/>
    <n v="5.0009072881179204"/>
    <n v="-73.999167262091305"/>
    <m/>
    <s v="Aprobado"/>
    <n v="1"/>
    <m/>
    <s v="Stefanny Prieto"/>
    <s v="Carlos Bolaños"/>
    <d v="2026-07-31T00:00:00"/>
    <m/>
    <m/>
    <m/>
    <m/>
    <m/>
  </r>
  <r>
    <n v="3652749"/>
    <x v="5"/>
    <s v="daniela.menasse@oxxo.com"/>
    <s v="15/07/2026"/>
    <s v="15/07/2026"/>
    <s v="08:30"/>
    <n v="2026"/>
    <s v="07"/>
    <s v="Enviado"/>
    <s v="Santo Tomás"/>
    <s v="Rubio 53"/>
    <s v="Centro"/>
    <s v="Bogotá"/>
    <s v="Carrera 13#52-30 esquina"/>
    <m/>
    <s v="https://maps.app.goo.gl/ZgYr7gZUWwWBfsNb6?g_st=ic"/>
    <s v="Receso "/>
    <s v="Zona Comercial"/>
    <n v="3112914286"/>
    <s v="No tengo"/>
    <s v="Foto: https://oxxo-colombia.oneapp.cl/static/img/Respuesta/62673636/9c5c324d38e1b8d01a037616b3a8b20d.jpg"/>
    <n v="29"/>
    <n v="7"/>
    <n v="2026"/>
    <s v="29-2026"/>
    <s v="Subido"/>
    <n v="4.63943295015559"/>
    <n v="-74.065112728285797"/>
    <m/>
    <s v="Aprobado"/>
    <n v="1"/>
    <m/>
    <s v="Stefanny Prieto"/>
    <s v="Jenny Acuña"/>
    <d v="2026-07-28T00:00:00"/>
    <m/>
    <m/>
    <m/>
    <m/>
    <s v="Punto ya lo venia trabajando el especialista, llamado chapinero central, el martes se hizo levantamiento"/>
  </r>
  <r>
    <n v="3652752"/>
    <x v="5"/>
    <s v="daniela.menasse@oxxo.com"/>
    <s v="15/07/2026"/>
    <s v="15/07/2026"/>
    <s v="08:34"/>
    <n v="2026"/>
    <s v="07"/>
    <s v="Enviado"/>
    <s v="Parque Santa Bárbara"/>
    <s v="Parque Santa Barbara 122"/>
    <s v="Centro"/>
    <s v="Bogotá"/>
    <s v="Calle 122#18b-07"/>
    <m/>
    <s v="https://maps.app.goo.gl/roHspvGqX4kLWBoAA?g_st=ic"/>
    <s v="Receso "/>
    <s v="Zona Comercial"/>
    <n v="3112034494"/>
    <s v="No tengo"/>
    <s v="Foto: https://oxxo-colombia.oneapp.cl/static/img/Respuesta/62673905/121c03b3a3e9f205107fe002e8fb6043.jpg"/>
    <n v="29"/>
    <n v="7"/>
    <n v="2026"/>
    <s v="29-2026"/>
    <s v="Subido"/>
    <n v="4.7013211899417797"/>
    <n v="-74.047880000000305"/>
    <m/>
    <s v="Descartado"/>
    <n v="1"/>
    <s v="Canibalización "/>
    <m/>
    <m/>
    <m/>
    <m/>
    <m/>
    <m/>
    <m/>
    <m/>
  </r>
  <r>
    <n v="3652756"/>
    <x v="5"/>
    <s v="daniela.menasse@oxxo.com"/>
    <s v="15/07/2026"/>
    <s v="15/07/2026"/>
    <s v="08:39"/>
    <n v="2026"/>
    <s v="07"/>
    <s v="Enviado"/>
    <s v="Av cra 15?"/>
    <s v="Carrera 15 "/>
    <s v="Centro"/>
    <s v="Bogotá"/>
    <s v="Av 15#118-93"/>
    <m/>
    <s v="https://maps.app.goo.gl/2TZH47f4N86NTjSb6?g_st=ic"/>
    <s v="Receso "/>
    <s v="Zona Comercial"/>
    <n v="3114910947"/>
    <s v="Anterior Banco caja social"/>
    <s v="Foto: https://oxxo-colombia.oneapp.cl/static/img/Respuesta/62674064/875b2ce52d5c7099e6bb984754d0bfe0.jpg"/>
    <n v="29"/>
    <n v="7"/>
    <n v="2026"/>
    <s v="29-2026"/>
    <s v="Subido"/>
    <n v="4.6983514463927198"/>
    <n v="-74.043404099997403"/>
    <m/>
    <s v="Descartado"/>
    <n v="1"/>
    <s v="Variables de éxito"/>
    <m/>
    <m/>
    <m/>
    <m/>
    <m/>
    <m/>
    <m/>
    <m/>
  </r>
  <r>
    <n v="3652790"/>
    <x v="6"/>
    <s v="brayan.ortiz@oxxo.com"/>
    <s v="15/07/2026"/>
    <s v="15/07/2026"/>
    <s v="09:22"/>
    <n v="2026"/>
    <s v="07"/>
    <s v="Enviado"/>
    <s v="Tunjuelito"/>
    <m/>
    <s v="Centro"/>
    <s v="Bogotá"/>
    <s v="Cra 12b 52 80 sur"/>
    <m/>
    <s v="https://maps.app.goo.gl/uNEnpfgoDAbeptMD7?g_st=ac"/>
    <s v="Hogar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  <n v="29"/>
    <n v="7"/>
    <n v="2026"/>
    <s v="29-2026"/>
    <s v="Subido"/>
    <n v="4.5608458575304303"/>
    <n v="-74.126013736619299"/>
    <m/>
    <s v="Aprobado"/>
    <n v="1"/>
    <m/>
    <s v="Stefanny Prieto"/>
    <s v="ELVIA JAIMES"/>
    <d v="2026-07-30T00:00:00"/>
    <m/>
    <m/>
    <m/>
    <m/>
    <m/>
  </r>
  <r>
    <n v="3652807"/>
    <x v="5"/>
    <s v="daniela.menasse@oxxo.com"/>
    <s v="15/07/2026"/>
    <s v="15/07/2026"/>
    <s v="09:42"/>
    <n v="2026"/>
    <s v="07"/>
    <s v="Enviado"/>
    <s v="Le grand"/>
    <m/>
    <s v="Centro"/>
    <s v="Bogotá"/>
    <s v="Av 116#15-2"/>
    <m/>
    <s v="https://maps.app.goo.gl/37dHFgR4RCV1TvPe8?g_st=ic"/>
    <s v="Receso "/>
    <s v="Zona Comercial"/>
    <s v="3142182464_x000a_3164705512"/>
    <s v="No tengo"/>
    <s v="Foto: https://oxxo-colombia.oneapp.cl/static/img/Respuesta/62677931/f8c06c7abb8003e063af29295ee75181.jpg"/>
    <n v="29"/>
    <n v="7"/>
    <n v="2026"/>
    <s v="29-2026"/>
    <s v="Subido"/>
    <n v="4.6970167212173299"/>
    <n v="-74.044096808662403"/>
    <m/>
    <s v="Descartado"/>
    <n v="1"/>
    <s v="Variables de éxito"/>
    <m/>
    <m/>
    <m/>
    <m/>
    <m/>
    <m/>
    <m/>
    <m/>
  </r>
  <r>
    <n v="3652812"/>
    <x v="5"/>
    <s v="daniela.menasse@oxxo.com"/>
    <s v="15/07/2026"/>
    <s v="15/07/2026"/>
    <s v="09:48"/>
    <n v="2026"/>
    <s v="07"/>
    <s v="Enviado"/>
    <s v="Pepe av 116"/>
    <m/>
    <s v="Centro"/>
    <s v="Bogotá"/>
    <s v="Av 116 16-78"/>
    <m/>
    <s v="https://maps.app.goo.gl/FbPpk8UWb766FAqY8?g_st=ic"/>
    <s v="Receso "/>
    <s v="Zona Comercial"/>
    <n v="3105722683"/>
    <s v="Hay 3 locales desocupados _x000a_2 pegados para que de el área y otro 102 m2"/>
    <s v="https://oxxo-colombia.oneapp.cl/static/img/Respuesta/62678392/15e782c8af7c8926b7b1e25733587063.jpg"/>
    <n v="29"/>
    <n v="7"/>
    <n v="2026"/>
    <s v="29-2026"/>
    <s v="Subido"/>
    <n v="4.6976472368839497"/>
    <n v="-74.045903241507105"/>
    <m/>
    <s v="Descartado"/>
    <n v="1"/>
    <s v="Variables de éxito"/>
    <m/>
    <m/>
    <m/>
    <m/>
    <m/>
    <m/>
    <m/>
    <m/>
  </r>
  <r>
    <n v="3652852"/>
    <x v="7"/>
    <s v="diana.arevalo@oxxo.com"/>
    <s v="15/07/2026"/>
    <s v="15/07/2026"/>
    <s v="10:38"/>
    <n v="2026"/>
    <s v="07"/>
    <s v="Enviado"/>
    <s v="Fusa Sutagao"/>
    <m/>
    <s v="Centro"/>
    <s v="Centro Sur "/>
    <s v="EDS Primax - Antigua Panamericana, Arbeláez-Fusagasuga, Fusagasugá, Cundinamarca"/>
    <m/>
    <s v="https://goo.gl/maps/hD1QaqZei8hNKnUy5?g_st=aw"/>
    <s v="Receso 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  <n v="29"/>
    <n v="7"/>
    <n v="2026"/>
    <s v="29-2026"/>
    <s v="Subido"/>
    <n v="4.3265115472693196"/>
    <n v="-74.396469270556196"/>
    <m/>
    <s v="Aprobado"/>
    <n v="1"/>
    <m/>
    <s v="Stefanny Prieto"/>
    <s v="JAIME GUTIERREZ"/>
    <d v="2026-07-30T00:00:00"/>
    <m/>
    <m/>
    <m/>
    <m/>
    <m/>
  </r>
  <r>
    <n v="3652942"/>
    <x v="8"/>
    <s v="vicky.duque@oxxo.com"/>
    <s v="15/07/2026"/>
    <s v="15/07/2026"/>
    <s v="12:13"/>
    <n v="2026"/>
    <s v="07"/>
    <s v="Enviado"/>
    <s v="OXXO 52"/>
    <m/>
    <s v="Centro"/>
    <s v="Bogotá"/>
    <s v="Carrera 13# 52-22"/>
    <m/>
    <s v="https://maps.app.goo.gl/9rC2X5676JGMq3sp8?g_st=iw"/>
    <s v="Base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  <n v="29"/>
    <n v="7"/>
    <n v="2026"/>
    <s v="29-2026"/>
    <s v="No subido"/>
    <m/>
    <m/>
    <m/>
    <s v="Descartado"/>
    <n v="1"/>
    <s v="Duplicado"/>
    <m/>
    <m/>
    <m/>
    <m/>
    <m/>
    <m/>
    <m/>
    <m/>
  </r>
  <r>
    <n v="3652948"/>
    <x v="9"/>
    <s v="christian.rodriguezmarin@oxxo.com"/>
    <s v="15/07/2026"/>
    <s v="15/07/2026"/>
    <s v="12:22"/>
    <n v="2026"/>
    <s v="07"/>
    <s v="Enviado"/>
    <s v="Centro comercial el portico"/>
    <m/>
    <s v="Centro"/>
    <s v="Centro Sur "/>
    <s v="Centro comercial el pórtico Facatativá"/>
    <m/>
    <s v="https://maps.app.goo.gl/XKjbjeAS9omZeFTB7?g_st=iw"/>
    <s v="Receso "/>
    <s v="Zona Comercial"/>
    <n v="3105652759"/>
    <s v="No"/>
    <s v="Foto: https://oxxo-colombia.oneapp.cl/static/img/Respuesta/62686443/a90e81c94dc88f1e8890866ca6ead133.jpg"/>
    <n v="29"/>
    <n v="7"/>
    <n v="2026"/>
    <s v="29-2026"/>
    <s v="Subido"/>
    <n v="4.8180466816630698"/>
    <n v="-74.358422879050096"/>
    <m/>
    <s v="Aprobado"/>
    <n v="1"/>
    <m/>
    <s v="Stefanny Prieto"/>
    <s v="JAIME GUTIERREZ"/>
    <d v="2026-07-30T00:00:00"/>
    <m/>
    <m/>
    <m/>
    <m/>
    <m/>
  </r>
  <r>
    <n v="3652991"/>
    <x v="9"/>
    <s v="christian.rodriguezmarin@oxxo.com"/>
    <s v="15/07/2026"/>
    <s v="15/07/2026"/>
    <s v="13:21"/>
    <n v="2026"/>
    <s v="07"/>
    <s v="Enviado"/>
    <s v="Chapinero facatativa"/>
    <s v="Hospital San Rafael"/>
    <s v="Centro"/>
    <s v="Centro Sur "/>
    <s v="Calle 1 #3-97"/>
    <m/>
    <s v="https://maps.app.goo.gl/PhzXtYjgkKMemPb39?g_st=iw"/>
    <s v="Base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  <n v="29"/>
    <n v="7"/>
    <n v="2026"/>
    <s v="29-2026"/>
    <s v="Subido"/>
    <n v="4.8077699537529099"/>
    <n v="-74.3498237283534"/>
    <m/>
    <s v="Aprobado"/>
    <n v="1"/>
    <m/>
    <s v="Stefanny Prieto"/>
    <s v="JAIME GUTIERREZ"/>
    <d v="2026-07-30T00:00:00"/>
    <m/>
    <m/>
    <m/>
    <m/>
    <m/>
  </r>
  <r>
    <n v="3653000"/>
    <x v="10"/>
    <s v="danny.perdomo@oxxo.com"/>
    <s v="15/07/2026"/>
    <s v="15/07/2026"/>
    <s v="13:37"/>
    <n v="2026"/>
    <s v="07"/>
    <s v="Enviado"/>
    <s v="Pasaje 10.60 Outlet américas"/>
    <s v="Pasaje Américas"/>
    <s v="Centro"/>
    <s v="Bogotá"/>
    <s v="Cra 60 # 10_ 44 local 105"/>
    <m/>
    <s v="https://maps.app.goo.gl/qaYbvGnqLY1HZztv8"/>
    <s v="Receso 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  <n v="29"/>
    <n v="7"/>
    <n v="2026"/>
    <s v="29-2026"/>
    <s v="Subido"/>
    <n v="4.6289799591781398"/>
    <n v="-74.114922000028599"/>
    <m/>
    <s v="Aprobado"/>
    <n v="1"/>
    <m/>
    <s v="Stefanny Prieto"/>
    <s v="ELVIA JAIMES"/>
    <d v="2026-07-29T00:00:00"/>
    <m/>
    <m/>
    <m/>
    <m/>
    <s v="Punto se trajo en algun momento y fue negado, Este local se visito el 9 de julio, el tema del esquinero Local 5 tiene una arra de 469 mts y canon de $25.776.000, el tema es que no lo dejan dividir"/>
  </r>
  <r>
    <n v="3653008"/>
    <x v="9"/>
    <s v="christian.rodriguezmarin@oxxo.com"/>
    <s v="15/07/2026"/>
    <s v="15/07/2026"/>
    <s v="13:43"/>
    <n v="2026"/>
    <s v="07"/>
    <s v="Enviado"/>
    <s v="Montecarlo facatativa"/>
    <m/>
    <s v="Centro"/>
    <s v="Centro Sur "/>
    <s v="Calle 2#5-03"/>
    <m/>
    <s v="https://maps.app.goo.gl/8ZCCS79gfk7pGP9C6?g_st=iw"/>
    <s v="Base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  <n v="29"/>
    <n v="7"/>
    <n v="2026"/>
    <s v="29-2026"/>
    <s v="Subido"/>
    <n v="4.8101169010620399"/>
    <n v="-74.350224000008893"/>
    <m/>
    <s v="Aprobado"/>
    <n v="1"/>
    <m/>
    <s v="Stefanny Prieto"/>
    <s v="JAIME GUTIERREZ"/>
    <d v="2026-07-30T00:00:00"/>
    <m/>
    <m/>
    <m/>
    <m/>
    <m/>
  </r>
  <r>
    <n v="3653140"/>
    <x v="8"/>
    <s v="vicky.duque@oxxo.com"/>
    <s v="15/07/2026"/>
    <s v="15/07/2026"/>
    <s v="19:51"/>
    <n v="2026"/>
    <s v="07"/>
    <s v="Enviado"/>
    <s v="OXXO olímpica 53"/>
    <m/>
    <s v="Centro"/>
    <s v="Bogotá"/>
    <s v="Av calle 53 # av cr 72"/>
    <m/>
    <s v="https://maps.app.goo.gl/RXJBFg5X1vNJ3zZ66?g_st=iw"/>
    <s v="Base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  <n v="29"/>
    <n v="7"/>
    <n v="2026"/>
    <s v="29-2026"/>
    <s v="Subido"/>
    <n v="4.6710371533935504"/>
    <n v="-74.106393869313095"/>
    <m/>
    <s v="Aprobado"/>
    <n v="1"/>
    <m/>
    <s v="Cristian Herrera"/>
    <s v="Carlos Bolaños"/>
    <d v="2026-07-29T00:00:00"/>
    <m/>
    <m/>
    <m/>
    <m/>
    <m/>
  </r>
  <r>
    <n v="3653143"/>
    <x v="11"/>
    <s v="massiel.garzon@oxxo.com"/>
    <s v="15/07/2026"/>
    <s v="15/07/2026"/>
    <s v="19:57"/>
    <n v="2026"/>
    <s v="07"/>
    <s v="Enviado"/>
    <s v="Santa Beatriz"/>
    <m/>
    <s v="Centro"/>
    <s v="Bogotá"/>
    <s v="Cra 15 n 118 93"/>
    <m/>
    <s v="https://maps.app.goo.gl/xqXqLXgy7UCyB6pz9?g_st=ac"/>
    <s v="Base"/>
    <s v="Zona Comercial"/>
    <n v="3114910947"/>
    <s v="N/A"/>
    <s v="Foto: https://oxxo-colombia.oneapp.cl/static/img/Respuesta/62695161/307ee68386c324cb589766d182d3dbf3.jpg"/>
    <n v="29"/>
    <n v="7"/>
    <n v="2026"/>
    <s v="29-2026"/>
    <s v="Subido"/>
    <n v="4.6983253464068202"/>
    <n v="-74.0433192000106"/>
    <m/>
    <s v="Descartado"/>
    <n v="1"/>
    <s v="Opción de proyecto con mejor potencial"/>
    <m/>
    <m/>
    <m/>
    <m/>
    <m/>
    <m/>
    <m/>
    <m/>
  </r>
  <r>
    <n v="3653092"/>
    <x v="12"/>
    <s v="brayan.mogollon@oxxo.com"/>
    <s v="15/07/2026"/>
    <s v="15/07/2026"/>
    <s v="21:05"/>
    <n v="2026"/>
    <s v="07"/>
    <s v="Enviado"/>
    <s v="Citadinno"/>
    <m/>
    <s v="Centro"/>
    <s v="Centro Sur "/>
    <s v="Carrera 13 #33 a - 10"/>
    <m/>
    <s v="https://maps.app.goo.gl/UgKek3eZnzV3KFSy6"/>
    <s v="Hogar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  <n v="29"/>
    <n v="7"/>
    <n v="2026"/>
    <s v="29-2026"/>
    <s v="Subido"/>
    <n v="4.6214150772067697"/>
    <n v="-74.068016700000101"/>
    <m/>
    <s v="Aprobado"/>
    <n v="1"/>
    <m/>
    <s v="Cristian Herrera"/>
    <s v="Carlos Bolaños"/>
    <d v="2026-07-29T00:00:00"/>
    <m/>
    <m/>
    <m/>
    <m/>
    <s v="Asignar a especialista carlos bolañps"/>
  </r>
  <r>
    <n v="3656243"/>
    <x v="7"/>
    <s v="diana.arevalo@oxxo.com"/>
    <s v="16/07/2026"/>
    <s v="16/07/2026"/>
    <s v="09:43"/>
    <n v="2026"/>
    <s v="07"/>
    <s v="Enviado"/>
    <s v="Girardot Oasis"/>
    <m/>
    <s v="Centro"/>
    <s v="Centro Sur "/>
    <s v="Carrera 10 # 19 -87  _x000a_Centro  comercial Oasis _x000a_Teléfono  8361574"/>
    <m/>
    <s v="https://maps.app.goo.gl/4XVD4C94joAnoLQU8?g_st=aw"/>
    <s v="Base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  <n v="29"/>
    <n v="7"/>
    <n v="2026"/>
    <s v="29-2026"/>
    <s v="Subido"/>
    <n v="4.2976649519973202"/>
    <n v="-74.804779644180798"/>
    <m/>
    <s v="Aprobado"/>
    <n v="1"/>
    <m/>
    <s v="Cristian Herrera"/>
    <s v="JAIME GUTIERREZ"/>
    <d v="2026-07-30T00:00:00"/>
    <m/>
    <m/>
    <m/>
    <m/>
    <m/>
  </r>
  <r>
    <n v="3656464"/>
    <x v="1"/>
    <s v="katerin.diaz@oxxo.com"/>
    <s v="16/07/2026"/>
    <s v="16/07/2026"/>
    <s v="13:29"/>
    <n v="2026"/>
    <s v="07"/>
    <s v="Enviado"/>
    <s v="Auto 161"/>
    <m/>
    <s v="Centro"/>
    <s v="Bogotá"/>
    <s v="Cra 45 161 40"/>
    <m/>
    <s v="https://maps.app.goo.gl/5bYucWhBPLEHru7D8"/>
    <s v="Base"/>
    <s v="Zona Comercial"/>
    <n v="3123311755"/>
    <n v="3208997195"/>
    <s v="Foto: https://oxxo-colombia.oneapp.cl/static/img/Respuesta/62748121/b84838d7b907b803fb8d0920d6242ab2.jpg"/>
    <n v="29"/>
    <n v="7"/>
    <n v="2026"/>
    <s v="29-2026"/>
    <s v="Subido"/>
    <n v="4.7423162697336601"/>
    <n v="-74.047421626984203"/>
    <m/>
    <s v="Aprobado"/>
    <n v="1"/>
    <m/>
    <s v="Jonathan Aguirre"/>
    <s v="Martha Lopez"/>
    <d v="2026-07-30T00:00:00"/>
    <m/>
    <m/>
    <m/>
    <m/>
    <m/>
  </r>
  <r>
    <n v="3656477"/>
    <x v="6"/>
    <s v="brayan.ortiz@oxxo.com"/>
    <s v="16/07/2026"/>
    <s v="16/07/2026"/>
    <s v="13:45"/>
    <n v="2026"/>
    <s v="07"/>
    <s v="Enviado"/>
    <s v="Siena apartamentos"/>
    <m/>
    <s v="Centro"/>
    <s v="Bogotá"/>
    <s v="Dg 68 a sur #14 T 20"/>
    <m/>
    <s v="https://maps.app.goo.gl/QEQfuLMTfSvDtyZS7?g_st=ac"/>
    <s v="Hogar"/>
    <s v="Zona Residencial"/>
    <n v="3205633053"/>
    <n v="3205633053"/>
    <s v="Foto: https://oxxo-colombia.oneapp.cl/static/img/Respuesta/62748317/3322645e671d2b25cb5eef3ae49b30cc.jpg"/>
    <n v="29"/>
    <n v="7"/>
    <n v="2026"/>
    <s v="29-2026"/>
    <s v="Subido"/>
    <n v="4.5235151000670504"/>
    <n v="-74.123654575595296"/>
    <m/>
    <s v="Aprobado"/>
    <n v="1"/>
    <m/>
    <s v="Cristian Herrera"/>
    <s v="JAIME GUTIERREZ"/>
    <d v="2026-07-30T00:00:00"/>
    <m/>
    <m/>
    <m/>
    <m/>
    <m/>
  </r>
  <r>
    <n v="3656520"/>
    <x v="3"/>
    <s v="alejandror.gomez@oxxo.com"/>
    <s v="16/07/2026"/>
    <s v="16/07/2026"/>
    <s v="15:12"/>
    <n v="2026"/>
    <s v="07"/>
    <s v="Enviado"/>
    <s v="Pinares"/>
    <m/>
    <s v="Occidente"/>
    <s v="Eje Cafetero"/>
    <s v="Calle 14, esquina de clinica san rafael y megacentro pereira"/>
    <m/>
    <s v="https://maps.app.goo.gl/DsZejbLUvxEXoxAA6?g_st=awb"/>
    <s v="Receso 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  <n v="29"/>
    <n v="7"/>
    <n v="2026"/>
    <s v="29-2026"/>
    <s v="Subido"/>
    <n v="4.8035609814776299"/>
    <n v="-75.690927171519505"/>
    <m/>
    <s v="Aprobado"/>
    <n v="1"/>
    <m/>
    <s v="Cristian Herrera"/>
    <s v="ALEJANDRA ROJAS ROMERO"/>
    <d v="2026-07-30T00:00:00"/>
    <m/>
    <m/>
    <m/>
    <m/>
    <m/>
  </r>
  <r>
    <n v="3656577"/>
    <x v="2"/>
    <s v="jairo.hernandez@oxxo.com"/>
    <s v="16/07/2026"/>
    <s v="16/07/2026"/>
    <s v="16:55"/>
    <n v="2026"/>
    <s v="07"/>
    <s v="Enviado"/>
    <s v="Oxxo Monarca"/>
    <m/>
    <s v="Occidente"/>
    <s v="Eje Cafetero"/>
    <s v="Sector las piñas cerritos, Mall Plaza Monarca"/>
    <m/>
    <s v="https://maps.app.goo.gl/crfJcUJxJcrVFGAw8?g_st=awb"/>
    <s v="Base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  <n v="29"/>
    <n v="7"/>
    <n v="2026"/>
    <s v="29-2026"/>
    <s v="Subido"/>
    <n v="4.8014199279788201"/>
    <n v="-75.841607628850099"/>
    <m/>
    <s v="Descartado"/>
    <n v="1"/>
    <s v="Variables de éxito"/>
    <m/>
    <m/>
    <m/>
    <m/>
    <m/>
    <m/>
    <m/>
    <m/>
  </r>
  <r>
    <n v="3656588"/>
    <x v="11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m/>
    <s v="Centro"/>
    <s v="Bogotá"/>
    <s v="Auto Norte cra 45 N 122 36"/>
    <m/>
    <s v="https://maps.app.goo.gl/M7GS1t882L9X2s5X7?g_st=ac"/>
    <s v="Base"/>
    <s v="Zona Comercial"/>
    <s v="3102960548_x000a_3134539405_x000a_3222535839"/>
    <s v="N/A"/>
    <s v="Foto: https://oxxo-colombia.oneapp.cl/static/img/Respuesta/62753216/3b2b19a79c8df3a1b7b1e3a59b46ba4b.jpg"/>
    <n v="29"/>
    <n v="7"/>
    <n v="2026"/>
    <s v="29-2026"/>
    <s v="Subido"/>
    <n v="4.7032329975330303"/>
    <n v="-74.054021598190303"/>
    <m/>
    <s v="Aprobado"/>
    <n v="1"/>
    <m/>
    <s v="Stefanny Prieto"/>
    <s v="Martha Lopez"/>
    <d v="2026-07-30T00:00:00"/>
    <m/>
    <m/>
    <m/>
    <m/>
    <m/>
  </r>
  <r>
    <n v="3656652"/>
    <x v="1"/>
    <s v="katerin.diaz@oxxo.com"/>
    <s v="16/07/2026"/>
    <s v="16/07/2026"/>
    <s v="21:40"/>
    <n v="2026"/>
    <s v="07"/>
    <s v="Enviado"/>
    <s v="Pinar"/>
    <s v="El pinar bog"/>
    <s v="Centro"/>
    <s v="Bogotá"/>
    <s v="Cra 97b calle 153"/>
    <m/>
    <s v="https://maps.app.goo.gl/Zs8Bp3Xwscm3Lyq39"/>
    <s v="Hogar"/>
    <s v="Zona Residencial"/>
    <n v="3124883281"/>
    <n v="3028167161"/>
    <s v="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  <n v="29"/>
    <n v="7"/>
    <n v="2026"/>
    <s v="29-2026"/>
    <s v="Subido"/>
    <n v="4.7516917299031904"/>
    <n v="-74.086346186513794"/>
    <m/>
    <s v="Aprobado"/>
    <n v="1"/>
    <m/>
    <s v="Jonathan Aguirre"/>
    <m/>
    <m/>
    <m/>
    <m/>
    <m/>
    <m/>
    <m/>
  </r>
  <r>
    <n v="3668119"/>
    <x v="13"/>
    <s v="diana.bernal@oxxo.com"/>
    <s v="19/07/2026"/>
    <s v="19/07/2026"/>
    <s v="11:52"/>
    <n v="2026"/>
    <s v="07"/>
    <s v="Enviado"/>
    <s v="OXXO ESMERALDA"/>
    <s v="Zipa 11"/>
    <s v="Centro"/>
    <s v="Centro Norte"/>
    <s v="Calle 11 Cra 11 esquina"/>
    <m/>
    <s v="https://maps.app.goo.gl/xG4YUUbdmJKMJHGW8?g_st=aw"/>
    <s v="Hogar"/>
    <s v="Zona Residencial"/>
    <s v="LUis Alberto Páez"/>
    <n v="3112581902"/>
    <s v="https://oxxo-colombia.oneapp.cl/static/img/Respuesta/62915009/fc0338b1145297bcaa7fe7e1a19bac18.jpg"/>
    <n v="30"/>
    <n v="7"/>
    <n v="2026"/>
    <s v="29-2026"/>
    <s v="Subido"/>
    <s v="5.027791593988247, -73.99874073746274"/>
    <m/>
    <m/>
    <s v="Descartado"/>
    <n v="1"/>
    <s v="Variables de éxito"/>
    <m/>
    <m/>
    <m/>
    <m/>
    <m/>
    <m/>
    <m/>
    <m/>
  </r>
  <r>
    <n v="3671208"/>
    <x v="14"/>
    <s v="daniel.panqueba@oxxo.com"/>
    <s v="20/07/2026"/>
    <s v="20/07/2026"/>
    <s v="10:43"/>
    <n v="2026"/>
    <s v="07"/>
    <s v="Enviado"/>
    <s v="Hacienda los lagos"/>
    <m/>
    <s v="Centro"/>
    <s v="Bogotá"/>
    <s v="Carrera 54 D # 200-54"/>
    <m/>
    <s v="https://maps.app.goo.gl/sq7pMrES6283SMyr6?g_st=ac"/>
    <s v="Hogar"/>
    <s v="Zona Residencial"/>
    <n v="3014398395"/>
    <s v="Sin correo"/>
    <s v="Foto: https://oxxo-colombia.oneapp.cl/static/img/Respuesta/62960615/8801b3ddd9ed6187e40704018b2f1392.jpg"/>
    <n v="30"/>
    <n v="7"/>
    <n v="2026"/>
    <s v="30-2026"/>
    <s v="Subido"/>
    <s v="4.781802983206212, -74.04198865758453"/>
    <m/>
    <m/>
    <s v="Descartado"/>
    <n v="2"/>
    <s v="Canibalización "/>
    <s v="Stefanny Prieto"/>
    <m/>
    <m/>
    <m/>
    <m/>
    <m/>
    <m/>
    <m/>
  </r>
  <r>
    <n v="3671222"/>
    <x v="14"/>
    <s v="daniel.panqueba@oxxo.com"/>
    <s v="20/07/2026"/>
    <s v="20/07/2026"/>
    <s v="11:18"/>
    <n v="2026"/>
    <s v="07"/>
    <s v="Enviado"/>
    <s v="Parque Toberin"/>
    <m/>
    <s v="Centro"/>
    <s v="Bogotá"/>
    <s v="Calle 168 # 20-71"/>
    <m/>
    <s v="https://maps.app.goo.gl/mWPt1WTFKARjgwHP6?g_st=ac"/>
    <s v="Base"/>
    <s v="Zona Industrial"/>
    <n v="3004550101"/>
    <s v="Sin correo"/>
    <s v="Foto: https://oxxo-colombia.oneapp.cl/static/img/Respuesta/62961274/6a6cb01e1b5a6340b9373c48063db102.jpg"/>
    <n v="30"/>
    <n v="7"/>
    <n v="2026"/>
    <s v="30-2026"/>
    <s v="No subido"/>
    <m/>
    <m/>
    <s v="Descartado por punto duplicado (Parque Toberín- Katerin Zorro)"/>
    <s v="Descartado"/>
    <n v="2"/>
    <s v="Duplicado"/>
    <m/>
    <m/>
    <m/>
    <m/>
    <m/>
    <m/>
    <m/>
    <m/>
  </r>
  <r>
    <n v="3671223"/>
    <x v="14"/>
    <s v="daniel.panqueba@oxxo.com"/>
    <s v="20/07/2026"/>
    <s v="20/07/2026"/>
    <s v="11:30"/>
    <n v="2026"/>
    <s v="07"/>
    <s v="Enviado"/>
    <s v="Colegio las orquídeas"/>
    <m/>
    <s v="Centro"/>
    <s v="Bogotá"/>
    <s v="Calle 161 # 16 A -50"/>
    <m/>
    <s v="https://maps.app.goo.gl/U51zZk2Qhyu1RYGE8?g_st=ac_x000a__x000a_"/>
    <s v="Base"/>
    <s v="Zona Comercial"/>
    <n v="3146011459"/>
    <s v="Sin correo"/>
    <s v="Foto: https://oxxo-colombia.oneapp.cl/static/img/Respuesta/62961438/66e0b5625c4e11858657fb9abf2597f6.jpg"/>
    <n v="30"/>
    <n v="7"/>
    <n v="2026"/>
    <s v="30-2026"/>
    <s v="Subido"/>
    <s v="4.739775161783024, -74.03977905766746"/>
    <m/>
    <m/>
    <s v="Descartado"/>
    <n v="2"/>
    <s v="Área/Propuesta de valor"/>
    <m/>
    <m/>
    <m/>
    <m/>
    <m/>
    <m/>
    <m/>
    <m/>
  </r>
  <r>
    <n v="3671230"/>
    <x v="14"/>
    <s v="daniel.panqueba@oxxo.com"/>
    <s v="20/07/2026"/>
    <s v="20/07/2026"/>
    <s v="11:58"/>
    <n v="2026"/>
    <s v="07"/>
    <s v="Enviado"/>
    <s v="Ciudadela la Salle"/>
    <m/>
    <s v="Centro"/>
    <s v="Bogotá"/>
    <s v="Carrera 10 # 172 B -50"/>
    <m/>
    <s v="https://maps.app.goo.gl/hh9DqoKdf3dEj9zaA?g_st=ac"/>
    <s v="Hogar"/>
    <s v="Zona Residencial"/>
    <s v="3132739812_x000a__x000a_Este número lo entrego la administración del conjunto indicandome que ellos como constructora son quienes aún tienen el espacio y lo están terminando _x000a__x000a_Es un buen punto , muy bien ubicado y con altísima proyección"/>
    <s v="Sin correo"/>
    <s v="Foto: https://oxxo-colombia.oneapp.cl/static/img/Respuesta/62961649/0271a83bc51b864d61be563a1521a6aa.jpg_x000a_Foto: https://oxxo-colombia.oneapp.cl/static/img/Respuesta/62961649/2977d7b7ca7580190481d2ff03aa6c49.jpg"/>
    <n v="30"/>
    <n v="7"/>
    <n v="2026"/>
    <s v="30-2026"/>
    <s v="Subido"/>
    <s v="4.754217862074933, -74.0325415577275"/>
    <m/>
    <m/>
    <s v="Aprobado"/>
    <n v="2"/>
    <m/>
    <s v="Cristian Herrera"/>
    <s v="JAIME GUTIERREZ"/>
    <d v="2026-07-29T00:00:00"/>
    <m/>
    <m/>
    <m/>
    <m/>
    <m/>
  </r>
  <r>
    <n v="3671239"/>
    <x v="12"/>
    <s v="brayan.mogollon@oxxo.com"/>
    <s v="20/07/2026"/>
    <s v="20/07/2026"/>
    <s v="12:20"/>
    <n v="2026"/>
    <s v="07"/>
    <s v="Enviado"/>
    <s v="Torre del reloj"/>
    <m/>
    <s v="Centro"/>
    <s v="Bogotá"/>
    <s v="Transversal 60 #103 b - 33"/>
    <m/>
    <s v="https://maps.app.goo.gl/dmeiK9Y56iBqfb7k6?g_st=ac"/>
    <s v="Hogar"/>
    <s v="Zona Residencial"/>
    <n v="3124174552"/>
    <n v="3124174552"/>
    <s v="Foto: https://oxxo-colombia.oneapp.cl/static/img/Respuesta/62962139/2dc0881fa48466a7efb2eb5606372e40.jpg_x000a_Foto: https://oxxo-colombia.oneapp.cl/static/img/Respuesta/62962139/831cef9c86838823549a2290cad8a43c.jpg"/>
    <n v="30"/>
    <n v="7"/>
    <n v="2026"/>
    <s v="30-2026"/>
    <s v="Subido"/>
    <m/>
    <m/>
    <m/>
    <s v="Aprobado"/>
    <n v="2"/>
    <m/>
    <s v="Stefanny Prieto"/>
    <s v="LAURA AVILA"/>
    <d v="2026-07-30T00:00:00"/>
    <m/>
    <m/>
    <m/>
    <m/>
    <m/>
  </r>
  <r>
    <n v="3671241"/>
    <x v="12"/>
    <s v="brayan.mogollon@oxxo.com"/>
    <s v="20/07/2026"/>
    <s v="20/07/2026"/>
    <s v="12:28"/>
    <n v="2026"/>
    <s v="07"/>
    <s v="Enviado"/>
    <s v="El faro"/>
    <m/>
    <s v="Centro"/>
    <s v="Bogotá"/>
    <s v="Avenida carrera 100 #49-79"/>
    <m/>
    <s v="https://maps.app.goo.gl/p5zUjk4WGLsFS4F36?g_st=ac"/>
    <s v="Hogar"/>
    <s v="Zona Residencial"/>
    <n v="3151587722"/>
    <n v="3114408944"/>
    <s v="Foto: https://oxxo-colombia.oneapp.cl/static/img/Respuesta/62962373/8599d006e3407f393b65424c01d3bf3c.jpg_x000a_Foto: https://oxxo-colombia.oneapp.cl/static/img/Respuesta/62962373/0b2651d5d6a62132117be1f485cce921.jpg"/>
    <n v="30"/>
    <n v="7"/>
    <n v="2026"/>
    <s v="30-2026"/>
    <s v="Subido"/>
    <m/>
    <m/>
    <m/>
    <s v="Descartado"/>
    <n v="2"/>
    <s v="Canibalización "/>
    <m/>
    <m/>
    <m/>
    <m/>
    <m/>
    <m/>
    <m/>
    <m/>
  </r>
  <r>
    <n v="3671242"/>
    <x v="12"/>
    <s v="brayan.mogollon@oxxo.com"/>
    <s v="20/07/2026"/>
    <s v="20/07/2026"/>
    <s v="12:34"/>
    <n v="2026"/>
    <s v="07"/>
    <s v="Enviado"/>
    <s v="Avenida 100"/>
    <m/>
    <s v="Centro"/>
    <s v="Bogotá"/>
    <s v="Avenida carrera 100 #49-71"/>
    <m/>
    <s v="https://maps.app.goo.gl/YkLLtdtkCjYSog6J7?g_st=ac"/>
    <s v="Base"/>
    <s v="Zona Residencial"/>
    <n v="3123849628"/>
    <n v="3213048268"/>
    <s v="Foto: https://oxxo-colombia.oneapp.cl/static/img/Respuesta/62962491/741128f502c6b0deaee305612375db45.jpg_x000a_Foto: https://oxxo-colombia.oneapp.cl/static/img/Respuesta/62962491/5ab43e990151593dd48b428700c82364.jpg"/>
    <n v="30"/>
    <n v="7"/>
    <n v="2026"/>
    <s v="30-2026"/>
    <s v="Subido"/>
    <m/>
    <m/>
    <m/>
    <s v="Descartado"/>
    <n v="2"/>
    <s v="Canibalización "/>
    <m/>
    <m/>
    <m/>
    <m/>
    <m/>
    <m/>
    <m/>
    <m/>
  </r>
  <r>
    <n v="3671243"/>
    <x v="12"/>
    <s v="brayan.mogollon@oxxo.com"/>
    <s v="20/07/2026"/>
    <s v="20/07/2026"/>
    <s v="12:49"/>
    <n v="2026"/>
    <s v="07"/>
    <s v="Enviado"/>
    <s v="Santa barbara 109"/>
    <m/>
    <s v="Centro"/>
    <s v="Bogotá"/>
    <s v="Carrera 17 #109 -21"/>
    <m/>
    <s v="https://maps.app.goo.gl/9gYzbHpcbRQwNBec9?g_st=ac"/>
    <s v="Hogar"/>
    <s v="Zona Comercial"/>
    <n v="3144802665"/>
    <n v="3144802665"/>
    <s v="Foto: https://oxxo-colombia.oneapp.cl/static/img/Respuesta/62962673/39e0dad2ac948f6f82c6e935f31cfbff.jpg_x000a_Foto: https://oxxo-colombia.oneapp.cl/static/img/Respuesta/62962673/bbf64a867d5d4aad62898c28df60600e.jpg"/>
    <n v="30"/>
    <n v="7"/>
    <n v="2026"/>
    <s v="30-2026"/>
    <s v="Subido"/>
    <m/>
    <m/>
    <m/>
    <s v="Aprobado"/>
    <n v="2"/>
    <m/>
    <s v="Cristian Herrera"/>
    <s v="ELVIA JAIMES"/>
    <d v="2026-07-29T00:00:00"/>
    <m/>
    <m/>
    <m/>
    <m/>
    <m/>
  </r>
  <r>
    <n v="3671245"/>
    <x v="12"/>
    <s v="brayan.mogollon@oxxo.com"/>
    <s v="20/07/2026"/>
    <s v="20/07/2026"/>
    <s v="13:00"/>
    <n v="2026"/>
    <s v="07"/>
    <s v="Enviado"/>
    <s v="Living 109"/>
    <m/>
    <s v="Centro"/>
    <s v="Bogotá"/>
    <s v="Cra 19 #109-40"/>
    <m/>
    <s v="https://maps.app.goo.gl/nkuWwF8dxLDuY6YZ9?g_st=ac"/>
    <s v="Receso "/>
    <s v="Zona Comercial"/>
    <n v="3168329200"/>
    <n v="3168329200"/>
    <s v="Foto: https://oxxo-colombia.oneapp.cl/static/img/Respuesta/62962924/dcbcce1889cefe8bd7b3c0f61ac28a80.jpg_x000a_Foto: https://oxxo-colombia.oneapp.cl/static/img/Respuesta/62962924/3657364ab4ca218b91fe6bcf5ea01495.jpg"/>
    <n v="30"/>
    <n v="7"/>
    <n v="2026"/>
    <s v="30-2026"/>
    <s v="Subido"/>
    <m/>
    <m/>
    <m/>
    <s v="Descartado"/>
    <n v="2"/>
    <s v="Canibalización "/>
    <m/>
    <m/>
    <m/>
    <m/>
    <m/>
    <m/>
    <m/>
    <m/>
  </r>
  <r>
    <n v="3671253"/>
    <x v="12"/>
    <s v="brayan.mogollon@oxxo.com"/>
    <s v="20/07/2026"/>
    <s v="20/07/2026"/>
    <s v="13:12"/>
    <n v="2026"/>
    <s v="07"/>
    <s v="Enviado"/>
    <s v="Pepe sierra 116"/>
    <m/>
    <s v="Centro"/>
    <s v="Bogotá"/>
    <s v="Calle 116 #16-78"/>
    <m/>
    <s v="https://maps.app.goo.gl/ycEJu2jwy79qR4py8?g_st=ac"/>
    <s v="Hogar"/>
    <s v="Zona Comercial"/>
    <n v="3105726862"/>
    <n v="3105726862"/>
    <s v="Foto: https://oxxo-colombia.oneapp.cl/static/img/Respuesta/62963260/f15bc7658b69abe02fc129784d008720.jpg_x000a_Foto: https://oxxo-colombia.oneapp.cl/static/img/Respuesta/62963260/d80490b685ecc44ad7e1ab7d03a1c36c.jpg_x000a_Foto: https://oxxo-colombia.oneapp.cl/static/img/Respuesta/62963260/d263ff39f1af739bfdc9dec724f94997.jpg"/>
    <n v="30"/>
    <n v="7"/>
    <n v="2026"/>
    <s v="30-2026"/>
    <s v="No subido"/>
    <m/>
    <m/>
    <s v="Descartado por punto duplicado (Pepe av 116- Daniela Menasse)"/>
    <s v="Descartado"/>
    <n v="2"/>
    <s v="Duplicado"/>
    <m/>
    <m/>
    <m/>
    <m/>
    <m/>
    <m/>
    <m/>
    <m/>
  </r>
  <r>
    <n v="3676125"/>
    <x v="15"/>
    <s v="diana.araque@oxxo.com"/>
    <s v="21/07/2026"/>
    <s v="21/07/2026"/>
    <s v="10:32"/>
    <n v="2026"/>
    <s v="07"/>
    <s v="Enviado"/>
    <s v="FONTANA"/>
    <m/>
    <s v="Nororiente"/>
    <s v="Oriente"/>
    <s v="Cra. 19 #102-40, Bucaramanga, Santander"/>
    <m/>
    <s v="https://maps.app.goo.gl/tguqLex5RC5W2E976?g_st=ac"/>
    <s v="Hogar"/>
    <s v="Zona Residencial"/>
    <n v="3160181684"/>
    <s v="comercialarcof1@gmail.com"/>
    <s v="https://oxxo-colombia.oneapp.cl/static/img/Respuesta/63022672/81fa2636d53ac76f36319b19b4479d70.jpg_x000a_Foto: https://oxxo-colombia.oneapp.cl/static/img/Respuesta/63022672/e55130858a347b5a12c60aea2693c797.jpg_x000a_Foto: https://oxxo-colombia.oneapp.cl/static/img/Respuesta/63022672/56a8eafbcc939e8d460c1e7bfa6329a8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6210"/>
    <x v="16"/>
    <s v="dany.ospina@oxxo.com"/>
    <s v="21/07/2026"/>
    <s v="21/07/2026"/>
    <s v="12:54"/>
    <n v="2026"/>
    <s v="07"/>
    <s v="Enviado"/>
    <s v="San jose sur"/>
    <m/>
    <s v="Centro"/>
    <s v="Bogotá"/>
    <s v="Calle 27 sur 12-78"/>
    <m/>
    <s v="https://maps.app.goo.gl/Re2hX3yEGKe3qDFh6"/>
    <s v="Base"/>
    <s v="Zona Comercial"/>
    <s v="Melba cristina salamanca Bonilla"/>
    <s v="Jenicita15@yahoo.es"/>
    <s v="Foto: https://oxxo-colombia.oneapp.cl/static/img/Respuesta/63028228/15ec112ce4d8895782a461b65897cddb.jpg"/>
    <n v="30"/>
    <n v="7"/>
    <n v="2026"/>
    <s v="30-2026"/>
    <s v="Subido"/>
    <m/>
    <m/>
    <m/>
    <s v="Descartado"/>
    <n v="2"/>
    <s v="Variables de éxito"/>
    <s v="Stefanny Prieto"/>
    <m/>
    <m/>
    <m/>
    <m/>
    <m/>
    <m/>
    <m/>
  </r>
  <r>
    <n v="3676236"/>
    <x v="17"/>
    <s v="diana.becerramelo@oxxo.com"/>
    <s v="21/07/2026"/>
    <s v="21/07/2026"/>
    <s v="13:54"/>
    <n v="2026"/>
    <s v="07"/>
    <s v="Enviado"/>
    <s v="CC punto 72"/>
    <m/>
    <s v="Centro"/>
    <s v="Bogotá"/>
    <s v="Av cali calle 72"/>
    <m/>
    <s v="https://maps.app.goo.gl/JSyt4qJYuenXjgtm6"/>
    <s v="Hogar"/>
    <s v="Zona Comercial"/>
    <n v="3102267246"/>
    <s v="No tengo"/>
    <s v="Foto: https://oxxo-colombia.oneapp.cl/static/img/Respuesta/63029551/d98bfed266cbf8485dca7253639141e0.jpg_x000a_Foto: https://oxxo-colombia.oneapp.cl/static/img/Respuesta/63029551/0969a210ef7a75b7979f03383c9a274e.jpg"/>
    <n v="30"/>
    <n v="7"/>
    <n v="2026"/>
    <s v="30-2026"/>
    <s v="Subido"/>
    <m/>
    <m/>
    <m/>
    <s v="Aprobado"/>
    <n v="2"/>
    <m/>
    <s v="Stefanny Prieto"/>
    <s v="LAURA AVILA"/>
    <d v="2026-07-29T00:00:00"/>
    <m/>
    <m/>
    <m/>
    <m/>
    <s v="Zona CC Punto 72 descartado por infraestructura, se estaba aprobado como Punto 72 de Caro si se tomaba también el local del lado pero no fue posible"/>
  </r>
  <r>
    <n v="3676247"/>
    <x v="0"/>
    <s v="sandra.padilla@oxxo.com"/>
    <s v="21/07/2026"/>
    <s v="21/07/2026"/>
    <s v="14:22"/>
    <n v="2026"/>
    <s v="07"/>
    <s v="Enviado"/>
    <s v="Centro servicio los sauces lebrija"/>
    <s v="Los Sauces Lebrija"/>
    <s v="Nororiente"/>
    <s v="Oriente"/>
    <s v="Centro de servicio los sauces municipio lebrija santander"/>
    <m/>
    <s v="https://maps.app.goo.gl/Fqt5xWrLJWy62G8s6?g_st=iwb"/>
    <s v="Base"/>
    <s v="Zona Industrial"/>
    <n v="3209500506"/>
    <s v="Natalia roncancio_x000a_Nataliaroncancio123@gmail.com"/>
    <s v="Foto: https://oxxo-colombia.oneapp.cl/static/img/Respuesta/63030372/36558cfdd4e236b839665b1755181b1f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6328"/>
    <x v="18"/>
    <s v="yury.sanchez@oxxo.com"/>
    <s v="21/07/2026"/>
    <s v="21/07/2026"/>
    <s v="16:42"/>
    <n v="2026"/>
    <s v="07"/>
    <s v="Enviado"/>
    <s v="Andatti HIC"/>
    <m/>
    <s v="Nororiente"/>
    <s v="Oriente"/>
    <s v="Vereda Mensuly # km 7, piedecuesta"/>
    <m/>
    <s v="https://maps.app.goo.gl/kAT7PsDEWgBy4ckM7?g_st=aw"/>
    <s v="Receso "/>
    <s v="Hospitales/ Clinícas"/>
    <s v="3002843683_x000a_Isabel pinto"/>
    <s v="No aplica"/>
    <s v="Foto: https://oxxo-colombia.oneapp.cl/static/img/Respuesta/63033754/d7a44baf35aab8b61733b83d317a06b0.jpg_x000a_Foto: https://oxxo-colombia.oneapp.cl/static/img/Respuesta/63033754/7b2d6e594e3a76901da0f70ea2d01f3f.jpg"/>
    <n v="30"/>
    <n v="7"/>
    <n v="2026"/>
    <s v="30-2026"/>
    <s v="Subido"/>
    <m/>
    <m/>
    <m/>
    <s v="Descartado"/>
    <n v="2"/>
    <s v="Opción de proyecto con mejor potencial"/>
    <m/>
    <m/>
    <m/>
    <m/>
    <m/>
    <m/>
    <m/>
    <m/>
  </r>
  <r>
    <n v="3676345"/>
    <x v="18"/>
    <s v="yury.sanchez@oxxo.com"/>
    <s v="21/07/2026"/>
    <s v="21/07/2026"/>
    <s v="17:33"/>
    <n v="2026"/>
    <s v="07"/>
    <s v="Enviado"/>
    <s v="Oxxo parnaso"/>
    <m/>
    <s v="Nororiente"/>
    <s v="Oriente"/>
    <s v="Cra 18 a n 61 06 parnaso_x000a_Calle 61 n 18b 07 parnaso"/>
    <m/>
    <s v="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"/>
    <s v="Base"/>
    <s v="Zona Residencial"/>
    <s v="Roberth Alvarez_x000a_Cel: 3185579848"/>
    <s v="NA"/>
    <s v="Foto: https://oxxo-colombia.oneapp.cl/static/img/Respuesta/63035030/eb712607b0619306c8ea76066cb9a411.jpg_x000a_Foto: https://oxxo-colombia.oneapp.cl/static/img/Respuesta/63035030/e95ec3015a5d9b7517a96ede710d0d7a.jpg"/>
    <n v="30"/>
    <n v="7"/>
    <n v="2026"/>
    <s v="30-2026"/>
    <s v="Subido"/>
    <m/>
    <m/>
    <m/>
    <s v="Aprobado"/>
    <n v="2"/>
    <m/>
    <s v="Cristian Herrera"/>
    <s v="ALEJANDRA ROJAS ROMERO"/>
    <d v="2026-07-30T00:00:00"/>
    <m/>
    <m/>
    <m/>
    <m/>
    <m/>
  </r>
  <r>
    <n v="3676323"/>
    <x v="15"/>
    <s v="diana.araque@oxxo.com"/>
    <s v="21/07/2026"/>
    <s v="21/07/2026"/>
    <s v="20:18"/>
    <n v="2026"/>
    <s v="07"/>
    <s v="Enviado"/>
    <s v="Calle 11"/>
    <m/>
    <s v="Nororiente"/>
    <s v="Oriente"/>
    <s v="Calle 11# 22-04 esquina Barrio san francisco"/>
    <m/>
    <s v="https://maps.app.goo.gl/e6zYrkzXtHa5ac9T9?g_st=iw"/>
    <s v="Base"/>
    <s v="Zona Comercial"/>
    <s v="3182544040- 3150475053_x000a_HERNANDO RODRIGUEZ PATIÑO"/>
    <s v="Hrodriguezconta@gmail.com"/>
    <s v="Foto: https://oxxo-colombia.oneapp.cl/static/img/Respuesta/63037142/c765f8f8aa56ed352238cdb0c4651b44.jpg_x000a_Foto: https://oxxo-colombia.oneapp.cl/static/img/Respuesta/63037142/7b486301a008d088374c82bd30ac2b05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9961"/>
    <x v="19"/>
    <m/>
    <s v="22/07/2026"/>
    <s v="22/07/2026"/>
    <s v="16:13"/>
    <n v="2026"/>
    <s v="07"/>
    <s v="Enviado"/>
    <s v="EDS SAN FERNANDO"/>
    <m/>
    <s v="Centro"/>
    <s v="Bogotá"/>
    <s v="Cra. 57 #68-27, Bogotá"/>
    <s v="PEDRO MORENO SUAREZ"/>
    <s v="https://maps.app.goo.gl/6YBR9JYLZWtzb83y7?g_st=ac"/>
    <s v="Hogar"/>
    <s v="Zona Residencial"/>
    <n v="3212818265"/>
    <n v="3214550461"/>
    <s v="Foto: https://oxxo-colombia.oneapp.cl/static/img/Respuesta/63102363/e13cae0c9439d46f1a63203b6fc43080.jpg_x000a_Foto: https://oxxo-colombia.oneapp.cl/static/img/Respuesta/63102363/d37c621d8eb87ff59d04ddb294a7e4c1.jpg_x000a_Foto: https://oxxo-colombia.oneapp.cl/static/img/Respuesta/63102363/b6077fea768c969e1647f1b8dca1d13f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9980"/>
    <x v="19"/>
    <m/>
    <s v="22/07/2026"/>
    <s v="22/07/2026"/>
    <s v="16:57"/>
    <n v="2026"/>
    <s v="07"/>
    <s v="Enviado"/>
    <s v="Campus"/>
    <m/>
    <s v="Centro"/>
    <s v="Bogotá"/>
    <s v="Cl. 68b # 68A-35, Engativá, Bogotá"/>
    <s v="PEDRO MORENO SUAREZ"/>
    <s v="https://maps.app.goo.gl/EyCAWArR3m9TpYUx7?g_st=ac"/>
    <s v="Receso "/>
    <s v="Centros Educativos"/>
    <n v="3144553626"/>
    <s v="No cuenta"/>
    <s v="Foto: https://oxxo-colombia.oneapp.cl/static/img/Respuesta/63103282/805a307f089ae21f717810c4c5685458.jpg_x000a_Foto: https://oxxo-colombia.oneapp.cl/static/img/Respuesta/63103282/b49bfc6562cdfa93c7028bbd312ee339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9984"/>
    <x v="19"/>
    <m/>
    <s v="22/07/2026"/>
    <s v="22/07/2026"/>
    <s v="17:06"/>
    <n v="2026"/>
    <s v="07"/>
    <s v="Enviado"/>
    <s v="Campus Compensar"/>
    <m/>
    <s v="Centro"/>
    <s v="Bogotá"/>
    <s v="Av. 68 #68b-10, Bogotá"/>
    <s v="PEDRO MORENO SUAREZ"/>
    <s v="https://maps.app.goo.gl/wbcjBnHS4KwUYnNN9?g_st=ac"/>
    <s v="Receso "/>
    <s v="Centros Educativos"/>
    <n v="3118109385"/>
    <s v="No tiene"/>
    <s v="Foto: https://oxxo-colombia.oneapp.cl/static/img/Respuesta/63103379/879e90a19957c356f0e0f03fa10b0623.jpg_x000a_Foto: https://oxxo-colombia.oneapp.cl/static/img/Respuesta/63103379/aae55205a69bada077b9965a7ca22d29.jpg"/>
    <n v="30"/>
    <n v="7"/>
    <n v="2026"/>
    <s v="30-2026"/>
    <s v="Subido"/>
    <m/>
    <m/>
    <m/>
    <s v="Aprobado"/>
    <n v="2"/>
    <m/>
    <s v="Cristian Herrera"/>
    <s v="ELVIA JAIMES"/>
    <d v="2026-07-29T00:00:00"/>
    <m/>
    <m/>
    <m/>
    <m/>
    <m/>
  </r>
  <r>
    <n v="3680011"/>
    <x v="20"/>
    <s v="andres.ortiz@oxxo.com"/>
    <s v="22/07/2026"/>
    <s v="22/07/2026"/>
    <s v="17:56"/>
    <n v="2026"/>
    <s v="07"/>
    <s v="Enviado"/>
    <s v="Centro Suba"/>
    <m/>
    <s v="Centro"/>
    <s v="Bogotá"/>
    <m/>
    <s v="PEDRO MORENO SUAREZ"/>
    <s v="https://maps.app.goo.gl/TCHUdwg6A8YgVuCz5?g_st=ac"/>
    <s v="Base"/>
    <s v="Zona Comercial"/>
    <s v="6017447577 ext. 101"/>
    <s v="Analistacomercial@centrosuba.com"/>
    <s v="Foto: https://oxxo-colombia.oneapp.cl/static/img/Respuesta/63104136/8830531906816548589e2ebf7962c632.jpg_x000a_Foto: https://oxxo-colombia.oneapp.cl/static/img/Respuesta/63104136/f60c7ae18db0a2c8b38cb5a301207bdd.jpg_x000a_Foto: https://oxxo-colombia.oneapp.cl/static/img/Respuesta/63104136/bdaf13cf7a54a5e262ee11a96c734d6a.jpg"/>
    <n v="30"/>
    <n v="7"/>
    <n v="2026"/>
    <s v="30-2026"/>
    <s v="Subido"/>
    <m/>
    <m/>
    <m/>
    <s v="Aprobado"/>
    <n v="2"/>
    <m/>
    <s v="Cristian Herrera"/>
    <s v="Martha Lopez"/>
    <d v="2026-08-03T00:00:00"/>
    <m/>
    <m/>
    <m/>
    <m/>
    <m/>
  </r>
  <r>
    <n v="3680024"/>
    <x v="3"/>
    <s v="alejandror.gomez@oxxo.com"/>
    <s v="22/07/2026"/>
    <s v="22/07/2026"/>
    <s v="18:47"/>
    <n v="2026"/>
    <s v="07"/>
    <s v="Enviado"/>
    <s v="Oxxo cuba"/>
    <m/>
    <s v="Occidente"/>
    <s v="Eje Cafetero"/>
    <s v="Cra. 26 Bis # 71-73, Pereira, Risaralda"/>
    <s v="YESENIA ARIZTIZABAL ALZATE"/>
    <s v="https://share.google/CPQ8CQuA70rGqPrMw"/>
    <s v="Base"/>
    <s v="Zona de Transporte Público"/>
    <n v="3137456421"/>
    <s v="No posee"/>
    <s v="Foto: https://oxxo-colombia.oneapp.cl/static/img/Respuesta/63104750/ef3a8d39358b32f701fddadc9d3f29cb.jpg_x000a_Foto: https://oxxo-colombia.oneapp.cl/static/img/Respuesta/63104750/bcb7187031b8414d4079f30796859c38.jpg_x000a_Foto: https://oxxo-colombia.oneapp.cl/static/img/Respuesta/63104750/492725e73708efc02fbd4d8d55f1652e.jpg_x000a_Foto: https://oxxo-colombia.oneapp.cl/static/img/Respuesta/63104750/3330383ca4366c1b0790adcda94490c8.jpg_x000a_Foto: https://oxxo-colombia.oneapp.cl/static/img/Respuesta/63104750/0fafba6024d5d26375653d9db8317f8b.jpg"/>
    <n v="30"/>
    <n v="7"/>
    <n v="2026"/>
    <s v="30-2026"/>
    <s v="Subido"/>
    <m/>
    <m/>
    <m/>
    <s v="Descartado"/>
    <n v="2"/>
    <s v="Variables de éxito"/>
    <s v="Jonathan Aguirre"/>
    <m/>
    <m/>
    <m/>
    <m/>
    <m/>
    <m/>
    <m/>
  </r>
  <r>
    <n v="3680050"/>
    <x v="20"/>
    <s v="andres.ortiz@oxxo.com"/>
    <s v="22/07/2026"/>
    <s v="22/07/2026"/>
    <s v="20:10"/>
    <n v="2026"/>
    <s v="07"/>
    <s v="Enviado"/>
    <s v="Suba Acuarela"/>
    <m/>
    <s v="Centro"/>
    <s v="Bogotá"/>
    <s v="Ac 145 #92 - 30 "/>
    <s v="PEDRO MORENO SUAREZ"/>
    <s v="https://maps.app.goo.gl/BeTGCR24bq6FqSRe8?g_st=ac"/>
    <s v="Base"/>
    <s v="Zona Comercial"/>
    <n v="3213475722"/>
    <n v="3057995626"/>
    <s v="Foto: https://oxxo-colombia.oneapp.cl/static/img/Respuesta/63105738/863419e6033867a5b4470c295b65cb58.jpg"/>
    <n v="30"/>
    <n v="7"/>
    <n v="2026"/>
    <s v="30-2026"/>
    <s v="Subido"/>
    <s v="4.7388603931210005, -74.08629502884321"/>
    <m/>
    <m/>
    <s v="Aprobado"/>
    <n v="2"/>
    <m/>
    <s v="Stefanny Prieto"/>
    <s v="Jenny Acuña"/>
    <d v="2026-07-31T00:00:00"/>
    <m/>
    <m/>
    <m/>
    <m/>
    <m/>
  </r>
  <r>
    <n v="3680054"/>
    <x v="20"/>
    <s v="andres.ortiz@oxxo.com"/>
    <s v="22/07/2026"/>
    <s v="22/07/2026"/>
    <s v="20:26"/>
    <n v="2026"/>
    <s v="07"/>
    <s v="Enviado"/>
    <s v="Suba Piloto"/>
    <m/>
    <s v="Centro"/>
    <s v="Bogotá"/>
    <s v="Cra. 118 #132a-13, Bogotá"/>
    <s v="PEDRO MORENO SUAREZ"/>
    <s v="https://maps.app.goo.gl/BKx91rDJ4CJKfCNt7?g_st=ac"/>
    <s v="Hogar"/>
    <s v="Zona Residencial"/>
    <n v="3143704135"/>
    <s v="Na"/>
    <s v="Foto: https://oxxo-colombia.oneapp.cl/static/img/Respuesta/63105816/a9cd1bb35b449123912cebbafd048567.jpg_x000a_Foto: https://oxxo-colombia.oneapp.cl/static/img/Respuesta/63105816/7eb12e7051609ff2f8add6ad4ac9eab3.jpg_x000a_Foto: https://oxxo-colombia.oneapp.cl/static/img/Respuesta/63105816/4f005d03ac24dfb04fee2231c12f4f29.jpg"/>
    <n v="30"/>
    <n v="7"/>
    <n v="2026"/>
    <s v="30-2026"/>
    <s v="Subido"/>
    <s v="4.738428961750473, -74.10561618650813"/>
    <m/>
    <m/>
    <s v="Descartado"/>
    <n v="2"/>
    <s v="Variables de éxito"/>
    <s v="Stefanny Prieto"/>
    <m/>
    <m/>
    <m/>
    <m/>
    <m/>
    <m/>
    <m/>
  </r>
  <r>
    <n v="3680055"/>
    <x v="20"/>
    <s v="andres.ortiz@oxxo.com"/>
    <s v="22/07/2026"/>
    <s v="22/07/2026"/>
    <s v="20:31"/>
    <n v="2026"/>
    <s v="07"/>
    <s v="Enviado"/>
    <s v="Ilarco"/>
    <m/>
    <s v="Centro"/>
    <s v="Bogotá"/>
    <s v="Av Suba #115-58, Bogotá"/>
    <s v="JUAN QUIROGA"/>
    <s v="https://maps.app.goo.gl/3zpfDx5Jekfv4v86A?g_st=ac"/>
    <s v="Hogar"/>
    <s v="Zona Residencial"/>
    <n v="3154965337"/>
    <s v="Na"/>
    <s v="Foto: https://oxxo-colombia.oneapp.cl/static/img/Respuesta/63105863/9a2ee0e114d799b3eb6d0c4c6dfc4dc4.jpg_x000a_Foto: https://oxxo-colombia.oneapp.cl/static/img/Respuesta/63105863/5dfb36936e6cb77192df2893aec9daa1.jpg_x000a_Foto: https://oxxo-colombia.oneapp.cl/static/img/Respuesta/63105863/bb38ed20a5dbc308275476604cddba6c.jpg"/>
    <n v="30"/>
    <n v="7"/>
    <n v="2026"/>
    <s v="30-2026"/>
    <s v="Subido"/>
    <s v="4.698999960838861, -74.06954454233055"/>
    <m/>
    <m/>
    <s v="Aprobado"/>
    <n v="2"/>
    <m/>
    <s v="Cristian Herrera"/>
    <s v="ELVIA JAIMES"/>
    <d v="2026-08-03T00:00:00"/>
    <m/>
    <m/>
    <m/>
    <m/>
    <m/>
  </r>
  <r>
    <n v="3679995"/>
    <x v="19"/>
    <m/>
    <s v="22/07/2026"/>
    <s v="22/07/2026"/>
    <s v="20:44"/>
    <n v="2026"/>
    <s v="07"/>
    <s v="Enviado"/>
    <s v="Mandalay"/>
    <m/>
    <s v="Centro"/>
    <s v="Bogotá"/>
    <s v="Cl. 2 # 73b 39, Kennedy, Bogotá"/>
    <s v="PEDRO MORENO SUAREZ"/>
    <s v="https://maps.app.goo.gl/XQdTnYufh5YeLTcXA?g_st=ac"/>
    <s v="Hogar"/>
    <s v="Zona Residencial"/>
    <n v="3132969330"/>
    <s v="joseggordillo@gmail.com"/>
    <s v="Foto: https://oxxo-colombia.oneapp.cl/static/img/Respuesta/63106181/53bbeb64db9a1e79aee0bb1d17a0db5e.jpg_x000a_Foto: https://oxxo-colombia.oneapp.cl/static/img/Respuesta/63106181/102b5a3337dee803bb88e6ae8403b808.jpg_x000a_Foto: https://oxxo-colombia.oneapp.cl/static/img/Respuesta/63106181/35e9cceb82dff20f13d33ca56c59a3be.jpg_x000a_Foto: https://oxxo-colombia.oneapp.cl/static/img/Respuesta/63106181/047019f37a472e61efed9140c3474d30.jpg"/>
    <n v="30"/>
    <n v="7"/>
    <n v="2026"/>
    <s v="30-2026"/>
    <s v="Subido"/>
    <s v="4.6240111347916, -74.14309515767714"/>
    <m/>
    <m/>
    <m/>
    <n v="2"/>
    <m/>
    <s v="Stefanny Prieto"/>
    <m/>
    <m/>
    <m/>
    <m/>
    <m/>
    <m/>
    <m/>
  </r>
  <r>
    <n v="3683298"/>
    <x v="2"/>
    <s v="jairo.hernandez@oxxo.com"/>
    <s v="23/07/2026"/>
    <s v="23/07/2026"/>
    <s v="11:29"/>
    <n v="2026"/>
    <s v="07"/>
    <s v="Enviado"/>
    <s v="Circunvalar intersección"/>
    <m/>
    <s v="Occidente"/>
    <s v="Eje Cafetero"/>
    <s v="Cra. 13 #11-31, Pereira, Risaralda"/>
    <s v="YESENIA ARIZTIZABAL ALZATE"/>
    <s v="https://maps.app.goo.gl/BS9YHfeBx8LigNK16?g_st=aw"/>
    <s v="Receso "/>
    <s v="Zona Administrativa"/>
    <s v="6063344240_x000a_3009121600"/>
    <s v="www.rentainmobiliaria.com"/>
    <s v="Foto: https://oxxo-colombia.oneapp.cl/static/img/Respuesta/63158543/9810a680f4f88d4e6c8be1d1782908f5.jpg"/>
    <n v="30"/>
    <n v="7"/>
    <n v="2026"/>
    <s v="30-2026"/>
    <s v="No subido"/>
    <s v="4.808281963380165, -75.68834972883444"/>
    <m/>
    <s v="Descartado por punto duplicado (Oxxo cra 13- Alejandro Gomez)"/>
    <s v="Descartado"/>
    <n v="2"/>
    <s v="Duplicado"/>
    <m/>
    <m/>
    <m/>
    <m/>
    <m/>
    <m/>
    <m/>
    <m/>
  </r>
  <r>
    <n v="3683348"/>
    <x v="21"/>
    <s v="ernesto.latorre@oxxo.com"/>
    <s v="23/07/2026"/>
    <s v="23/07/2026"/>
    <s v="12:14"/>
    <n v="2026"/>
    <s v="07"/>
    <s v="Enviado"/>
    <s v="Edificio Tequendama Calle 100"/>
    <s v="Tequendama 100"/>
    <s v="Centro"/>
    <s v="Bogotá"/>
    <s v="Ac. 100 #11A-51, Bogotá"/>
    <s v="PEDRO MORENO SUAREZ"/>
    <s v="https://maps.app.goo.gl/PE1f4S4YcVUUo6e98?g_st=ac"/>
    <s v="Receso "/>
    <s v="Centros Educativos"/>
    <n v="3214903514"/>
    <s v="www.gnbsudameris.com.co"/>
    <s v="Foto: https://oxxo-colombia.oneapp.cl/static/img/Respuesta/63160024/372397dc164e9f428f9e1d436dc1293c.jpg_x000a_Foto: https://oxxo-colombia.oneapp.cl/static/img/Respuesta/63160024/9c4d3f7fd9308fd969bad057b88620c4.jpg_x000a_Foto: https://oxxo-colombia.oneapp.cl/static/img/Respuesta/63160024/93a41d7f180ce765672bbc88b608f2a3.jpg"/>
    <n v="30"/>
    <n v="7"/>
    <n v="2026"/>
    <s v="30-2026"/>
    <s v="Subido"/>
    <s v="4.682833960466399, -74.04458175766959"/>
    <m/>
    <m/>
    <s v="Descartado"/>
    <n v="2"/>
    <s v="Canibalización "/>
    <m/>
    <m/>
    <m/>
    <m/>
    <m/>
    <m/>
    <m/>
    <m/>
  </r>
  <r>
    <n v="3683607"/>
    <x v="12"/>
    <s v="brayan.mogollon@oxxo.com"/>
    <s v="23/07/2026"/>
    <s v="23/07/2026"/>
    <s v="17:25"/>
    <n v="2026"/>
    <s v="07"/>
    <s v="Enviado"/>
    <s v="Industrial AC"/>
    <m/>
    <s v="Centro"/>
    <s v="Bogotá"/>
    <m/>
    <s v="JUAN QUIROGA"/>
    <s v="https://maps.app.goo.gl/iQjt8Ebm6H8CuvqJ8?g_st=ac"/>
    <s v="Receso "/>
    <s v="Zona Industrial"/>
    <n v="3175022222"/>
    <n v="3153522582"/>
    <s v="Foto: https://oxxo-colombia.oneapp.cl/static/img/Respuesta/63170378/4b7d83cae36bd3b56b5223a303d5741e.jpg_x000a_Foto: https://oxxo-colombia.oneapp.cl/static/img/Respuesta/63170378/8f095f0db6f437786bab9652af214bc1.jpg"/>
    <n v="30"/>
    <n v="7"/>
    <n v="2026"/>
    <s v="30-2026"/>
    <s v="Subido"/>
    <m/>
    <m/>
    <m/>
    <s v="Aprobado"/>
    <n v="2"/>
    <m/>
    <s v="Cristian Herrera"/>
    <s v="JAIME GUTIERREZ"/>
    <d v="2026-07-29T00:00:00"/>
    <m/>
    <m/>
    <m/>
    <m/>
    <m/>
  </r>
  <r>
    <n v="3683610"/>
    <x v="22"/>
    <s v="francisco.gomezgrajales@oxxo.com"/>
    <s v="23/07/2026"/>
    <s v="23/07/2026"/>
    <s v="17:37"/>
    <n v="2026"/>
    <s v="07"/>
    <s v="Enviado"/>
    <s v="Ciudad jardín sur"/>
    <s v="Ciudad Salitre "/>
    <s v="Centro"/>
    <s v="Bogotá"/>
    <s v="Cra. 12c #17-07 sur, Bogotá"/>
    <s v="JUAN QUIROGA"/>
    <s v="https://maps.app.goo.gl/974Kc9pnwF5W8VPB9?g_st=aw"/>
    <s v="Base"/>
    <s v="Zona Comercial"/>
    <n v="3186280302"/>
    <s v="Spabalanceperfecto.bogota@gmail.com"/>
    <s v="Foto: https://oxxo-colombia.oneapp.cl/static/img/Respuesta/63170723/6312aa5d086347342ecf73aadd382c54.jpg_x000a_Foto: https://oxxo-colombia.oneapp.cl/static/img/Respuesta/63170723/5c54c8d70bd8a08cce7458dee02778ed.jpg"/>
    <n v="30"/>
    <n v="7"/>
    <n v="2026"/>
    <s v="30-2026"/>
    <s v="Subido"/>
    <s v="4.581879147272417, -74.09702741534957"/>
    <m/>
    <m/>
    <s v="Aprobado"/>
    <n v="2"/>
    <m/>
    <s v="Stefanny Prieto"/>
    <s v="Carlos Bolaños"/>
    <d v="2026-07-30T00:00:00"/>
    <m/>
    <m/>
    <m/>
    <m/>
    <m/>
  </r>
  <r>
    <n v="3683591"/>
    <x v="0"/>
    <s v="sandra.padilla@oxxo.com"/>
    <s v="23/07/2026"/>
    <s v="23/07/2026"/>
    <s v="18:55"/>
    <n v="2026"/>
    <s v="07"/>
    <s v="Enviado"/>
    <s v="Centro comercial cañaveral"/>
    <s v="Comercial Molinos"/>
    <s v="Nororiente"/>
    <s v="Oriente"/>
    <s v="Calle 30 #30 04"/>
    <s v="DIEGO RODRIGUEZ ESTEBAN"/>
    <s v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/>
    <s v="Base"/>
    <s v="Zona Comercial"/>
    <n v="3202129355"/>
    <n v="3202129355"/>
    <s v="Foto: https://oxxo-colombia.oneapp.cl/static/img/Respuesta/63172270/9c2813dede708f4ff65dcc136a20d8d7.jpg_x000a_Foto: https://oxxo-colombia.oneapp.cl/static/img/Respuesta/63172270/f90569968d9a2605648e11719142d1fe.jpg"/>
    <n v="30"/>
    <n v="7"/>
    <n v="2026"/>
    <s v="30-2026"/>
    <s v="Subido"/>
    <s v="7.070605485983002, -73.10553905819518"/>
    <m/>
    <m/>
    <s v="Aprobado"/>
    <n v="2"/>
    <m/>
    <s v="Stefanny Prieto"/>
    <s v="ALEJANDRA ROJAS ROMERO"/>
    <d v="2026-08-03T00:00:00"/>
    <m/>
    <m/>
    <m/>
    <m/>
    <s v="Local dentro de centro comercial , se debe pasar para nuevos formatos"/>
  </r>
  <r>
    <n v="3683612"/>
    <x v="12"/>
    <s v="brayan.mogollon@oxxo.com"/>
    <s v="23/07/2026"/>
    <s v="23/07/2026"/>
    <s v="19:25"/>
    <n v="2026"/>
    <s v="07"/>
    <s v="Enviado"/>
    <s v="Santa isabela calle 3"/>
    <m/>
    <s v="Centro"/>
    <s v="Bogotá"/>
    <m/>
    <s v="JUAN QUIROGA"/>
    <s v="https://maps.app.goo.gl/mPEriJi82CJKdctc8?g_st=ac"/>
    <s v="Hogar"/>
    <s v="Zona Residencial"/>
    <n v="3503394887"/>
    <n v="3503394887"/>
    <s v="Foto: https://oxxo-colombia.oneapp.cl/static/img/Respuesta/63172624/16f64a1b013fa137a3baca6a7f2f9605.jpg_x000a_Foto: https://oxxo-colombia.oneapp.cl/static/img/Respuesta/63172624/4133496338cc64e8f89aa12e3b652549.jpg"/>
    <n v="30"/>
    <n v="7"/>
    <n v="2026"/>
    <s v="30-2026"/>
    <s v="Subido"/>
    <m/>
    <m/>
    <m/>
    <s v="Aprobado"/>
    <n v="2"/>
    <m/>
    <s v="Jonathan Aguirre"/>
    <m/>
    <m/>
    <m/>
    <m/>
    <m/>
    <m/>
    <m/>
  </r>
  <r>
    <n v="3686736"/>
    <x v="17"/>
    <s v="diana.becerramelo@oxxo.com"/>
    <s v="24/07/2026"/>
    <s v="24/07/2026"/>
    <s v="07:20"/>
    <n v="2026"/>
    <s v="07"/>
    <s v="Enviado"/>
    <s v="Boyacá calle 54"/>
    <m/>
    <s v="Centro"/>
    <s v="Bogotá"/>
    <s v="Cra. 72 #Calle 54, Engativá"/>
    <s v="JUAN QUIROGA"/>
    <s v="https://maps.app.goo.gl/WcJZpZR1WDn3aMew7?g_st=ac"/>
    <s v="Base"/>
    <s v="Zona Comercial"/>
    <s v="3224263319 -321 4619461"/>
    <s v="Sin correo"/>
    <s v="Foto: https://oxxo-colombia.oneapp.cl/static/img/Respuesta/63210605/87bb73effdd53d613d5e5d89237a72c5.jpg_x000a_Foto: https://oxxo-colombia.oneapp.cl/static/img/Respuesta/63210605/e9281d24a03f80e79fb6308f61ade15c.jpg"/>
    <n v="30"/>
    <n v="7"/>
    <n v="2026"/>
    <s v="30-2026"/>
    <s v="Subido"/>
    <s v="4.67096763143146, -74.10627311627897"/>
    <m/>
    <m/>
    <s v="Aprobado"/>
    <n v="2"/>
    <m/>
    <s v="Stefanny Prieto"/>
    <s v="Carlos Bolaños"/>
    <d v="2026-07-30T00:00:00"/>
    <m/>
    <m/>
    <m/>
    <m/>
    <m/>
  </r>
  <r>
    <n v="3687074"/>
    <x v="23"/>
    <s v="juan.garciadiaz@oxxo.com"/>
    <s v="24/07/2026"/>
    <s v="24/07/2026"/>
    <s v="13:14"/>
    <n v="2026"/>
    <s v="07"/>
    <s v="Enviado"/>
    <s v="Estadio"/>
    <s v="Diamante 74"/>
    <s v="Occidente"/>
    <s v="Antioquia"/>
    <m/>
    <s v="YESENIA ARIZTIZABAL ALZATE"/>
    <s v="https://maps.app.goo.gl/9xoNxA6hMPpPfmUY7"/>
    <s v="Base"/>
    <s v="Zona Comercial"/>
    <n v="3133263867"/>
    <s v="NA"/>
    <s v="Foto: https://oxxo-colombia.oneapp.cl/static/img/Respuesta/63229185/70932c80ebd1b4397c05c529e13148d2.jpg"/>
    <n v="30"/>
    <n v="7"/>
    <n v="2026"/>
    <s v="30-2026"/>
    <s v="Subido"/>
    <m/>
    <m/>
    <m/>
    <s v="Aprobado"/>
    <n v="2"/>
    <m/>
    <s v="Cristian Herrera"/>
    <s v="VALENTINA VALENCIA"/>
    <d v="2026-07-30T00:00:00"/>
    <m/>
    <m/>
    <m/>
    <m/>
    <m/>
  </r>
  <r>
    <n v="3687128"/>
    <x v="21"/>
    <s v="ernesto.latorre@oxxo.com"/>
    <s v="24/07/2026"/>
    <s v="24/07/2026"/>
    <s v="14:19"/>
    <n v="2026"/>
    <s v="07"/>
    <s v="Enviado"/>
    <s v="Edificio Messina"/>
    <m/>
    <s v="Centro"/>
    <s v="Bogotá"/>
    <s v="Cra 19 #9352, Bogotá"/>
    <s v="PEDRO MORENO SUAREZ"/>
    <s v="https://maps.app.goo.gl/qVPDTGyYWwahjkAp7?g_st=ac"/>
    <s v="Hogar"/>
    <s v="Zona Residencial"/>
    <s v="3004937535- 3102305745"/>
    <s v="www.miamibrokersmbc.com"/>
    <s v="Foto: https://oxxo-colombia.oneapp.cl/static/img/Respuesta/63231681/cc4b2aa03dc9b3c26c45ec24759218c2.jpg_x000a_Foto: https://oxxo-colombia.oneapp.cl/static/img/Respuesta/63231681/ace220beb318ccf86769f09b1b7dd88d.jpg"/>
    <n v="30"/>
    <n v="7"/>
    <n v="2026"/>
    <s v="30-2026"/>
    <s v="Subido"/>
    <s v="4.678926908067848, -74.05448047647374"/>
    <m/>
    <m/>
    <s v="Aprobado"/>
    <n v="2"/>
    <m/>
    <s v="Stefanny Prieto"/>
    <s v="JAIME GUTIERREZ"/>
    <d v="2026-07-28T00:00:00"/>
    <m/>
    <m/>
    <m/>
    <m/>
    <m/>
  </r>
  <r>
    <n v="3687196"/>
    <x v="24"/>
    <s v="lorena.beltran@oxxo.com"/>
    <d v="2026-07-24T00:00:00"/>
    <d v="2026-07-24T00:00:00"/>
    <d v="1899-12-30T15:41:00"/>
    <n v="2026"/>
    <s v="07"/>
    <s v="Enviado"/>
    <s v="La Aldea"/>
    <m/>
    <s v="Occidente"/>
    <s v="Eje Cafetero"/>
    <s v="Kilómetro 7 vía Pereira a Armenia"/>
    <s v="YESENIA ARIZTIZABAL ALZATE"/>
    <s v="https://maps.app.goo.gl/JrkTt1eXML1QMxUc8"/>
    <s v="Base"/>
    <s v="Zona Comercial"/>
    <n v="3024234177"/>
    <n v="3024234177"/>
    <s v="Foto: https://oxxo-colombia.oneapp.cl/static/img/Respuesta/63234280/1eb00ebff368e6719f9c1bc3b3edb8fd.jpg"/>
    <n v="30"/>
    <n v="7"/>
    <n v="2026"/>
    <s v="30-2026"/>
    <s v="Subido"/>
    <m/>
    <m/>
    <m/>
    <s v="Descartado"/>
    <n v="2"/>
    <s v="Variables de éxito"/>
    <s v="Jonathan Aguirre"/>
    <m/>
    <m/>
    <m/>
    <m/>
    <m/>
    <m/>
    <m/>
  </r>
  <r>
    <n v="3687205"/>
    <x v="25"/>
    <s v="john.espinosa@oxxo.com"/>
    <d v="2026-07-24T00:00:00"/>
    <d v="2026-07-24T00:00:00"/>
    <d v="1899-12-30T15:56:00"/>
    <n v="2026"/>
    <s v="07"/>
    <s v="Enviado"/>
    <s v="EDS la pista"/>
    <m/>
    <s v="Occidente"/>
    <s v="Eje Cafetero"/>
    <m/>
    <s v="YESENIA ARIZTIZABAL ALZATE"/>
    <s v="https://maps.app.goo.gl/kzskW8qdvmWNrmtU8?g_st=iw"/>
    <s v="Receso"/>
    <s v="Centros Educativos"/>
    <s v="‪315 3217754‬"/>
    <s v="Dante.sandra72@gmail.com"/>
    <s v="Foto: https://oxxo-colombia.oneapp.cl/static/img/Respuesta/63234643/fc05e86c5b9aa2c4db94266f19506d37.jpg"/>
    <n v="30"/>
    <n v="7"/>
    <n v="2026"/>
    <s v="30-2026"/>
    <s v="Subido"/>
    <m/>
    <m/>
    <m/>
    <s v="Aprobado"/>
    <n v="2"/>
    <m/>
    <s v="Cristian Herrera"/>
    <s v="ALEJANDRA ROJAS ROMERO"/>
    <d v="2026-07-30T00:00:00"/>
    <m/>
    <m/>
    <m/>
    <m/>
    <m/>
  </r>
  <r>
    <n v="3687227"/>
    <x v="17"/>
    <s v="diana.becerramelo@oxxo.com"/>
    <d v="2026-07-24T00:00:00"/>
    <d v="2026-07-24T00:00:00"/>
    <d v="1899-12-30T17:03:00"/>
    <n v="2026"/>
    <s v="07"/>
    <s v="Enviado"/>
    <s v="Tabora 77"/>
    <m/>
    <s v="Centro"/>
    <s v="Bogotá"/>
    <m/>
    <s v="JUAN QUIROGA"/>
    <s v="https://maps.app.goo.gl/bgEumNMMgswLuWug8"/>
    <s v="Hogar"/>
    <s v="Zona Residencial"/>
    <n v="3024817872"/>
    <s v="No tiene"/>
    <s v="Foto: https://oxxo-colombia.oneapp.cl/static/img/Respuesta/63235378/ba7e80d8123a945309a14b94fa26aff4.jpg"/>
    <n v="30"/>
    <n v="7"/>
    <n v="2026"/>
    <s v="30-2026"/>
    <s v="Subido"/>
    <m/>
    <m/>
    <m/>
    <s v="Descartado"/>
    <n v="2"/>
    <s v="Rentado a otra marca"/>
    <s v="Stefanny Prieto"/>
    <m/>
    <m/>
    <m/>
    <m/>
    <m/>
    <m/>
    <m/>
  </r>
  <r>
    <n v="3687230"/>
    <x v="26"/>
    <s v="ana.gonzalez@oxxo.com"/>
    <d v="2026-07-24T00:00:00"/>
    <d v="2026-07-24T00:00:00"/>
    <d v="1899-12-30T17:21:00"/>
    <n v="2026"/>
    <s v="07"/>
    <s v="Enviado"/>
    <s v="Carrera 15 con 117"/>
    <m/>
    <s v="Centro"/>
    <s v="Bogotá"/>
    <m/>
    <s v="PEDRO MORENO SUAREZ"/>
    <s v="https://maps.app.goo.gl/jdeQFRYYpEDtfF3c8"/>
    <s v="Base"/>
    <s v="Zona Comercial"/>
    <n v="3114910947"/>
    <s v="No aplica"/>
    <s v="Foto: https://oxxo-colombia.oneapp.cl/static/img/Respuesta/63235652/1fb2d400043bca38cf104da0f63ee849.jpg"/>
    <n v="30"/>
    <n v="7"/>
    <n v="2026"/>
    <s v="30-2026"/>
    <s v="No subido"/>
    <m/>
    <m/>
    <s v="Punto duplicado y descartado (Av cra 15- Daniela Menasse)"/>
    <s v="Descartado"/>
    <n v="2"/>
    <s v="Duplicado"/>
    <m/>
    <m/>
    <m/>
    <m/>
    <m/>
    <m/>
    <m/>
    <m/>
  </r>
  <r>
    <n v="3687232"/>
    <x v="19"/>
    <m/>
    <d v="2026-07-24T00:00:00"/>
    <d v="2026-07-24T00:00:00"/>
    <d v="1899-12-30T17:22:00"/>
    <n v="2026"/>
    <s v="07"/>
    <s v="Enviado"/>
    <s v="Oxxo Altamar"/>
    <m/>
    <s v="Centro"/>
    <s v="Bogotá"/>
    <s v="Cra91#127c25"/>
    <s v="PEDRO MORENO SUAREZ"/>
    <s v="https://maps.app.goo.gl/PxTZKoG3Fzs2hRSV6?g_st=ac"/>
    <s v="Hogar"/>
    <s v="Zona Comercial"/>
    <n v="3142715094"/>
    <s v="No aplica"/>
    <s v="Foto: https://oxxo-colombia.oneapp.cl/static/img/Respuesta/63235704/1cbcf88bc193677f42e920ff2e2cedc4.jpg"/>
    <n v="30"/>
    <n v="7"/>
    <n v="2026"/>
    <s v="30-2026"/>
    <s v="Subido"/>
    <m/>
    <m/>
    <m/>
    <s v="Descartado"/>
    <n v="2"/>
    <s v="Variables de éxito"/>
    <s v="Jonathan Aguirre"/>
    <m/>
    <m/>
    <m/>
    <m/>
    <m/>
    <m/>
    <m/>
  </r>
  <r>
    <n v="3687233"/>
    <x v="26"/>
    <s v="ana.gonzalez@oxxo.com"/>
    <d v="2026-07-24T00:00:00"/>
    <d v="2026-07-24T00:00:00"/>
    <d v="1899-12-30T17:28:00"/>
    <n v="2026"/>
    <s v="07"/>
    <s v="Enviado"/>
    <s v="Carrera 15 -116"/>
    <m/>
    <s v="Centro"/>
    <s v="Bogotá"/>
    <m/>
    <s v="PEDRO MORENO SUAREZ"/>
    <s v="https://maps.app.goo.gl/8mb4UcCPc2SYD4bm7"/>
    <s v="Base"/>
    <s v="Zona Comercial"/>
    <s v="3204994000 - 3229007098"/>
    <s v="No aplica"/>
    <s v="Foto: https://oxxo-colombia.oneapp.cl/static/img/Respuesta/63235758/c10391636aa52d896f9c53fc97b340ed.jpg"/>
    <n v="30"/>
    <n v="7"/>
    <n v="2026"/>
    <s v="30-2026"/>
    <s v="Subido"/>
    <m/>
    <m/>
    <m/>
    <s v="Aprobado"/>
    <n v="2"/>
    <m/>
    <s v="Cristian Herrera"/>
    <s v="Martha Lopez"/>
    <d v="2026-08-03T00:00:00"/>
    <m/>
    <m/>
    <m/>
    <m/>
    <m/>
  </r>
  <r>
    <n v="3687238"/>
    <x v="19"/>
    <m/>
    <d v="2026-07-24T00:00:00"/>
    <d v="2026-07-24T00:00:00"/>
    <d v="1899-12-30T17:34:00"/>
    <n v="2026"/>
    <s v="07"/>
    <s v="Enviado"/>
    <s v="Cerros de suba"/>
    <m/>
    <s v="Centro"/>
    <s v="Bogotá"/>
    <m/>
    <s v="PEDRO MORENO SUAREZ"/>
    <s v="https://maps.app.goo.gl/FtHvRa2r8ixdKF4D6?g_st=ac"/>
    <s v="Hogar"/>
    <s v="Zona Residencial"/>
    <s v="601 7042160"/>
    <s v="Cerrosdesubaph@gmail.com"/>
    <s v="Foto: https://oxxo-colombia.oneapp.cl/static/img/Respuesta/63235871/7145912e4d14bfd5caa7936f3a4fec12.jpg"/>
    <n v="30"/>
    <n v="7"/>
    <n v="2026"/>
    <s v="30-2026"/>
    <s v="Subido"/>
    <m/>
    <m/>
    <m/>
    <s v="Aprobado"/>
    <n v="2"/>
    <m/>
    <s v="Stefanny Prieto"/>
    <s v="Martha Lopez"/>
    <d v="2026-07-31T00:00:00"/>
    <m/>
    <m/>
    <m/>
    <m/>
    <m/>
  </r>
  <r>
    <n v="3687240"/>
    <x v="27"/>
    <s v="omar.beltrannovoa@oxxo.com"/>
    <d v="2026-07-24T00:00:00"/>
    <d v="2026-07-24T00:00:00"/>
    <d v="1899-12-30T17:35:00"/>
    <n v="2026"/>
    <s v="07"/>
    <s v="Enviado"/>
    <s v="Fontibón la Cabaña"/>
    <m/>
    <s v="Centro"/>
    <s v="Bogotá"/>
    <m/>
    <s v="JUAN QUIROGA"/>
    <s v="https://maps.app.goo.gl/SZ1jnkoZu5dSkpNk6"/>
    <s v="Hogar"/>
    <s v="Zona Industrial"/>
    <s v="Nixon Rojas"/>
    <s v="nixon1869@gmail.com"/>
    <s v="Foto: https://oxxo-colombia.oneapp.cl/static/img/Respuesta/63235847/6b506c7cab4e01f44d9398d3f2f8e012.jpg"/>
    <n v="30"/>
    <n v="7"/>
    <n v="2026"/>
    <s v="30-2026"/>
    <s v="Subido"/>
    <m/>
    <m/>
    <m/>
    <s v="Aprobado"/>
    <n v="2"/>
    <m/>
    <s v="Cristian Herrera"/>
    <s v="Carlos Bolaños"/>
    <d v="2026-07-30T00:00:00"/>
    <m/>
    <m/>
    <m/>
    <m/>
    <m/>
  </r>
  <r>
    <n v="3687244"/>
    <x v="26"/>
    <s v="ana.gonzalez@oxxo.com"/>
    <d v="2026-07-24T00:00:00"/>
    <d v="2026-07-24T00:00:00"/>
    <d v="1899-12-30T17:45:00"/>
    <n v="2026"/>
    <s v="07"/>
    <s v="Enviado"/>
    <s v="116 con 16"/>
    <m/>
    <s v="Centro"/>
    <s v="Bogotá"/>
    <m/>
    <s v="PEDRO MORENO SUAREZ"/>
    <s v="https://maps.app.goo.gl/We16jmS8NyUGf58B9?g_st=ac"/>
    <s v="Base"/>
    <s v="Zona Comercial"/>
    <n v="3105726862"/>
    <s v="No aplica"/>
    <s v="Foto: https://oxxo-colombia.oneapp.cl/static/img/Respuesta/63236023/ac75ede8715a9f362f4a8edbdac1b1ba.jpg"/>
    <n v="30"/>
    <n v="7"/>
    <n v="2026"/>
    <s v="30-2026"/>
    <s v="Subido"/>
    <m/>
    <m/>
    <m/>
    <s v="Descartado"/>
    <n v="2"/>
    <s v="Área/Propuesta de valor"/>
    <m/>
    <m/>
    <m/>
    <m/>
    <m/>
    <m/>
    <m/>
    <m/>
  </r>
  <r>
    <n v="3687254"/>
    <x v="17"/>
    <s v="diana.becerramelo@oxxo.com"/>
    <d v="2026-07-24T00:00:00"/>
    <d v="2026-07-24T00:00:00"/>
    <d v="1899-12-30T17:48:00"/>
    <n v="2026"/>
    <s v="07"/>
    <s v="Enviado"/>
    <s v="Santa Helena cr 80"/>
    <s v="Santa Real 80"/>
    <s v="Centro"/>
    <s v="Bogotá"/>
    <s v="Cr 80 no 71 14"/>
    <s v="JUAN QUIROGA"/>
    <s v="https://maps.app.goo.gl/5mWFmMDmeqUZdebx5?g_st=ac"/>
    <s v="Base"/>
    <s v="Zona Comercial"/>
    <n v="3154720372"/>
    <s v="No se tiene"/>
    <s v="Foto: https://oxxo-colombia.oneapp.cl/static/img/Respuesta/63236045/61f38cb8a2537eb126a93f4752a4f3cf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87255"/>
    <x v="17"/>
    <s v="diana.becerramelo@oxxo.com"/>
    <d v="2026-07-24T00:00:00"/>
    <d v="2026-07-24T00:00:00"/>
    <d v="1899-12-30T17:52:00"/>
    <n v="2026"/>
    <s v="07"/>
    <s v="Enviado"/>
    <s v="Av cali 46 sur"/>
    <m/>
    <s v="Centro"/>
    <s v="Bogotá"/>
    <s v="Av cali no 43 sur 46"/>
    <s v="JUAN QUIROGA"/>
    <s v="https://maps.app.goo.gl/PMevYe65TjPxJGpC6?g_st=ac"/>
    <s v="Hogar"/>
    <s v="Zona de Transporte Público"/>
    <n v="3142935162"/>
    <s v="Sin correo"/>
    <s v="Foto: https://oxxo-colombia.oneapp.cl/static/img/Respuesta/63236068/c868ccb2be43c2d4111c12a827094da7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87264"/>
    <x v="12"/>
    <s v="brayan.mogollon@oxxo.com"/>
    <d v="2026-07-24T00:00:00"/>
    <d v="2026-07-24T00:00:00"/>
    <d v="1899-12-30T18:11:00"/>
    <n v="2026"/>
    <s v="07"/>
    <s v="Enviado"/>
    <s v="Calle 72"/>
    <m/>
    <s v="Centro"/>
    <s v="Bogotá"/>
    <m/>
    <s v="JUAN QUIROGA"/>
    <s v="https://maps.app.goo.gl/HzUx1Jk4129XH5uB8"/>
    <s v="Hogar"/>
    <s v="Zona Comercial"/>
    <n v="3115734621"/>
    <n v="3115734621"/>
    <s v="Foto: https://oxxo-colombia.oneapp.cl/static/img/Respuesta/63236267/086de637da14c4093d2c2bbe9e337aab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90383"/>
    <x v="26"/>
    <s v="ana.gonzalez@oxxo.com"/>
    <d v="2026-07-25T00:00:00"/>
    <d v="2026-07-25T00:00:00"/>
    <d v="1899-12-30T09:09:00"/>
    <n v="2026"/>
    <s v="07"/>
    <s v="Enviado"/>
    <s v="Vasquez Cobos (Cali)"/>
    <m/>
    <s v="Nororiente"/>
    <s v="Valle"/>
    <s v="Avenida 2 B Norte # 25 N 15"/>
    <s v="YESENIA ARIZTIZABAL ALZATE"/>
    <s v="https://maps.app.goo.gl/7u7woAW25HSBe6hF7"/>
    <s v="Receso"/>
    <s v="Hospitales/ Clinícas"/>
    <n v="3184196150"/>
    <s v="No aplica"/>
    <s v="Foto: https://oxxo-colombia.oneapp.cl/static/img/Respuesta/63283434/7cc75b63444a0be61f41df29f8e2f7fe.jpg"/>
    <n v="30"/>
    <n v="7"/>
    <n v="2026"/>
    <s v="30-2026"/>
    <s v="Subido"/>
    <m/>
    <m/>
    <m/>
    <s v="Pendiente aprob"/>
    <n v="2"/>
    <m/>
    <s v="Jonathan Aguirre"/>
    <m/>
    <m/>
    <m/>
    <m/>
    <m/>
    <m/>
    <m/>
  </r>
  <r>
    <n v="3690504"/>
    <x v="28"/>
    <s v="oscar.ramirez@oxxo.com"/>
    <d v="2026-07-25T00:00:00"/>
    <d v="2026-07-25T00:00:00"/>
    <d v="1899-12-30T13:31:00"/>
    <n v="2026"/>
    <s v="07"/>
    <s v="Enviado"/>
    <s v="Oxxo Venecia"/>
    <s v="Claret 45 sur"/>
    <s v="Centro"/>
    <s v="Bogotá"/>
    <s v="Diagonal 45 sur # 53-26"/>
    <s v="JUAN QUIROGA"/>
    <s v="https://waze.com/ul?a=share_drive&amp;locale=en&amp;sd=8V1N9lyGxeYy2cyyFQ-sd&amp;env=row&amp;utm_source=waze_app&amp;utm_campaign=share_drive"/>
    <s v="Base"/>
    <s v="Zona Comercial"/>
    <n v="3142980570"/>
    <s v="No aplica"/>
    <s v="Foto: https://oxxo-colombia.oneapp.cl/static/img/Respuesta/63290615/fe38ff36a53c7b1ce4c348c31beafeea.jpg"/>
    <n v="30"/>
    <n v="7"/>
    <n v="2026"/>
    <s v="30-2026"/>
    <s v="Subido"/>
    <m/>
    <m/>
    <m/>
    <s v="Aprobado"/>
    <n v="2"/>
    <m/>
    <s v="Cristian Herrera"/>
    <s v="ALEJANDRA ROJAS ROMERO"/>
    <d v="2026-07-30T00:00:00"/>
    <m/>
    <m/>
    <m/>
    <m/>
    <m/>
  </r>
  <r>
    <n v="3690509"/>
    <x v="29"/>
    <s v="fabian.cardozo@oxxo.com"/>
    <d v="2026-07-25T00:00:00"/>
    <d v="2026-07-25T00:00:00"/>
    <d v="1899-12-30T13:52:00"/>
    <n v="2026"/>
    <s v="07"/>
    <s v="Enviado"/>
    <s v="Bochalema plaza"/>
    <m/>
    <s v="Occidente"/>
    <s v="Valle"/>
    <s v="Calle 25 -109, vía jamundi cali"/>
    <s v="YESENIA ARIZTIZABAL ALZATE"/>
    <s v="https://maps.app.goo.gl/xLtFdzwmwgZb9LkR8?g_st=ac"/>
    <s v="Base"/>
    <s v="Zona Residencial"/>
    <n v="3214953993"/>
    <m/>
    <s v="Foto: https://oxxo-colombia.oneapp.cl/static/img/Respuesta/63291098/925b5afb34e9d861486cda56304edf36.jpg"/>
    <n v="30"/>
    <n v="7"/>
    <n v="2026"/>
    <s v="30-2026"/>
    <s v="Subido"/>
    <m/>
    <m/>
    <m/>
    <s v="Aprobado"/>
    <n v="2"/>
    <m/>
    <s v="Cristian Herrera"/>
    <m/>
    <m/>
    <m/>
    <m/>
    <m/>
    <m/>
    <m/>
  </r>
  <r>
    <n v="3690581"/>
    <x v="17"/>
    <s v="diana.becerramelo@oxxo.com"/>
    <d v="2026-07-25T00:00:00"/>
    <d v="2026-07-25T00:00:00"/>
    <d v="1899-12-30T18:06:00"/>
    <n v="2026"/>
    <s v="07"/>
    <s v="Enviado"/>
    <s v="Eds Calle 45"/>
    <m/>
    <s v="Centro"/>
    <s v="Bogotá"/>
    <s v="Av quito (cr 30) con cr 45"/>
    <s v="JUAN QUIROGA"/>
    <s v="https://maps.app.goo.gl/MUSPvnJZHx1MypYo7?g_st=ac"/>
    <s v="Receso"/>
    <s v="Centros Educativos"/>
    <n v="3176427845"/>
    <s v="No tiene"/>
    <s v="Foto: https://oxxo-colombia.oneapp.cl/static/img/Respuesta/63293537/48e2c5117bc1a0a0052f685f2e7aa552.jpg"/>
    <n v="30"/>
    <n v="7"/>
    <n v="2026"/>
    <s v="30-2026"/>
    <s v="Subido"/>
    <m/>
    <m/>
    <m/>
    <s v="Aprobado"/>
    <n v="2"/>
    <m/>
    <s v="Stefanny Prieto"/>
    <s v="JAIME GUTIERREZ"/>
    <d v="2026-07-31T00:00:00"/>
    <m/>
    <m/>
    <m/>
    <m/>
    <s v="Especialista comenta que hace un tiempo llego y fue negado"/>
  </r>
  <r>
    <n v="3690583"/>
    <x v="17"/>
    <s v="diana.becerramelo@oxxo.com"/>
    <d v="2026-07-25T00:00:00"/>
    <d v="2026-07-25T00:00:00"/>
    <d v="1899-12-30T18:13:00"/>
    <n v="2026"/>
    <s v="07"/>
    <s v="Enviado"/>
    <s v="Sanfernando72"/>
    <m/>
    <s v="Centro"/>
    <s v="Bogotá"/>
    <s v="Calle 7269b 42"/>
    <s v="JUAN QUIROGA"/>
    <s v="https://maps.app.goo.gl/j5WYVr4kxC7cGkAD7?g_st=ac"/>
    <s v="Base"/>
    <s v="Zona Comercial"/>
    <n v="3125357136"/>
    <s v="No tiene"/>
    <s v="Foto: https://oxxo-colombia.oneapp.cl/static/img/Respuesta/63293647/9188c0495b21b3c3d21ec7a66cbd5560.jpg"/>
    <n v="30"/>
    <n v="7"/>
    <n v="2026"/>
    <s v="30-2026"/>
    <s v="Subido"/>
    <m/>
    <m/>
    <m/>
    <s v="Aprobado"/>
    <n v="2"/>
    <m/>
    <s v="Stefanny Prieto"/>
    <s v="Lina Diaz"/>
    <d v="2026-07-30T00:00:00"/>
    <m/>
    <m/>
    <m/>
    <m/>
    <m/>
  </r>
  <r>
    <n v="3690591"/>
    <x v="17"/>
    <s v="diana.becerramelo@oxxo.com"/>
    <d v="2026-07-25T00:00:00"/>
    <d v="2026-07-25T00:00:00"/>
    <d v="1899-12-30T18:22:00"/>
    <n v="2026"/>
    <s v="07"/>
    <s v="Enviado"/>
    <s v="Española 76"/>
    <m/>
    <s v="Centro"/>
    <s v="Bogotá"/>
    <s v="Trans v 76 83a 83"/>
    <s v="JUAN QUIROGA"/>
    <s v="https://maps.app.goo.gl/qQ9pDY39yvugjvXw6?g_st=ac"/>
    <s v="Hogar"/>
    <s v="Zona Residencial"/>
    <n v="3118918691"/>
    <s v="No tiene"/>
    <s v="Foto: https://oxxo-colombia.oneapp.cl/static/img/Respuesta/63293713/30ff14b7ee68ac494983b41968add7a0.jpg"/>
    <n v="30"/>
    <n v="7"/>
    <n v="2026"/>
    <s v="30-2026"/>
    <s v="Subido"/>
    <m/>
    <m/>
    <m/>
    <s v="Descartado"/>
    <n v="2"/>
    <s v="Variables de éxito"/>
    <s v="Stefanny Prieto"/>
    <m/>
    <m/>
    <m/>
    <m/>
    <m/>
    <m/>
    <m/>
  </r>
  <r>
    <n v="3690617"/>
    <x v="16"/>
    <s v="dany.ospina@oxxo.com"/>
    <d v="2026-07-25T00:00:00"/>
    <d v="2026-07-25T00:00:00"/>
    <d v="1899-12-30T19:27:00"/>
    <n v="2026"/>
    <s v="07"/>
    <s v="Enviado"/>
    <s v="Nuestro cartago"/>
    <m/>
    <s v="Occidente"/>
    <s v="Valle"/>
    <s v="Centro comercial nuestro cartago local 101 abc"/>
    <s v="YESENIA ARIZTIZABAL ALZATE"/>
    <s v="https://maps.app.goo.gl/nQ6xyUovd2K1PQVV8"/>
    <s v="Base"/>
    <s v="Zona Comercial"/>
    <n v="3178928902"/>
    <s v="Centro comercial nuestro"/>
    <s v="Foto: https://oxxo-colombia.oneapp.cl/static/img/Respuesta/63294087/8e132cc7d7522521b5f96d14bd4e2184.jpg"/>
    <n v="30"/>
    <n v="7"/>
    <n v="2026"/>
    <s v="30-2026"/>
    <s v="Subido"/>
    <m/>
    <m/>
    <m/>
    <s v="Pendiente aprob"/>
    <n v="2"/>
    <m/>
    <s v="Cristian Herrera"/>
    <m/>
    <m/>
    <m/>
    <m/>
    <m/>
    <m/>
    <m/>
  </r>
  <r>
    <n v="3690627"/>
    <x v="16"/>
    <s v="dany.ospina@oxxo.com"/>
    <d v="2026-07-25T00:00:00"/>
    <d v="2026-07-25T00:00:00"/>
    <d v="1899-12-30T20:57:00"/>
    <n v="2026"/>
    <s v="07"/>
    <s v="Enviado"/>
    <s v="Cascabel cartago"/>
    <m/>
    <s v="Occidente"/>
    <s v="Valle"/>
    <s v="Carrera 2 28-173 cartago valle"/>
    <s v="YESENIA ARIZTIZABAL ALZATE"/>
    <s v="https://maps.app.goo.gl/fo9rHJK6f2fgyKv67?g_st=ac"/>
    <s v="Hogar"/>
    <s v="Zona Residencial"/>
    <s v="Laura Rodriguez 3137283885"/>
    <s v="No correo"/>
    <s v="Foto: https://oxxo-colombia.oneapp.cl/static/img/Respuesta/63294600/7253b93995d8241c71ecc67ada873de3.jpg"/>
    <n v="30"/>
    <n v="7"/>
    <n v="2026"/>
    <s v="30-2026"/>
    <s v="Subido"/>
    <m/>
    <m/>
    <m/>
    <s v="Pendiente aprob"/>
    <n v="2"/>
    <m/>
    <s v="Stefanny Prieto"/>
    <m/>
    <m/>
    <m/>
    <m/>
    <m/>
    <m/>
    <m/>
  </r>
  <r>
    <n v="3690630"/>
    <x v="16"/>
    <s v="dany.ospina@oxxo.com"/>
    <d v="2026-07-25T00:00:00"/>
    <d v="2026-07-25T00:00:00"/>
    <d v="1899-12-30T21:04:00"/>
    <n v="2026"/>
    <s v="07"/>
    <s v="Enviado"/>
    <s v="Cascabel 2"/>
    <m/>
    <s v="Occidente"/>
    <s v="Valle"/>
    <s v="Carrera 2 calle 25"/>
    <s v="YESENIA ARIZTIZABAL ALZATE"/>
    <s v="https://maps.app.goo.gl/DcaXAMLmX1ce6YETA?g_st=ac"/>
    <s v="Hogar"/>
    <s v="Zona Residencial"/>
    <s v="Laura rodriguez 3137283885"/>
    <s v="No tiene"/>
    <s v="Foto: https://oxxo-colombia.oneapp.cl/static/img/Respuesta/63294622/fccf04f93e0c28772b29a0162ac620e3.jpg"/>
    <n v="30"/>
    <n v="7"/>
    <n v="2026"/>
    <s v="30-2026"/>
    <s v="Subido"/>
    <m/>
    <m/>
    <m/>
    <s v="Pendiente aprob"/>
    <n v="2"/>
    <m/>
    <s v="Stefanny Prieto"/>
    <m/>
    <m/>
    <m/>
    <m/>
    <m/>
    <m/>
    <m/>
  </r>
  <r>
    <n v="3690631"/>
    <x v="16"/>
    <s v="dany.ospina@oxxo.com"/>
    <d v="2026-07-25T00:00:00"/>
    <d v="2026-07-25T00:00:00"/>
    <d v="1899-12-30T21:19:00"/>
    <n v="2026"/>
    <s v="07"/>
    <s v="Enviado"/>
    <s v="Parque Bolívar Cartago"/>
    <m/>
    <s v="Occidente"/>
    <s v="Eje Cafetero"/>
    <s v="Calle 12 4-20"/>
    <s v="YESENIA ARIZTIZABAL ALZATE"/>
    <s v="https://maps.app.goo.gl/b131Rb364e84ymVp7?g_st=ac"/>
    <s v="Base"/>
    <s v="Zona Comercial"/>
    <n v="3105050992"/>
    <s v="No tiene"/>
    <s v="Foto: https://oxxo-colombia.oneapp.cl/static/img/Respuesta/63294725/7a5a93d337453201c642d86559be42f6.jpg"/>
    <n v="30"/>
    <n v="7"/>
    <n v="2026"/>
    <s v="30-2026"/>
    <s v="Subido"/>
    <m/>
    <m/>
    <m/>
    <s v="Pendiente aprob"/>
    <n v="2"/>
    <m/>
    <s v="Jonathan Aguirre"/>
    <m/>
    <m/>
    <m/>
    <m/>
    <m/>
    <m/>
    <m/>
  </r>
  <r>
    <n v="3693642"/>
    <x v="24"/>
    <s v="lorena.beltran@oxxo.com"/>
    <d v="2026-07-26T00:00:00"/>
    <d v="2026-07-26T00:00:00"/>
    <d v="1899-12-30T17:10:00"/>
    <n v="2026"/>
    <s v="07"/>
    <s v="Enviado"/>
    <s v="Filandia"/>
    <m/>
    <s v="Occidente"/>
    <s v="Eje Cafetero"/>
    <s v="Cra 5 # 7 - 42"/>
    <s v="YESENIA ARIZTIZABAL ALZATE"/>
    <s v="https://maps.app.goo.gl/DJBmRXqQasd2Vk147"/>
    <s v="Base"/>
    <s v="Zona Comercial"/>
    <n v="3122972656"/>
    <n v="3122972656"/>
    <s v="Foto: https://oxxo-colombia.oneapp.cl/static/img/Respuesta/63339353/7705c68cb3cdebfb03b58f15fa9ec0c1.jpg"/>
    <n v="31"/>
    <n v="7"/>
    <n v="2026"/>
    <s v="31-2026"/>
    <s v="Subido"/>
    <m/>
    <m/>
    <m/>
    <s v="Descartado"/>
    <n v="3"/>
    <s v="Variables de éxito"/>
    <s v="Stefanny Prieto"/>
    <m/>
    <m/>
    <m/>
    <m/>
    <m/>
    <m/>
    <m/>
  </r>
  <r>
    <n v="3696824"/>
    <x v="11"/>
    <s v="massiel.garzon@oxxo.com"/>
    <d v="2026-07-27T00:00:00"/>
    <d v="2026-07-27T00:00:00"/>
    <d v="1899-12-30T10:02:00"/>
    <n v="2026"/>
    <s v="07"/>
    <s v="Enviado"/>
    <s v="Parkway 116 "/>
    <m/>
    <s v="Centro"/>
    <s v="Bogotá"/>
    <s v="Calle 116 n 17 13"/>
    <s v="PEDRO MORENO SUAREZ"/>
    <s v="https://maps.app.goo.gl/zSQCn9i6jww5XLox7?g_st=aw"/>
    <s v="Receso"/>
    <s v="Zona Comercial"/>
    <s v="6014256000 Recepción de challenguer. Ellos dan los datos del arrendador"/>
    <s v="N/A"/>
    <s v="Foto: https://oxxo-colombia.oneapp.cl/static/img/Respuesta/63387714/f124d584558a775b084329f8f42f49cf.jpg"/>
    <n v="31"/>
    <n v="7"/>
    <n v="2026"/>
    <s v="31-2026"/>
    <s v="Subido"/>
    <m/>
    <m/>
    <m/>
    <s v="Aprobado"/>
    <n v="3"/>
    <m/>
    <s v="Stefanny Prieto"/>
    <s v="ELVIA JAIMES"/>
    <d v="2026-07-30T00:00:00"/>
    <m/>
    <m/>
    <m/>
    <m/>
    <m/>
  </r>
  <r>
    <n v="3696844"/>
    <x v="11"/>
    <s v="massiel.garzon@oxxo.com"/>
    <d v="2026-07-27T00:00:00"/>
    <d v="2026-07-27T00:00:00"/>
    <d v="1899-12-30T10:13:00"/>
    <n v="2026"/>
    <s v="07"/>
    <s v="Enviado"/>
    <s v="Absolut 123"/>
    <m/>
    <s v="Centro"/>
    <s v="Bogotá"/>
    <s v="Av cr 19 no 123 82"/>
    <s v="PEDRO MORENO SUAREZ"/>
    <s v="https://maps.app.goo.gl/AhW911b84Yas6EB19?g_st=aw"/>
    <s v="Receso"/>
    <s v="Zona Comercial"/>
    <s v="3023199009 3106137457"/>
    <s v="N/A"/>
    <s v="Foto: https://oxxo-colombia.oneapp.cl/static/img/Respuesta/63388027/680b1b6f582e2dd2d7445085ee62dc31.jpg"/>
    <n v="31"/>
    <n v="7"/>
    <n v="2026"/>
    <s v="31-2026"/>
    <s v="Subido"/>
    <m/>
    <m/>
    <m/>
    <s v="Descartado"/>
    <n v="3"/>
    <s v="Variables de éxito"/>
    <s v="Stefanny Prieto"/>
    <m/>
    <m/>
    <m/>
    <m/>
    <m/>
    <m/>
    <m/>
  </r>
  <r>
    <n v="3696848"/>
    <x v="11"/>
    <s v="massiel.garzon@oxxo.com"/>
    <d v="2026-07-27T00:00:00"/>
    <d v="2026-07-27T00:00:00"/>
    <d v="1899-12-30T10:20:00"/>
    <n v="2026"/>
    <s v="07"/>
    <s v="Enviado"/>
    <s v="Atabanza 2"/>
    <s v="Callejas 53"/>
    <s v="Centro"/>
    <s v="Bogotá"/>
    <s v="Cr 53 a 127 27"/>
    <s v="PEDRO MORENO SUAREZ"/>
    <s v="https://maps.app.goo.gl/W19H25CexMXZWCyc8?g_st=aw"/>
    <s v="Base"/>
    <s v="Zona Residencial"/>
    <s v="Resident 3112072457"/>
    <s v="N/A"/>
    <s v="Foto: https://oxxo-colombia.oneapp.cl/static/img/Respuesta/63388253/8450c81c64856218bb75aca92028cb1f.jpg"/>
    <n v="31"/>
    <n v="7"/>
    <n v="2026"/>
    <s v="31-2026"/>
    <s v="Subido"/>
    <m/>
    <m/>
    <m/>
    <s v="Descartado"/>
    <n v="3"/>
    <s v="Canibalización "/>
    <s v="Cristian Herrera"/>
    <m/>
    <m/>
    <m/>
    <m/>
    <m/>
    <m/>
    <m/>
  </r>
  <r>
    <n v="3696850"/>
    <x v="11"/>
    <s v="massiel.garzon@oxxo.com"/>
    <d v="2026-07-27T00:00:00"/>
    <d v="2026-07-27T00:00:00"/>
    <d v="1899-12-30T10:25:00"/>
    <n v="2026"/>
    <s v="07"/>
    <s v="Enviado"/>
    <s v="Indigo 116"/>
    <m/>
    <s v="Centro"/>
    <s v="Bogotá"/>
    <s v="Calle 116 n 16 78"/>
    <s v="PEDRO MORENO SUAREZ"/>
    <s v="https://maps.app.goo.gl/YQ3EaDo6RE4ZJ3wy8?g_st=aw"/>
    <s v="Base"/>
    <s v="Zona Comercial"/>
    <n v="3105726862"/>
    <s v="N/A"/>
    <s v="Foto : https://oxxo-colombia.oneapp.cl/static/img/Respuesta/63388428/172038a89dc04695c868088d514e5543.jpg"/>
    <n v="31"/>
    <n v="7"/>
    <n v="2026"/>
    <s v="31-2026"/>
    <s v="No subido"/>
    <m/>
    <m/>
    <s v="Descartado por punto duplicado (116 con 16- Milena Gonzalez)"/>
    <s v="Descartado"/>
    <n v="3"/>
    <s v="Duplicado"/>
    <s v="Jonathan Aguirre"/>
    <m/>
    <m/>
    <m/>
    <m/>
    <m/>
    <m/>
    <m/>
  </r>
  <r>
    <n v="3696960"/>
    <x v="19"/>
    <m/>
    <d v="2026-07-27T00:00:00"/>
    <d v="2026-07-27T00:00:00"/>
    <d v="1899-12-30T12:21:00"/>
    <n v="2026"/>
    <s v="07"/>
    <s v="Enviado"/>
    <s v="Gaviria"/>
    <m/>
    <s v="Centro"/>
    <s v="Bogotá"/>
    <s v="Ak 15 #93-99 a 93-21, Bogotá"/>
    <s v="PEDRO MORENO SUAREZ"/>
    <s v="https://maps.app.goo.gl/2ZJ6y54pUYk9vjcF6?g_st=ac"/>
    <s v="Base"/>
    <s v="Zona Industrial"/>
    <n v="3102275656"/>
    <s v="a.arias@naigaviria.com"/>
    <s v="Foto: https://oxxo-colombia.oneapp.cl/static/img/Respuesta/63393109/ef98d3e838bb69e0a3158b1069057235.jpg"/>
    <n v="31"/>
    <n v="7"/>
    <n v="2026"/>
    <s v="31-2026"/>
    <s v="Subido"/>
    <m/>
    <m/>
    <m/>
    <s v="Descartado"/>
    <n v="3"/>
    <s v="Canibalización "/>
    <s v="Jonathan Aguirre"/>
    <m/>
    <m/>
    <m/>
    <m/>
    <m/>
    <m/>
    <m/>
  </r>
  <r>
    <n v="3696961"/>
    <x v="19"/>
    <m/>
    <d v="2026-07-27T00:00:00"/>
    <d v="2026-07-27T00:00:00"/>
    <d v="1899-12-30T12:26:00"/>
    <n v="2026"/>
    <s v="07"/>
    <s v="Enviado"/>
    <s v="Oxxo Spid"/>
    <m/>
    <s v="Centro"/>
    <s v="Bogotá"/>
    <s v="Ak 15 #93-53, Bogotá"/>
    <s v="PEDRO MORENO SUAREZ"/>
    <s v="https://maps.app.goo.gl/8ydjruyoHP8sGb538"/>
    <s v="Base"/>
    <s v="Zona Comercial"/>
    <n v="3330334242"/>
    <s v="a.arias@naigaviria.com"/>
    <s v="Foto: https://oxxo-colombia.oneapp.cl/static/img/Respuesta/63393355/30fd5d94d97855af9d13c23b09032a59.jpg"/>
    <n v="31"/>
    <n v="7"/>
    <n v="2026"/>
    <s v="31-2026"/>
    <s v="Subido"/>
    <m/>
    <m/>
    <m/>
    <s v="Descartado"/>
    <n v="3"/>
    <s v="Variables de éxito"/>
    <s v="Stefanny Prieto"/>
    <m/>
    <m/>
    <m/>
    <m/>
    <m/>
    <m/>
    <m/>
  </r>
  <r>
    <n v="3696979"/>
    <x v="19"/>
    <m/>
    <d v="2026-07-27T00:00:00"/>
    <d v="2026-07-27T00:00:00"/>
    <d v="1899-12-30T12:49:00"/>
    <n v="2026"/>
    <s v="07"/>
    <s v="Enviado"/>
    <s v="Calle 94"/>
    <m/>
    <s v="Centro"/>
    <s v="Bogotá"/>
    <s v="Cr 11A#94-12"/>
    <s v="PEDRO MORENO SUAREZ"/>
    <s v="https://maps.app.goo.gl/WCjMYbsnnYidbw3m6?g_st=ac"/>
    <s v="Receso"/>
    <s v="Zona Residencial"/>
    <n v="3176606271"/>
    <s v="."/>
    <s v="Foto: https://oxxo-colombia.oneapp.cl/static/img/Respuesta/63394453/4ce43c6a140a896060f568d78a9c6b47.jpg"/>
    <n v="31"/>
    <n v="7"/>
    <n v="2026"/>
    <s v="31-2026"/>
    <s v="Subido"/>
    <m/>
    <m/>
    <m/>
    <s v="Aprobado"/>
    <n v="3"/>
    <m/>
    <s v="Cristian Herrera"/>
    <s v="JAIME GUTIERREZ"/>
    <d v="2026-07-30T00:00:00"/>
    <m/>
    <m/>
    <m/>
    <m/>
    <m/>
  </r>
  <r>
    <n v="3696981"/>
    <x v="19"/>
    <m/>
    <d v="2026-07-27T00:00:00"/>
    <d v="2026-07-27T00:00:00"/>
    <d v="1899-12-30T12:53:00"/>
    <n v="2026"/>
    <s v="07"/>
    <s v="Enviado"/>
    <s v="CENTER 94"/>
    <m/>
    <s v="Centro"/>
    <s v="Bogotá"/>
    <s v="Cra 11a#94-45"/>
    <s v="PEDRO MORENO SUAREZ"/>
    <s v="https://maps.app.goo.gl/H38s6ufbLT2AYCts9?g_st=ac"/>
    <s v="Receso"/>
    <s v="Zona Comercial"/>
    <n v="3125370241"/>
    <s v="."/>
    <s v="Foto: https://oxxo-colombia.oneapp.cl/static/img/Respuesta/63394569/5e176010cd3a3d3e5cef11dfd46a4adc.jpg"/>
    <n v="31"/>
    <n v="7"/>
    <n v="2026"/>
    <s v="31-2026"/>
    <s v="Subido"/>
    <m/>
    <m/>
    <m/>
    <s v="Descartado"/>
    <n v="3"/>
    <s v="Variables de éxito"/>
    <s v="Jonathan Aguirre"/>
    <m/>
    <m/>
    <m/>
    <m/>
    <m/>
    <m/>
    <m/>
  </r>
  <r>
    <n v="3697115"/>
    <x v="30"/>
    <s v="luis.rodelob@oxxo.com"/>
    <d v="2026-07-27T00:00:00"/>
    <d v="2026-07-27T00:00:00"/>
    <d v="1899-12-30T16:47:00"/>
    <n v="2026"/>
    <s v="07"/>
    <s v="Enviado"/>
    <s v="Betania"/>
    <m/>
    <s v="Centro"/>
    <s v="Bogotá"/>
    <s v="Calle 51 sur # 86A -83"/>
    <s v="JUAN QUIROGA"/>
    <s v="https://maps.app.goo.gl/k1gwEEtxGUx6kpUJA"/>
    <s v="Receso"/>
    <s v="Zona Comercial"/>
    <n v="3123972027"/>
    <s v="Josewilliam071313@gmail.com"/>
    <s v="Foto: https://oxxo-colombia.oneapp.cl/static/img/Respuesta/63401994/a2d2c202bcad290c05f7064100e1b996.jpg"/>
    <n v="31"/>
    <n v="7"/>
    <n v="2026"/>
    <s v="31-2026"/>
    <s v="Subido"/>
    <m/>
    <m/>
    <m/>
    <s v="Descartado"/>
    <n v="3"/>
    <s v="Variables de éxito"/>
    <s v="Jonathan Aguirre"/>
    <m/>
    <m/>
    <m/>
    <m/>
    <m/>
    <m/>
    <m/>
  </r>
  <r>
    <n v="3696742"/>
    <x v="17"/>
    <s v="diana.becerramelo@oxxo.com"/>
    <d v="2026-07-27T00:00:00"/>
    <d v="2026-07-27T00:00:00"/>
    <d v="1899-12-30T08:10:00"/>
    <n v="2026"/>
    <s v="07"/>
    <s v="Enviado"/>
    <s v="Carrera 50"/>
    <m/>
    <s v="Centro"/>
    <s v="Bogotá"/>
    <s v="Cr 50 18 a 15"/>
    <s v="JUAN QUIROGA"/>
    <s v="https://maps.app.goo.gl/xWHbEcBVLLShy7rY8"/>
    <s v="Base"/>
    <s v="Zona Comercial"/>
    <s v="3507055002 Henry zapata"/>
    <s v="Abogadohzf@gmail.com"/>
    <s v="Foto: https://oxxo-colombia.oneapp.cl/static/img/Respuesta/63380340/dd79b6fe5bba15fc123c186fe236a1da.jpg"/>
    <n v="31"/>
    <n v="7"/>
    <n v="2026"/>
    <s v="31-2026"/>
    <s v="Subido"/>
    <s v="4.632029931030604, -74.10366461404"/>
    <m/>
    <m/>
    <s v="Aprobado"/>
    <n v="3"/>
    <m/>
    <s v="Cristian Herrera"/>
    <s v="ELVIA JAIMES"/>
    <d v="2026-07-30T00:00:00"/>
    <m/>
    <m/>
    <m/>
    <m/>
    <m/>
  </r>
  <r>
    <n v="3697029"/>
    <x v="1"/>
    <s v="katerin.diaz@oxxo.com"/>
    <d v="2026-07-27T00:00:00"/>
    <d v="2026-07-27T00:00:00"/>
    <d v="1899-12-30T14:35:00"/>
    <n v="2026"/>
    <s v="07"/>
    <s v="Enviado"/>
    <s v="9na Cedritos"/>
    <m/>
    <s v="Centro"/>
    <s v="Bogotá"/>
    <s v="Cra 9 #145-84"/>
    <s v="PEDRO MORENO SUAREZ"/>
    <s v="https://maps.app.goo.gl/9gHjCQ8JNhUSZAr89"/>
    <s v="Base"/>
    <s v="Zona Residencial"/>
    <n v="3005546100"/>
    <m/>
    <s v="Foto: https://oxxo-colombia.oneapp.cl/static/img/Respuesta/63397732/f30122521ce1f02acb830415f1166331.jpg"/>
    <n v="31"/>
    <n v="7"/>
    <n v="2026"/>
    <s v="31-2026"/>
    <s v="Subido"/>
    <s v="4.72384009350718, -74.03209848668541"/>
    <m/>
    <m/>
    <s v="Aprobado"/>
    <n v="3"/>
    <m/>
    <s v="Stefanny Prieto"/>
    <s v="Jenny Acuña"/>
    <d v="2026-07-31T00:00:00"/>
    <m/>
    <m/>
    <m/>
    <m/>
    <m/>
  </r>
  <r>
    <n v="3697093"/>
    <x v="26"/>
    <s v="ana.gonzalez@oxxo.com"/>
    <d v="2026-07-27T00:00:00"/>
    <d v="2026-07-27T00:00:00"/>
    <d v="1899-12-30T16:00:00"/>
    <n v="2026"/>
    <s v="07"/>
    <s v="Enviado"/>
    <s v="Castellana carrera 30"/>
    <m/>
    <s v="Centro"/>
    <s v="Bogotá"/>
    <s v="Avenida Carrera 30 # 86-47"/>
    <s v="PEDRO MORENO SUAREZ"/>
    <s v="https://maps.app.goo.gl/9be5Sa4knHdePcCg7"/>
    <s v="Base"/>
    <s v="Zona de Transporte Público"/>
    <n v="3203854343"/>
    <s v="No qplica"/>
    <s v="Foto: https://oxxo-colombia.oneapp.cl/static/img/Respuesta/63400250/fe4023da6d233af07cc9ae77e06bbf53.jpg"/>
    <n v="31"/>
    <n v="7"/>
    <n v="2026"/>
    <s v="31-2026"/>
    <s v="Subido"/>
    <s v="4.675686756913115, -74.0652372367865"/>
    <m/>
    <m/>
    <s v="Aprobado"/>
    <n v="3"/>
    <m/>
    <s v="Stefanny Prieto"/>
    <s v="Carlos Bolaños"/>
    <d v="2026-07-31T00:00:00"/>
    <m/>
    <m/>
    <m/>
    <m/>
    <m/>
  </r>
  <r>
    <n v="3702232"/>
    <x v="21"/>
    <s v="ernesto.latorre@oxxo.com"/>
    <d v="2026-07-28T00:00:00"/>
    <d v="2026-07-28T00:00:00"/>
    <d v="1899-12-30T11:18:00"/>
    <n v="2026"/>
    <s v="07"/>
    <s v="Enviado"/>
    <s v="Oxxo La 94"/>
    <m/>
    <s v="Centro"/>
    <s v="Bogotá"/>
    <s v="Cra 11 a # 94 - 12"/>
    <s v="PEDRO MORENO SUAREZ"/>
    <s v="https://maps.app.goo.gl/pzvqEkXRQ1FXBKRe7"/>
    <s v="Receso"/>
    <s v="Zona Residencial"/>
    <n v="3176606271"/>
    <s v="N/A"/>
    <s v="Foto : https://oxxo-colombia.oneapp.cl/static/img/Respuesta/63388428/172038a89dc04695c868088d514e5543.jpg"/>
    <n v="31"/>
    <n v="7"/>
    <n v="2026"/>
    <s v="31-2026"/>
    <s v="No subido"/>
    <s v="4.677963434356992, -74.04675254232723"/>
    <m/>
    <s v="Descartado por punto duplicado (Calle 94- Hermis Cuicas)"/>
    <s v="Descartado"/>
    <n v="3"/>
    <s v="Duplicado"/>
    <s v="Jonathan Aguirre"/>
    <m/>
    <m/>
    <m/>
    <m/>
    <m/>
    <m/>
    <m/>
  </r>
  <r>
    <n v="3702113"/>
    <x v="10"/>
    <s v="danny.perdomo@oxxo.com"/>
    <d v="2026-07-28T00:00:00"/>
    <d v="2026-07-28T00:00:00"/>
    <d v="1899-12-30T11:47:00"/>
    <n v="2026"/>
    <s v="07"/>
    <s v="Enviado"/>
    <s v="Kennedy 37"/>
    <m/>
    <s v="Centro"/>
    <s v="Bogotá"/>
    <s v="Cra. 78k #37a Sur68, Bogotá"/>
    <s v="JUAN QUIROGA"/>
    <s v="https://maps.app.goo.gl/aaDoeSBT3xWo4jV39"/>
    <s v="Base"/>
    <s v="Zona Comercial"/>
    <n v="3143327175"/>
    <s v="N.a"/>
    <s v="Foto: https://oxxo-colombia.oneapp.cl/static/img/Respuesta/63470672/ee68e71181e2f90364fcf0ea3365e8f0.jpg"/>
    <n v="31"/>
    <n v="7"/>
    <n v="2026"/>
    <s v="31-2026"/>
    <s v="Subido"/>
    <s v="4.623622571738254, -74.15362822719047"/>
    <m/>
    <m/>
    <s v="Aprobado"/>
    <n v="3"/>
    <m/>
    <s v="Stefanny Prieto"/>
    <s v="Carlos Bolaños"/>
    <d v="2026-07-30T00:00:00"/>
    <m/>
    <m/>
    <m/>
    <m/>
    <m/>
  </r>
  <r>
    <n v="3702270"/>
    <x v="21"/>
    <s v="ernesto.latorre@oxxo.com"/>
    <d v="2026-07-28T00:00:00"/>
    <d v="2026-07-28T00:00:00"/>
    <d v="1899-12-30T12:05:00"/>
    <n v="2026"/>
    <s v="07"/>
    <s v="Enviado"/>
    <s v="Oxxo Chico Cra 11"/>
    <s v="Punto Chico 11"/>
    <s v="Centro"/>
    <s v="Bogotá"/>
    <s v="Calle 95 # 11 -60 (Al frente del edificio LG)"/>
    <s v="PEDRO MORENO SUAREZ"/>
    <s v="https://maps.app.goo.gl/ymfHXiNdeYS13h6z5"/>
    <s v="Base"/>
    <s v="Zona Residencial"/>
    <s v="3155931561 3155931557"/>
    <s v="N/A"/>
    <s v="Foto: https://oxxo-colombia.oneapp.cl/static/img/Respuesta/63472069/f53bdcedd8d975c27547092f9995220b.jpg"/>
    <n v="31"/>
    <n v="7"/>
    <n v="2026"/>
    <s v="31-2026"/>
    <s v="Subido"/>
    <s v="4.67938545460112, -74.04557085767277"/>
    <m/>
    <m/>
    <s v="Aprobado"/>
    <n v="3"/>
    <m/>
    <s v="Cristian Herrera"/>
    <s v="JAIME GUTIERREZ"/>
    <d v="2026-08-03T00:00:00"/>
    <m/>
    <m/>
    <m/>
    <m/>
    <m/>
  </r>
  <r>
    <n v="3702281"/>
    <x v="10"/>
    <s v="danny.perdomo@oxxo.com"/>
    <d v="2026-07-28T00:00:00"/>
    <d v="2026-07-28T00:00:00"/>
    <d v="1899-12-30T12:14:00"/>
    <n v="2026"/>
    <s v="07"/>
    <s v="Enviado"/>
    <s v="Kennedy tequendama"/>
    <m/>
    <s v="Centro"/>
    <s v="Bogotá"/>
    <s v="Kra 78k # 37 a 80 s"/>
    <s v="JUAN QUIROGA"/>
    <s v="https://maps.app.goo.gl/wWKVF48JrE8q8e8h8?g_st=ac"/>
    <s v="Receso"/>
    <s v="Zona Comercial"/>
    <n v="3208025550"/>
    <s v="Na"/>
    <s v="Foto: https://oxxo-colombia.oneapp.cl/static/img/Respuesta/63472348/12261a71bb8bb40f9cbf719a9710877a.jpg"/>
    <n v="31"/>
    <n v="7"/>
    <n v="2026"/>
    <s v="31-2026"/>
    <s v="Subido"/>
    <s v="4.623552348109578, -74.15395872883639"/>
    <m/>
    <m/>
    <s v="Aprobado"/>
    <n v="3"/>
    <m/>
    <s v="Stefanny Prieto"/>
    <s v="Carlos Bolaños"/>
    <d v="2026-07-30T00:00:00"/>
    <m/>
    <m/>
    <m/>
    <m/>
    <m/>
  </r>
  <r>
    <n v="3702315"/>
    <x v="19"/>
    <m/>
    <d v="2026-07-28T00:00:00"/>
    <d v="2026-07-28T00:00:00"/>
    <d v="1899-12-30T12:56:00"/>
    <n v="2026"/>
    <s v="07"/>
    <s v="Enviado"/>
    <s v="Normandia 70"/>
    <m/>
    <s v="Centro"/>
    <s v="Bogotá"/>
    <s v="Av. 70 #54-61, Bogotá"/>
    <s v="DIEGO RODRIGUEZ ESTEBAN"/>
    <s v="https://maps.app.goo.gl/GBScWx7NhvVVE3s48?g_st=ac"/>
    <s v="Hogar"/>
    <s v="Zona Residencial"/>
    <n v="3144428080"/>
    <s v="Na"/>
    <s v="Foto https://oxxo-colombia.oneapp.cl/static/img/Respuesta/63473872/8ced33c2aa175cdc87cce1e11e84289d.jpg"/>
    <n v="31"/>
    <n v="7"/>
    <n v="2026"/>
    <s v="31-2026"/>
    <s v="Subido"/>
    <s v="4.6698794508705666, -74.10289015767279"/>
    <m/>
    <m/>
    <s v="Descartado"/>
    <n v="3"/>
    <s v="Variables de éxito"/>
    <s v="Stefanny Prieto"/>
    <m/>
    <m/>
    <m/>
    <m/>
    <m/>
    <m/>
    <m/>
  </r>
  <r>
    <n v="3702424"/>
    <x v="22"/>
    <s v="francisco.gomezgrajales@oxxo.com"/>
    <d v="2026-07-28T00:00:00"/>
    <d v="2026-07-28T00:00:00"/>
    <d v="1899-12-30T16:15:00"/>
    <n v="2026"/>
    <s v="07"/>
    <s v="Enviado"/>
    <s v="Restrepo Olaya"/>
    <m/>
    <s v="Centro"/>
    <s v="Bogotá"/>
    <s v="CRA 19 a sur 63 191"/>
    <s v="JUAN QUIROGA"/>
    <s v="https://maps.app.goo.gl/31DhpNG6HC1Mw5bK8?g_st=aw"/>
    <s v="Base"/>
    <s v="Zona Comercial"/>
    <s v="Henry hernandez"/>
    <s v="Henry_h_er@Hotmail.com"/>
    <s v="Foto: https://oxxo-colombia.oneapp.cl/static/img/Respuesta/63479989/0d67d0038cba0e2747d103ff8d71578a.jpg"/>
    <n v="31"/>
    <n v="7"/>
    <n v="2026"/>
    <s v="31-2026"/>
    <s v="Subido"/>
    <s v="4.5699852794208375, -74.08211546265599"/>
    <m/>
    <m/>
    <s v="Aprobado"/>
    <n v="3"/>
    <m/>
    <s v="Stefanny Prieto"/>
    <s v="Lina Diaz"/>
    <d v="2026-07-30T00:00:00"/>
    <m/>
    <m/>
    <m/>
    <m/>
    <s v="Punto ya se habia trabajado por la especialista en growth se trabajo como antonio nariño, fue desvcartado por angelica díaz en su momento que estaba en operación"/>
  </r>
  <r>
    <n v="3702441"/>
    <x v="22"/>
    <s v="francisco.gomezgrajales@oxxo.com"/>
    <d v="2026-07-28T00:00:00"/>
    <d v="2026-07-28T00:00:00"/>
    <d v="1899-12-30T16:33:00"/>
    <n v="2026"/>
    <s v="07"/>
    <s v="Enviado"/>
    <s v="Calle 116"/>
    <s v="Galeon 116"/>
    <s v="Centro"/>
    <s v="Bogotá"/>
    <s v="Av calle 116 con carrera 12"/>
    <s v="JUAN QUIROGA"/>
    <s v="https://maps.app.goo.gl/BqY1MVoo2UJSq6Sj9"/>
    <s v="Receso"/>
    <s v="Zona Residencial"/>
    <s v="Henry hernandez"/>
    <s v="Henry_h_er@hotmail.com"/>
    <s v="Foto: https://oxxo-colombia.oneapp.cl/static/img/Respuesta/63480559/b4e8d1bb66dbafb897aca7ddf8cf17fe.jpg"/>
    <n v="31"/>
    <n v="7"/>
    <n v="2026"/>
    <s v="31-2026"/>
    <s v="Subido"/>
    <s v="4.695679642193723, -74.03914328650917"/>
    <m/>
    <m/>
    <s v="Aprobado"/>
    <n v="3"/>
    <m/>
    <s v="Stefanny Prieto"/>
    <s v="Martha Lopez"/>
    <d v="2026-07-31T00:00:00"/>
    <m/>
    <m/>
    <m/>
    <m/>
    <s v="especialista ya lo habia trabajado : Se descarta por entorno variables de exito el 23 de dic 2024, se retoma en mayo del 2026 y nuevamente es descartado por el jefe de expansion"/>
  </r>
  <r>
    <n v="3702467"/>
    <x v="4"/>
    <s v="cristian.romero@oxxo.com"/>
    <d v="2026-07-28T00:00:00"/>
    <d v="2026-07-28T00:00:00"/>
    <d v="1899-12-30T17:20:00"/>
    <n v="2026"/>
    <s v="07"/>
    <s v="Enviado"/>
    <s v="Parque de la independencia"/>
    <m/>
    <s v="Centro"/>
    <s v="Bogotá"/>
    <s v="Cr 5 no 4-58"/>
    <s v="DIEGO RODRIGUEZ ESTEBAN"/>
    <s v="https://maps.app.goo.gl/g2fFnMnz5Zvc15pd8?g_st=aw"/>
    <s v="Receso"/>
    <s v="Zona Comercial"/>
    <n v="3208999393"/>
    <n v="3208999393"/>
    <s v="Foto: https://oxxo-colombia.oneapp.cl/static/img/Respuesta/63481463/ec3b5f4110968e87a1580adf4a6fa097.jpg"/>
    <n v="31"/>
    <n v="7"/>
    <n v="2026"/>
    <s v="31-2026"/>
    <s v="Subido"/>
    <s v="5.024507752203895, -74.00554808465444"/>
    <m/>
    <m/>
    <s v="Aprobado"/>
    <n v="3"/>
    <m/>
    <s v="Cristian Herrera"/>
    <s v="Carlos Bolaños"/>
    <d v="2026-07-30T00:00:00"/>
    <m/>
    <m/>
    <s v="Descartado"/>
    <s v="No es viable"/>
    <s v="Zipaquirá no cuenta con 24h, adicional el local cuenta con 48 m2"/>
  </r>
  <r>
    <n v="3705728"/>
    <x v="16"/>
    <s v="dany.ospina@oxxo.com"/>
    <d v="2026-07-29T00:00:00"/>
    <d v="2026-07-29T00:00:00"/>
    <d v="1899-12-30T08:40:00"/>
    <n v="2026"/>
    <s v="07"/>
    <s v="Enviado"/>
    <s v="Santa rita sur oriental"/>
    <m/>
    <s v="Centro"/>
    <s v="Bogotá"/>
    <s v="Carrera 39 33-16 sur"/>
    <s v="JUAN QUIROGA"/>
    <s v="https://maps.app.goo.gl/nhxsEgVNz5Babgvk8?g_st=ac"/>
    <s v="Base"/>
    <s v="Zona Residencial"/>
    <n v="3213770000"/>
    <s v="www.reinmobiliariasas.com"/>
    <s v="Foto: https://oxxo-colombia.oneapp.cl/static/img/Respuesta/63531072/40f0ec34b6a6d208a3be21783609d112.jpg"/>
    <n v="31"/>
    <n v="7"/>
    <n v="2026"/>
    <s v="31-2026"/>
    <s v="Subido"/>
    <s v="4.602363770894242, -74.11806000000001"/>
    <m/>
    <m/>
    <s v="Aprobado"/>
    <n v="3"/>
    <m/>
    <s v="Stefanny Prieto"/>
    <s v="LAURA AVILA"/>
    <d v="2026-07-30T00:00:00"/>
    <m/>
    <m/>
    <m/>
    <m/>
    <s v="Punto ya se esta trabajando, como villa del rosario"/>
  </r>
  <r>
    <n v="3705921"/>
    <x v="29"/>
    <s v="fabian.cardozo@oxxo.com"/>
    <d v="2026-07-29T00:00:00"/>
    <d v="2026-07-29T00:00:00"/>
    <d v="1899-12-30T11:34:00"/>
    <n v="2026"/>
    <s v="07"/>
    <s v="Enviado"/>
    <s v="Dapa"/>
    <m/>
    <s v="Occidente"/>
    <s v="Valle"/>
    <s v="Cl 10 # 28 - 150"/>
    <s v="YESENIA ARIZTIZABAL ALZATE"/>
    <s v="https://maps.app.goo.gl/pxREnmWsp615k6Tm6?g_st=ac"/>
    <s v="Base"/>
    <s v="Zona Comercial"/>
    <s v="3138059943 (572)6959199"/>
    <s v="gerencia@crucerodapa.co www.crucerodapa.co"/>
    <s v="Foto: https://oxxo-colombia.oneapp.cl/static/img/Respuesta/63542159/8c778d83efbfb90bada865369b9af7ea.jpg"/>
    <n v="31"/>
    <n v="7"/>
    <n v="2026"/>
    <s v="31-2026"/>
    <s v="Subido"/>
    <s v="3.5199571719370004, -76.518046"/>
    <m/>
    <m/>
    <s v="Descartado"/>
    <n v="3"/>
    <s v="Variables de éxito"/>
    <m/>
    <m/>
    <m/>
    <m/>
    <m/>
    <m/>
    <m/>
    <m/>
  </r>
  <r>
    <n v="3705971"/>
    <x v="25"/>
    <s v="john.espinosa@oxxo.com"/>
    <d v="2026-07-29T00:00:00"/>
    <d v="2026-07-29T00:00:00"/>
    <d v="1899-12-30T12:24:00"/>
    <n v="2026"/>
    <s v="07"/>
    <s v="Enviado"/>
    <s v="Guaymaral"/>
    <m/>
    <s v="Centro"/>
    <s v="Bogotá"/>
    <s v="Kr 55 # 232 65"/>
    <s v="PEDRO MORENO SUAREZ"/>
    <s v="https://maps.app.goo.gl/EWerdR7AGb8aMJ3H7?g_st=awb"/>
    <s v="Hogar"/>
    <s v="Zona Residencial"/>
    <n v="3102386140"/>
    <s v="No tengo"/>
    <s v="Foto: https://oxxo-colombia.oneapp.cl/static/img/Respuesta/63544029/695857ab517fc87a28d8771d12e45a5d.jpg"/>
    <n v="31"/>
    <n v="7"/>
    <n v="2026"/>
    <s v="31-2026"/>
    <s v="Subido"/>
    <s v="4.8104942761449685, -74.04584827116359"/>
    <m/>
    <m/>
    <s v="Aprobado"/>
    <n v="3"/>
    <m/>
    <s v="Stefanny Prieto"/>
    <s v="Carlos Bolaños"/>
    <d v="2026-08-03T00:00:00"/>
    <m/>
    <m/>
    <s v="Descartado"/>
    <s v="No es viable"/>
    <s v="Local de 25m2, y ya está vendido"/>
  </r>
  <r>
    <n v="3706034"/>
    <x v="29"/>
    <s v="fabian.cardozo@oxxo.com"/>
    <d v="2026-07-29T00:00:00"/>
    <d v="2026-07-29T00:00:00"/>
    <d v="1899-12-30T13:57:00"/>
    <n v="2026"/>
    <s v="07"/>
    <s v="Enviado"/>
    <s v="Santa Monica"/>
    <s v="Corceles norte"/>
    <s v="Occidente"/>
    <s v="Valle"/>
    <s v="6 Bis - 36"/>
    <s v="YESENIA ARIZTIZABAL ALZATE"/>
    <s v="https://maps.app.goo.gl/NXWr1QaBXb9ygttZ8?g_st=ac"/>
    <s v="Receso"/>
    <s v="Hospitales/ Clinícas"/>
    <n v="3053375850"/>
    <n v="3053375850"/>
    <s v="Foto: https://oxxo-colombia.oneapp.cl/static/img/Respuesta/63546844/38eb463ec99868d56379ebddff280999.jpg"/>
    <n v="31"/>
    <n v="7"/>
    <n v="2026"/>
    <s v="31-2026"/>
    <s v="Subido"/>
    <s v="3.467866765440696, -76.53069099999999"/>
    <m/>
    <m/>
    <s v="Pendiente aprob"/>
    <n v="3"/>
    <m/>
    <m/>
    <m/>
    <m/>
    <m/>
    <m/>
    <m/>
    <m/>
    <m/>
  </r>
  <r>
    <n v="3706093"/>
    <x v="31"/>
    <s v="john.alzate@oxxo.com"/>
    <d v="2026-07-29T00:00:00"/>
    <d v="2026-07-29T00:00:00"/>
    <d v="1899-12-30T15:43:00"/>
    <n v="2026"/>
    <s v="07"/>
    <s v="Enviado"/>
    <s v="Centauros Mall"/>
    <m/>
    <s v="Occidente"/>
    <s v="Eje Cafetero"/>
    <s v="Transversal 21 18 - 63"/>
    <s v="YESENIA ARIZTIZABAL ALZATE"/>
    <s v="https://maps.app.goo.gl/LVCwcdqtfVeNcN2FA"/>
    <s v="Hogar"/>
    <s v="Zona Residencial"/>
    <s v="+57 350 4497270"/>
    <s v="Juan Arias"/>
    <s v="Foto: https://oxxo-colombia.oneapp.cl/static/img/Respuesta/63550799/7fce2bef814c0ddfc87ad38f65ead5f1.jpg"/>
    <n v="31"/>
    <n v="7"/>
    <n v="2026"/>
    <s v="31-2026"/>
    <s v="Subido"/>
    <s v="4.82546540712825, -75.67452747921129"/>
    <m/>
    <m/>
    <s v="Pendiente aprob"/>
    <n v="3"/>
    <m/>
    <m/>
    <m/>
    <m/>
    <m/>
    <m/>
    <m/>
    <m/>
    <m/>
  </r>
  <r>
    <n v="3706128"/>
    <x v="31"/>
    <s v="john.alzate@oxxo.com"/>
    <d v="2026-07-29T00:00:00"/>
    <d v="2026-07-29T00:00:00"/>
    <d v="1899-12-30T16:41:00"/>
    <n v="2026"/>
    <s v="07"/>
    <s v="Enviado"/>
    <s v="Alameda de Sultana"/>
    <m/>
    <s v="Occidente"/>
    <s v="Eje Cafetero"/>
    <s v="Cra 31 10 76"/>
    <s v="YESENIA ARIZTIZABAL ALZATE"/>
    <s v="https://maps.app.goo.gl/5KkqoATKoh68esbc7"/>
    <s v="Receso"/>
    <s v="Zona Residencial"/>
    <s v="+57 313 5840285"/>
    <s v="Adrián Es propietario del local de la tienda Avenida Santa Mónica tiene TMCB"/>
    <s v="Foto: https://oxxo-colombia.oneapp.cl/static/img/Respuesta/63551759/d9ded4f3477658d8a847ca77fdc6eb52.jpg"/>
    <n v="31"/>
    <n v="7"/>
    <n v="2026"/>
    <s v="31-2026"/>
    <s v="Subido"/>
    <s v="4.819110358828752, -75.68943558963592"/>
    <m/>
    <m/>
    <s v="Descartado"/>
    <n v="3"/>
    <s v="Variables de éxito"/>
    <m/>
    <m/>
    <m/>
    <m/>
    <m/>
    <m/>
    <m/>
    <m/>
  </r>
  <r>
    <n v="3706152"/>
    <x v="7"/>
    <s v="diana.arevalo@oxxo.com"/>
    <d v="2026-07-29T00:00:00"/>
    <d v="2026-07-29T00:00:00"/>
    <d v="1899-12-30T17:39:00"/>
    <n v="2026"/>
    <s v="07"/>
    <s v="Enviado"/>
    <s v="Oxxo Isla del Sol"/>
    <s v="Eds Isla del Sol"/>
    <s v="Centro"/>
    <s v="Centro Sur"/>
    <s v="Calle 10 número 1-40 rucaurte Cundinamarca"/>
    <s v="JUAN QUIROGA"/>
    <s v="https://maps.app.goo.gl/KL8kmabyoM3bgkMw9?g_st=aw"/>
    <s v="Receso"/>
    <s v="Zona de Transporte Público"/>
    <n v="3123855478"/>
    <s v="N/A"/>
    <s v="Foto: https://oxxo-colombia.oneapp.cl/static/img/Respuesta/63552544/4e6e5085a213140e3a0a0ee1a09dee63.jpg"/>
    <n v="31"/>
    <n v="7"/>
    <n v="2026"/>
    <s v="31-2026"/>
    <s v="Subido"/>
    <s v="4.301797333470898, -74.79414059999999"/>
    <m/>
    <m/>
    <s v="Aprobado"/>
    <n v="3"/>
    <m/>
    <s v="Cristian Herrera"/>
    <m/>
    <m/>
    <m/>
    <m/>
    <m/>
    <m/>
    <m/>
  </r>
  <r>
    <n v="3709296"/>
    <x v="32"/>
    <s v="juan.neira@oxxo.com"/>
    <d v="2026-07-30T00:00:00"/>
    <d v="2026-07-30T00:00:00"/>
    <d v="1899-12-30T09:30:00"/>
    <n v="2026"/>
    <s v="07"/>
    <s v="Enviado"/>
    <s v="Oxxo valle del Lili magenta"/>
    <m/>
    <s v="Occidente"/>
    <s v="Valle"/>
    <s v="Calle 55, Cali, Valle del Cauca"/>
    <s v="YESENIA ARIZTIZABAL ALZATE"/>
    <s v="https://maps.app.goo.gl/ZhTVCnNkcqmFjSWDA?g_st=ic"/>
    <s v="Hogar"/>
    <s v="Zona Residencial"/>
    <s v="3123364340 y 3247492558 Por que son dos locales que habría que tomar por tema de tamaño"/>
    <s v="No se tiene"/>
    <s v="Foto: https://oxxo-colombia.oneapp.cl/static/img/Respuesta/63602816/63ef684524001c49443e257a3e4fc932.jpg"/>
    <n v="31"/>
    <n v="7"/>
    <n v="2026"/>
    <s v="31-2026"/>
    <s v="Subido"/>
    <s v="3.3791356240381063, -76.5093640423272"/>
    <m/>
    <m/>
    <s v="Pendiente aprob"/>
    <n v="3"/>
    <m/>
    <m/>
    <m/>
    <m/>
    <m/>
    <m/>
    <m/>
    <m/>
    <m/>
  </r>
  <r>
    <n v="3709374"/>
    <x v="22"/>
    <s v="francisco.gomezgrajales@oxxo.com"/>
    <d v="2026-07-30T00:00:00"/>
    <d v="2026-07-30T00:00:00"/>
    <d v="1899-12-30T09:31:00"/>
    <n v="2026"/>
    <s v="07"/>
    <s v="Completo"/>
    <s v="Oxxo centenario"/>
    <m/>
    <s v="Centro"/>
    <s v="Bogotá"/>
    <s v="CRA 26 b 28 03 sur, barrio centenario"/>
    <s v="JUAN QUIROGA"/>
    <s v="https://maps.app.goo.gl/GTZjpoFfF6QDbzRh9"/>
    <s v="Base"/>
    <s v="Zona Comercial"/>
    <n v="3155215531"/>
    <s v="Dagolopez2@hotmail.com"/>
    <s v="Foto: https://oxxo-colombia.oneapp.cl/static/img/Respuesta/63603361/76d8a2201e44acc91d02e90d683a8ca0.jpg"/>
    <n v="31"/>
    <n v="7"/>
    <n v="2026"/>
    <s v="31-2026"/>
    <s v="Subido"/>
    <s v="4.587291805971482, -74.1118483423272"/>
    <m/>
    <m/>
    <s v="Aprobado"/>
    <n v="3"/>
    <m/>
    <s v="Cristian Herrera"/>
    <m/>
    <m/>
    <m/>
    <m/>
    <m/>
    <m/>
    <m/>
  </r>
  <r>
    <n v="3709378"/>
    <x v="21"/>
    <s v="ernesto.latorre@oxxo.com"/>
    <d v="2026-07-30T00:00:00"/>
    <d v="2026-07-30T00:00:00"/>
    <d v="1899-12-30T10:08:00"/>
    <n v="2026"/>
    <s v="07"/>
    <s v="Enviado"/>
    <s v="Oxxo Calle 84"/>
    <m/>
    <s v="Centro"/>
    <s v="Bogotá"/>
    <s v="Cra 14a 82-27"/>
    <s v="PEDRO MORENO SUAREZ"/>
    <s v="https://maps.app.goo.gl/uy2aB6bx2hiHSf2PA?g_st=ac"/>
    <s v="Receso"/>
    <s v="Zona Comercial"/>
    <n v="3108252119"/>
    <s v="DianaRamirez2006@gmail.com"/>
    <s v="Foto: https://oxxo-colombia.oneapp.cl/static/img/Respuesta/63604911/efd5ad2dfdba24240a315d39fda3f20b.jpg"/>
    <n v="31"/>
    <n v="7"/>
    <n v="2026"/>
    <s v="31-2026"/>
    <s v="Subido"/>
    <s v="4.66830573789294, -74.05587671534556"/>
    <m/>
    <m/>
    <s v="Aprobado"/>
    <n v="3"/>
    <m/>
    <s v="Stefanny Prieto"/>
    <s v="Jenny Acuña"/>
    <d v="2026-07-31T00:00:00"/>
    <m/>
    <m/>
    <m/>
    <m/>
    <s v="Especialista ya lo habia traido, Angie lo nego ( pero como estoy abriendo 2 tiendas sobre la 15 y este estaba escondido lo descartamos.)"/>
  </r>
  <r>
    <n v="3709542"/>
    <x v="25"/>
    <s v="john.espinosa@oxxo.com"/>
    <d v="2026-07-30T00:00:00"/>
    <d v="2026-07-30T00:00:00"/>
    <d v="1899-12-30T12:32:00"/>
    <n v="2026"/>
    <s v="07"/>
    <s v="Enviado"/>
    <s v="Av Norte"/>
    <m/>
    <s v="Centro"/>
    <s v="Centro Norte"/>
    <s v="Cra. 6 # 46-26, Tunja, Boyacá"/>
    <s v="PEDRO MORENO SUAREZ"/>
    <s v="https://maps.app.goo.gl/dZ1AHXEom9Bq6xSy5?g_st=ac"/>
    <s v="Base"/>
    <s v="Zona Comercial"/>
    <n v="3208315870"/>
    <s v="No tengo"/>
    <s v="Foto: https://oxxo-colombia.oneapp.cl/static/img/Respuesta/63610159/3130ce22bb65b3eb2b7b35c38695115a.jpg"/>
    <n v="31"/>
    <n v="7"/>
    <n v="2026"/>
    <s v="31-2026"/>
    <s v="Subido"/>
    <s v="5.554447961570354, -73.35130645767278"/>
    <m/>
    <m/>
    <s v="Aprobado"/>
    <n v="3"/>
    <m/>
    <s v="Cristian Herrera"/>
    <s v="Carlos Bolaños"/>
    <d v="2026-08-03T00:00:00"/>
    <m/>
    <m/>
    <m/>
    <m/>
    <m/>
  </r>
  <r>
    <n v="3709560"/>
    <x v="32"/>
    <s v="juan.neira@oxxo.com"/>
    <d v="2026-07-30T00:00:00"/>
    <d v="2026-07-30T00:00:00"/>
    <d v="1899-12-30T12:51:00"/>
    <n v="2026"/>
    <s v="07"/>
    <s v="Enviado"/>
    <s v="Oxxo los anturios"/>
    <m/>
    <s v="Occidente"/>
    <s v="Valle"/>
    <s v="Av sachamate con 3a , en el barrio los anturios de Jamundi , NSE 4"/>
    <s v="YESENIA ARIZTIZABAL ALZATE"/>
    <s v="https://maps.app.goo.gl/NJ2XoCFAmxPtveGt7?g_st=ic"/>
    <s v="Base"/>
    <s v="Zona Residencial"/>
    <s v="3165890211 proyecto montessa mall"/>
    <s v="Montessamall.com"/>
    <s v="Foto: https://oxxo-colombia.oneapp.cl/static/img/Respuesta/63611056/daf685ade0811b4512d8cf488d4a0419.jpg"/>
    <n v="31"/>
    <n v="7"/>
    <n v="2026"/>
    <s v="31-2026"/>
    <s v="Subido"/>
    <s v="3.2593810148681475, -76.55118946196764"/>
    <m/>
    <m/>
    <s v="Aprobado"/>
    <n v="3"/>
    <m/>
    <s v="Stefanny Prieto"/>
    <s v="ALEJANDRA ROJAS ROMERO"/>
    <d v="2026-07-31T00:00:00"/>
    <m/>
    <m/>
    <m/>
    <m/>
    <m/>
  </r>
  <r>
    <n v="3709581"/>
    <x v="8"/>
    <s v="vicky.duque@oxxo.com"/>
    <d v="2026-07-30T00:00:00"/>
    <d v="2026-07-30T00:00:00"/>
    <d v="1899-12-30T13:24:00"/>
    <n v="2026"/>
    <s v="07"/>
    <s v="Enviado"/>
    <s v="OXXO Chapinero 58"/>
    <m/>
    <s v="Centro"/>
    <s v="Bogotá"/>
    <s v="Carrera 13 # 58-83"/>
    <s v="PEDRO MORENO SUAREZ"/>
    <s v="https://maps.app.goo.gl/kF1HY6itBwaxQ6YA9?g_st=iw"/>
    <s v="Base"/>
    <s v="Zona Comercial"/>
    <n v="3212132183"/>
    <s v="No aplica"/>
    <s v="Foto: https://oxxo-colombia.oneapp.cl/static/img/Respuesta/63611910/8411c8a500eacba5053c516ec5abd6f7.jpg"/>
    <n v="31"/>
    <n v="7"/>
    <n v="2026"/>
    <s v="31-2026"/>
    <s v="Subido"/>
    <s v="4.645899865304641, -74.06450001534556"/>
    <m/>
    <m/>
    <s v="Pendiente aprob"/>
    <n v="3"/>
    <m/>
    <s v="Cristian Herrera"/>
    <m/>
    <m/>
    <m/>
    <m/>
    <m/>
    <m/>
    <m/>
  </r>
  <r>
    <n v="3706145"/>
    <x v="31"/>
    <s v="john.alzate@oxxo.com"/>
    <d v="2026-07-29T00:00:00"/>
    <d v="2026-07-29T00:00:00"/>
    <d v="1899-12-30T17:20:00"/>
    <n v="2026"/>
    <s v="07"/>
    <s v="Enviado"/>
    <s v="Alta pradera"/>
    <m/>
    <s v="Occidente"/>
    <s v="Eje Cafetero"/>
    <s v="Av la pradera vía naranjales Carrera 28"/>
    <s v="YESENIA ARIZTIZABAL ALZATE"/>
    <s v="https://maps.app.goo.gl/UMSubXZ3iioy3egdA"/>
    <s v="Hogar"/>
    <s v="Zona Residencial"/>
    <s v="+57 313 5840285"/>
    <s v="Adrián Mismo propietario de tienda av santa monica."/>
    <s v="Foto: https://oxxo-colombia.oneapp.cl/static/img/Respuesta/63552412/6d1a4ffcf3090591e70f721aebd54634.jpg"/>
    <n v="31"/>
    <n v="7"/>
    <n v="2026"/>
    <s v="31-2026"/>
    <s v="Subido"/>
    <m/>
    <m/>
    <m/>
    <s v="Pendiente aprob"/>
    <n v="3"/>
    <m/>
    <m/>
    <m/>
    <m/>
    <m/>
    <m/>
    <m/>
    <m/>
    <m/>
  </r>
  <r>
    <n v="3709504"/>
    <x v="32"/>
    <s v="juan.neira@oxxo.com"/>
    <d v="2026-07-30T00:00:00"/>
    <d v="2026-07-30T00:00:00"/>
    <d v="1899-12-30T11:35:00"/>
    <n v="2026"/>
    <s v="07"/>
    <s v="Enviado"/>
    <s v="Oxxo oasis plaza"/>
    <m/>
    <s v="Occidente"/>
    <s v="Valle"/>
    <s v="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"/>
    <s v="YESENIA ARIZTIZABAL ALZATE"/>
    <s v="https://maps.app.goo.gl/gvkd52DdNt9xpX5d9?g_st=ic"/>
    <s v="Base"/>
    <s v="Otro"/>
    <s v="3175739393 Héctor, se recomienda hacer urgente el acercamiento por que hay varias personas interesadas y ya tiene citas programadas esta semana"/>
    <s v="No se tiene"/>
    <s v="Foto :https://oxxo-colombia.oneapp.cl/static/img/Respuesta/63608431/f303c5307da69bdb8cf2e38945bf5bcd.jpg"/>
    <n v="31"/>
    <n v="7"/>
    <n v="2026"/>
    <s v="31-2026"/>
    <s v="Subido"/>
    <s v="3.2838148986610607, -76.52662410429475"/>
    <m/>
    <m/>
    <s v="Pendiente aprob"/>
    <n v="3"/>
    <m/>
    <m/>
    <m/>
    <m/>
    <m/>
    <m/>
    <m/>
    <m/>
    <m/>
  </r>
  <r>
    <n v="3709661"/>
    <x v="28"/>
    <s v="oscar.ramirez@oxxo.com"/>
    <d v="2026-07-30T00:00:00"/>
    <d v="2026-07-30T00:00:00"/>
    <d v="1899-12-30T15:27:00"/>
    <n v="2026"/>
    <s v="07"/>
    <s v="Enviado"/>
    <s v="Oxxo centro carrera 7ma # ||"/>
    <m/>
    <s v="Centro"/>
    <s v="Bogotá"/>
    <s v="Carrera 7 - 12 - 12"/>
    <s v="JUAN QUIROGA"/>
    <s v="https://maps.app.goo.gl/weSxTAmfFMooHPn28"/>
    <s v="Receso"/>
    <s v="Zona Comercial"/>
    <n v="3202655742"/>
    <s v="No aplica"/>
    <s v="Foto: https://oxxo-colombia.oneapp.cl/static/img/Respuesta/63615183/39c6bdf89140586583c69a268ec958ea.jpg"/>
    <n v="31"/>
    <n v="7"/>
    <n v="2026"/>
    <s v="31-2026"/>
    <s v="Subido"/>
    <m/>
    <m/>
    <m/>
    <s v="Aprobado"/>
    <n v="3"/>
    <m/>
    <s v="Stefanny Prieto"/>
    <m/>
    <m/>
    <m/>
    <m/>
    <m/>
    <m/>
    <m/>
  </r>
  <r>
    <n v="3709689"/>
    <x v="9"/>
    <s v="christian.rodriguezmarin@oxxo.com"/>
    <d v="2026-07-30T00:00:00"/>
    <d v="2026-07-30T00:00:00"/>
    <d v="1899-12-30T15:56:00"/>
    <n v="2026"/>
    <s v="07"/>
    <s v="Enviado"/>
    <s v="Parque madrid"/>
    <m/>
    <s v="Centro"/>
    <s v="Centro Sur"/>
    <s v="Calle 7#3-60"/>
    <s v="JUAN QUIROGA"/>
    <s v="https://maps.app.goo.gl/VnKnEuzaFWY9uasq7?g_st=iw"/>
    <s v="Base"/>
    <s v="Zona Comercial"/>
    <n v="3102077522"/>
    <s v="No"/>
    <s v="Foto: https://oxxo-colombia.oneapp.cl/static/img/Respuesta/63615669/1b70479b062c09a6161d12f15560be13.jpg"/>
    <n v="31"/>
    <n v="7"/>
    <n v="2026"/>
    <s v="31-2026"/>
    <s v="Subido"/>
    <m/>
    <m/>
    <m/>
    <s v="Descartado"/>
    <n v="3"/>
    <m/>
    <m/>
    <m/>
    <m/>
    <m/>
    <m/>
    <m/>
    <m/>
    <m/>
  </r>
  <r>
    <n v="3709694"/>
    <x v="9"/>
    <s v="christian.rodriguezmarin@oxxo.com"/>
    <d v="2026-07-30T00:00:00"/>
    <d v="2026-07-30T00:00:00"/>
    <d v="1899-12-30T16:02:00"/>
    <n v="2026"/>
    <s v="07"/>
    <s v="Enviado"/>
    <s v="Eds Madrid"/>
    <m/>
    <s v="Centro"/>
    <s v="Centro Sur"/>
    <s v="Calle 7#3-17"/>
    <s v="JUAN QUIROGA"/>
    <s v="https://maps.app.goo.gl/2va17YRE9djynsJw6?g_st=iw"/>
    <s v="Base"/>
    <s v="Zona Comercial"/>
    <n v="3118053860"/>
    <s v="Na"/>
    <s v="Foto: https://oxxo-colombia.oneapp.cl/static/img/Respuesta/63615803/cf06b379161dcd2edc87a7cf9d6289ac.jpg"/>
    <n v="31"/>
    <n v="7"/>
    <n v="2026"/>
    <s v="31-2026"/>
    <s v="Subido"/>
    <m/>
    <m/>
    <m/>
    <s v="Aprobado"/>
    <n v="3"/>
    <m/>
    <s v="Stefanny Prieto"/>
    <m/>
    <m/>
    <m/>
    <m/>
    <m/>
    <m/>
    <m/>
  </r>
  <r>
    <n v="3709716"/>
    <x v="3"/>
    <s v="alejandror.gomez@oxxo.com"/>
    <d v="2026-07-30T00:00:00"/>
    <d v="2026-07-30T00:00:00"/>
    <d v="1899-12-30T16:43:00"/>
    <n v="2026"/>
    <s v="07"/>
    <s v="Enviado"/>
    <s v="Oxxo arboleda"/>
    <m/>
    <s v="Occidente"/>
    <s v="Eje Cafetero"/>
    <s v="Cra 13 a, detrás del cc parque arboleda"/>
    <s v="YESENIA ARIZTIZABAL ALZATE"/>
    <s v="https://maps.app.goo.gl/f8NfuPUXjTRFkb4y5?g_st=ac"/>
    <s v="Base"/>
    <s v="Zona Comercial"/>
    <n v="3148881602"/>
    <s v="No posee"/>
    <s v="Foto:https://oxxo-colombia.oneapp.cl/static/img/Respuesta/63616513/e0a83f29fdfc72f089fadd4ee3a9a25c.jpg"/>
    <n v="31"/>
    <n v="7"/>
    <n v="2026"/>
    <s v="31-2026"/>
    <s v="Subido"/>
    <m/>
    <m/>
    <m/>
    <s v="Pendiente aprob"/>
    <n v="3"/>
    <m/>
    <m/>
    <m/>
    <m/>
    <m/>
    <m/>
    <m/>
    <m/>
    <m/>
  </r>
  <r>
    <n v="3709641"/>
    <x v="20"/>
    <s v="andres.ortiz@oxxo.com"/>
    <d v="2026-07-30T00:00:00"/>
    <d v="2026-07-30T00:00:00"/>
    <d v="1899-12-30T18:17:00"/>
    <n v="2026"/>
    <s v="07"/>
    <s v="Enviado"/>
    <s v="Suba 91"/>
    <m/>
    <s v="Centro"/>
    <s v="Bogotá"/>
    <s v="Carrera 91 con Calle 137"/>
    <s v="PEDRO MORENO SUAREZ"/>
    <s v="https://maps.app.goo.gl/FbZNMVxWxxP3rGzV9?g_st=ac"/>
    <s v="Base"/>
    <s v="Zona Comercial"/>
    <n v="3114857338"/>
    <n v="3114857338"/>
    <s v="Foto: https://oxxo-colombia.oneapp.cl/static/img/Respuesta/63617738/009005a4e3cf71649eb1ecea4c3aba4e.jpg"/>
    <n v="31"/>
    <n v="7"/>
    <n v="2026"/>
    <s v="31-2026"/>
    <s v="Subido "/>
    <m/>
    <m/>
    <m/>
    <s v="Descartado"/>
    <n v="3"/>
    <s v="Variables de éxito"/>
    <m/>
    <m/>
    <m/>
    <m/>
    <m/>
    <m/>
    <m/>
    <m/>
  </r>
  <r>
    <n v="3709757"/>
    <x v="20"/>
    <s v="andres.ortiz@oxxo.com"/>
    <d v="2026-07-30T00:00:00"/>
    <d v="2026-07-30T00:00:00"/>
    <d v="1899-12-30T18:30:00"/>
    <n v="2026"/>
    <s v="07"/>
    <s v="Enviado"/>
    <s v="Suba carrera 91a"/>
    <m/>
    <s v="Centro"/>
    <s v="Bogotá"/>
    <s v="Carrera 91 #132 SUBA"/>
    <s v="YESENIA ARIZTIZABAL ALZATE"/>
    <s v="https://maps.app.goo.gl/7dYodMTTCis2i3mt6?g_st=aw"/>
    <s v="Hogar"/>
    <s v="Zona Residencial"/>
    <n v="3102400431"/>
    <n v="3102400431"/>
    <s v="Foto: https://oxxo-colombia.oneapp.cl/static/img/Respuesta/63617893/ea56504d8670899d3cf6c59247f55f22.jpg"/>
    <n v="31"/>
    <n v="7"/>
    <n v="2026"/>
    <s v="31-2026"/>
    <s v="Subido"/>
    <m/>
    <m/>
    <m/>
    <s v="Aprobado"/>
    <n v="3"/>
    <m/>
    <m/>
    <m/>
    <m/>
    <m/>
    <m/>
    <m/>
    <m/>
    <m/>
  </r>
  <r>
    <n v="3709760"/>
    <x v="20"/>
    <s v="andres.ortiz@oxxo.com"/>
    <d v="2026-07-30T00:00:00"/>
    <d v="2026-07-30T00:00:00"/>
    <d v="1899-12-30T18:45:00"/>
    <n v="2026"/>
    <s v="07"/>
    <s v="Enviado"/>
    <s v="Suba Carrera 91"/>
    <m/>
    <s v="Centro"/>
    <s v="Bogotá"/>
    <s v="Carrera 91 #135b -21"/>
    <s v="PEDRO MORENO SUAREZ"/>
    <s v="https://maps.app.goo.gl/b8Fs5v4BNGzqCYgH7?g_st=ac"/>
    <s v="Hogar"/>
    <s v="Zona Comercial"/>
    <n v="3152331861"/>
    <n v="3152331861"/>
    <s v="Foto: https://oxxo-colombia.oneapp.cl/static/img/Respuesta/63618069/218ef180b9bea0990063544db4477aef.jpg"/>
    <n v="31"/>
    <n v="7"/>
    <n v="2026"/>
    <s v="31-2026"/>
    <s v="Subido"/>
    <m/>
    <m/>
    <m/>
    <s v="Descartado"/>
    <n v="3"/>
    <s v="Duplicado"/>
    <m/>
    <m/>
    <m/>
    <m/>
    <m/>
    <m/>
    <m/>
    <m/>
  </r>
  <r>
    <n v="3709823"/>
    <x v="6"/>
    <s v="brayan.ortiz@oxxo.com"/>
    <d v="2026-07-30T00:00:00"/>
    <d v="2026-07-30T00:00:00"/>
    <d v="1899-12-30T20:28:00"/>
    <n v="2026"/>
    <s v="07"/>
    <s v="Enviado"/>
    <s v="Oxxo Medical"/>
    <m/>
    <s v="Centro"/>
    <s v="Bogotá"/>
    <s v="Calle 37 sur 75 13"/>
    <s v="JUAN QUIROGA"/>
    <s v="https://maps.app.goo.gl/46Mmo9vnmbX8MwyC9?g_st=ic"/>
    <s v="Base"/>
    <s v="Hospitales/ Clinícas"/>
    <n v="3197316690"/>
    <s v="cfsalasp@hotmail.com"/>
    <s v="Foto: https://oxxo-colombia.oneapp.cl/static/img/Respuesta/63619629/932a368830c05903f15012da698e3198.jpg"/>
    <n v="31"/>
    <n v="7"/>
    <n v="2026"/>
    <s v="31-2026"/>
    <s v="Subido"/>
    <m/>
    <m/>
    <m/>
    <s v="Descartado"/>
    <n v="3"/>
    <s v="Variables de éxito"/>
    <m/>
    <m/>
    <m/>
    <m/>
    <m/>
    <m/>
    <m/>
    <m/>
  </r>
  <r>
    <n v="3709826"/>
    <x v="6"/>
    <s v="brayan.ortiz@oxxo.com"/>
    <d v="2026-07-30T00:00:00"/>
    <d v="2026-07-30T00:00:00"/>
    <d v="1899-12-30T20:35:00"/>
    <n v="2026"/>
    <s v="07"/>
    <s v="Enviado"/>
    <s v="Kennedy zona bancaria"/>
    <m/>
    <s v="Centro"/>
    <s v="Bogotá"/>
    <s v="Calle 36a sur 78a 15"/>
    <s v="JUAN QUIROGA"/>
    <s v="https://maps.app.goo.gl/xV611DiNAJHjF5QG7?g_st=ic"/>
    <s v="Base"/>
    <s v="Zona Comercial"/>
    <n v="3165326461"/>
    <s v="prai_0509@hotmail.com"/>
    <s v="Foto: https://oxxo-colombia.oneapp.cl/static/img/Respuesta/63619721/ab35ce95c2db06bc22fb977b2f1ebdd1.jpg"/>
    <n v="31"/>
    <n v="7"/>
    <n v="2026"/>
    <s v="31-2026"/>
    <s v="Subido"/>
    <m/>
    <m/>
    <m/>
    <s v="Descartado"/>
    <n v="3"/>
    <s v="Variables de éxito"/>
    <m/>
    <m/>
    <m/>
    <m/>
    <m/>
    <m/>
    <m/>
    <m/>
  </r>
  <r>
    <n v="3709847"/>
    <x v="33"/>
    <s v="katerin.diaz@oxxo.com"/>
    <d v="2026-07-30T00:00:00"/>
    <d v="2026-07-30T00:00:00"/>
    <d v="1899-12-30T21:10:00"/>
    <n v="2026"/>
    <s v="07"/>
    <s v="Enviado"/>
    <s v="Calle 142"/>
    <m/>
    <s v="Centro"/>
    <s v="Bogotá"/>
    <s v="Cra 17 #142 07"/>
    <s v="JUAN QUIROGA"/>
    <s v="https://maps.app.goo.gl/qApouAGMnEk6fKZ97"/>
    <s v="Base"/>
    <s v="Zona Residencial"/>
    <n v="3108603076"/>
    <n v="3204247924"/>
    <s v="Foto: https://oxxo-colombia.oneapp.cl/static/img/Respuesta/63620119/cff219be46492f11749c51fe867cd02c.jpg"/>
    <n v="31"/>
    <n v="7"/>
    <n v="2026"/>
    <s v="31-2026"/>
    <s v="Subido"/>
    <m/>
    <m/>
    <m/>
    <s v="Aprobado"/>
    <n v="3"/>
    <m/>
    <s v="Cristian Herrera"/>
    <m/>
    <m/>
    <m/>
    <m/>
    <m/>
    <m/>
    <m/>
  </r>
  <r>
    <n v="3709764"/>
    <x v="13"/>
    <s v="diana.bernal@oxxo.com"/>
    <d v="2026-07-30T00:00:00"/>
    <d v="2026-07-30T00:00:00"/>
    <d v="1899-12-30T18:51:00"/>
    <n v="2026"/>
    <s v="07"/>
    <s v="Enviado"/>
    <s v="Manzana 3"/>
    <m/>
    <s v="Centro"/>
    <s v="Bogotá"/>
    <s v="Calle 63 d # 30 - 4"/>
    <s v="JUAN QUIROGA"/>
    <s v="https://maps.app.goo.gl/ULrkYihBU6MSFxQV6"/>
    <s v="Base"/>
    <s v="Zona Residencial"/>
    <n v="3182433298"/>
    <s v="NA"/>
    <s v="Foto: https://oxxo-colombia.oneapp.cl/static/img/Respuesta/63618223/front_0_1785455383_15.jpg"/>
    <n v="31"/>
    <n v="7"/>
    <n v="2026"/>
    <s v="31-2026"/>
    <s v="Subido"/>
    <m/>
    <m/>
    <m/>
    <s v="Descartado"/>
    <n v="3"/>
    <s v="Variables de éxito"/>
    <m/>
    <m/>
    <m/>
    <m/>
    <m/>
    <m/>
    <m/>
    <m/>
  </r>
  <r>
    <n v="3709768"/>
    <x v="13"/>
    <s v="diana.bernal@oxxo.com"/>
    <d v="2026-07-30T00:00:00"/>
    <d v="2026-07-30T00:00:00"/>
    <d v="1899-12-30T19:09:00"/>
    <n v="2026"/>
    <s v="07"/>
    <s v="Enviado"/>
    <s v="Ampliación El Dorado"/>
    <m/>
    <s v="Centro"/>
    <s v="Bogotá"/>
    <s v="Calle 26 # 69 - 91 local 109"/>
    <s v="JUAN QUIROGA"/>
    <s v="https://maps.app.goo.gl/UwasuiN3yECHSJwz9"/>
    <s v="Receso"/>
    <s v="Zona Administrativa"/>
    <n v="3173724085"/>
    <s v="NA"/>
    <s v="Foto: https://oxxo-colombia.oneapp.cl/static/img/Respuesta/63618509/front_0_1785456379_15.jpg"/>
    <n v="31"/>
    <n v="7"/>
    <n v="2026"/>
    <s v="31-2026"/>
    <s v="Subido"/>
    <m/>
    <m/>
    <m/>
    <s v="Pendiente aprob"/>
    <n v="3"/>
    <m/>
    <m/>
    <m/>
    <m/>
    <m/>
    <m/>
    <m/>
    <m/>
    <m/>
  </r>
  <r>
    <n v="3709784"/>
    <x v="13"/>
    <s v="diana.bernal@oxxo.com"/>
    <d v="2026-07-30T00:00:00"/>
    <d v="2026-07-30T00:00:00"/>
    <d v="1899-12-30T19:26:00"/>
    <n v="2026"/>
    <s v="07"/>
    <s v="Enviado"/>
    <s v="Altagracia"/>
    <m/>
    <s v="Centro"/>
    <s v="Bogotá"/>
    <s v="Av 24 # 68 - 25 local 16"/>
    <s v="JUAN QUIROGA"/>
    <s v="https://maps.app.goo.gl/HeWy5cjAKqtHZhQH6"/>
    <s v="Receso"/>
    <s v="Zona Comercial"/>
    <n v="3204805403"/>
    <s v="NA"/>
    <s v="Foto: https://oxxo-colombia.oneapp.cl/static/img/Respuesta/63618827/front_0_1785457451_15.jpg_x000a_Foto: https://oxxo-colombia.oneapp.cl/static/img/Respuesta/63618827/front_1_1785457451_15.jpg"/>
    <n v="31"/>
    <n v="7"/>
    <n v="2026"/>
    <s v="31-2026"/>
    <s v="Subido"/>
    <m/>
    <m/>
    <m/>
    <s v="Aprobado"/>
    <n v="3"/>
    <m/>
    <s v="Cristian Herrera"/>
    <m/>
    <m/>
    <m/>
    <m/>
    <m/>
    <m/>
    <m/>
  </r>
  <r>
    <n v="3713238"/>
    <x v="24"/>
    <s v="lorena.beltran@oxxo.com"/>
    <d v="2026-07-31T00:00:00"/>
    <d v="2026-07-31T00:00:00"/>
    <d v="1899-12-30T13:11:00"/>
    <n v="2026"/>
    <s v="07"/>
    <s v="Enviado"/>
    <s v="EDS Texaco"/>
    <m/>
    <s v="Occidente"/>
    <s v="Eje Cafetero"/>
    <s v="Km 3.5 Armenia - Quindío"/>
    <s v="YESENIA ARIZTIZABAL ALZATE"/>
    <s v="https://maps.app.goo.gl/sZtrvzZU27N3fGDF8?g_st=ac"/>
    <s v="Base"/>
    <s v="Zona Industrial"/>
    <n v="3012105965"/>
    <s v="Alfredo"/>
    <s v="Foto: https://oxxo-colombia.oneapp.cl/static/img/Respuesta/63674240/8f22bce6739d91cd107ca4b7a2066667.jpg"/>
    <n v="31"/>
    <n v="7"/>
    <n v="2026"/>
    <s v="31-2026"/>
    <s v="Subido"/>
    <m/>
    <m/>
    <m/>
    <s v="Pendiente aprob"/>
    <n v="4"/>
    <m/>
    <m/>
    <m/>
    <m/>
    <m/>
    <m/>
    <m/>
    <m/>
    <m/>
  </r>
  <r>
    <n v="3713321"/>
    <x v="4"/>
    <s v="cristian.romero@oxxo.com"/>
    <d v="2026-07-31T00:00:00"/>
    <d v="2026-07-31T00:00:00"/>
    <d v="1899-12-30T14:46:00"/>
    <n v="2026"/>
    <s v="07"/>
    <s v="Enviado"/>
    <s v="Punto Zipaquirá centro"/>
    <m/>
    <s v="Centro"/>
    <s v="Bogotá"/>
    <s v="Cll13 # 7-28"/>
    <s v="PEDRO MORENO SUAREZ"/>
    <s v="https://maps.app.goo.gl/dwaKHy9m3KDJaGhM6?g_st=awb"/>
    <s v="Base"/>
    <s v="Zona Comercial"/>
    <s v="Carlos leon"/>
    <n v="3223059423"/>
    <s v="Foto: https://oxxo-colombia.oneapp.cl/static/img/Respuesta/63677271/521ea16bc90a03be4162213cd07643c7.jpg_x000a_Foto: https://oxxo-colombia.oneapp.cl/static/img/Respuesta/63677271/4d781bda32a64dc9422ae1e395d1d545.jpg"/>
    <n v="31"/>
    <n v="7"/>
    <n v="2026"/>
    <s v="31-2026"/>
    <s v="Subido"/>
    <m/>
    <m/>
    <m/>
    <s v="Descartado"/>
    <n v="4"/>
    <s v="Variables de éxito"/>
    <m/>
    <m/>
    <m/>
    <m/>
    <m/>
    <m/>
    <m/>
    <m/>
  </r>
  <r>
    <n v="3713323"/>
    <x v="21"/>
    <s v="ernesto.latorre@oxxo.com"/>
    <d v="2026-07-31T00:00:00"/>
    <d v="2026-07-31T00:00:00"/>
    <d v="1899-12-30T14:53:00"/>
    <n v="2026"/>
    <s v="07"/>
    <s v="Enviado"/>
    <s v="Oxxo Estelar 100"/>
    <m/>
    <s v="Centro"/>
    <s v="Bogotá"/>
    <s v="Av. Calle 100 # 9 - 60"/>
    <s v="PEDRO MORENO SUAREZ"/>
    <s v="https://maps.app.goo.gl/uXjn3GuUgia8RBkB6?g_st=ac"/>
    <s v="Base"/>
    <s v="Zona Hotelera"/>
    <s v="3222772388 3192078531"/>
    <s v="N/A"/>
    <s v="Foto: https://oxxo-colombia.oneapp.cl/static/img/Respuesta/63677506/2570e110c079e9596a9b6077e7bf32c3.jpg_x000a_Foto: https://oxxo-colombia.oneapp.cl/static/img/Respuesta/63677506/abf62ad5490246c519e3f84be59cda22.jpg_x000a_Foto: https://oxxo-colombia.oneapp.cl/static/img/Respuesta/63677506/92af66d43ec63689689cd18b5a363850.jpg"/>
    <n v="31"/>
    <n v="7"/>
    <n v="2026"/>
    <s v="31-2026"/>
    <s v="Subido"/>
    <m/>
    <m/>
    <m/>
    <s v="Aprobado"/>
    <n v="4"/>
    <m/>
    <s v="Cristian Herrera"/>
    <m/>
    <m/>
    <m/>
    <m/>
    <m/>
    <m/>
    <m/>
  </r>
  <r>
    <n v="3713388"/>
    <x v="21"/>
    <s v="ernesto.latorre@oxxo.com"/>
    <d v="2026-07-31T00:00:00"/>
    <d v="2026-07-31T00:00:00"/>
    <d v="1899-12-30T17:51:00"/>
    <n v="2026"/>
    <s v="07"/>
    <s v="Enviado"/>
    <s v="Oxxo 63d"/>
    <m/>
    <s v="Centro"/>
    <s v="Bogotá"/>
    <s v="Cra 35 # 63d 48 (Manzana 3)"/>
    <s v="PEDRO MORENO SUAREZ"/>
    <s v="https://maps.app.goo.gl/mLDkqZj1CSZZTxFD6?g_st=ac"/>
    <s v="Hogar"/>
    <s v="Zona Residencial"/>
    <s v="3182433298 3182432298"/>
    <s v="N/A"/>
    <s v="Foto: https://oxxo-colombia.oneapp.cl/static/img/Respuesta/63679780/81611ba57b807c3332a7f26a2292072c.jpg_x000a_Foto: https://oxxo-colombia.oneapp.cl/static/img/Respuesta/63679780/1b60d97bfee8ed1dce592f849a5c368b.jpg_x000a_Foto: https://oxxo-colombia.oneapp.cl/static/img/Respuesta/63679780/81e27ad62346ed4dac335d2cc7a09e38.jpg_x000a_Foto: https://oxxo-colombia.oneapp.cl/static/img/Respuesta/63679780/a5b68beaeb350c734dd07ac8b4cacc7d.jpg_x000a_Foto: https://oxxo-colombia.oneapp.cl/static/img/Respuesta/63679780/e8e3d680234c29aa7be66d6743b776d1.jpg"/>
    <n v="31"/>
    <n v="7"/>
    <n v="2026"/>
    <s v="31-2026"/>
    <s v="No subido"/>
    <m/>
    <m/>
    <s v="Descartado por punto duplicado (Manzana 3- Diana Bernal)"/>
    <s v="Descartado"/>
    <n v="4"/>
    <m/>
    <m/>
    <m/>
    <m/>
    <m/>
    <m/>
    <m/>
    <m/>
    <m/>
  </r>
  <r>
    <n v="3713413"/>
    <x v="26"/>
    <s v="ana.gonzalez@oxxo.com"/>
    <d v="2026-07-31T00:00:00"/>
    <d v="2026-07-31T00:00:00"/>
    <d v="1899-12-30T18:49:00"/>
    <n v="2026"/>
    <s v="07"/>
    <s v="Enviado"/>
    <s v="Malibu"/>
    <m/>
    <s v="Centro"/>
    <s v="Bogotá"/>
    <s v="Calle 116 # 53 a 42"/>
    <s v="PEDRO MORENO SUAREZ"/>
    <s v="https://maps.app.goo.gl/PWJ7fbEVyUGp2v3K8?g_st=ac"/>
    <s v="Hogar"/>
    <s v="Zona Residencial"/>
    <s v="3121237 / 3214490174"/>
    <s v="www.luqueospina.com"/>
    <s v="Foto: https://oxxo-colombia.oneapp.cl/static/img/Respuesta/63680406/ac6f39e55796fbb616a2b1230c80a365.jpg_x000a_Foto: https://oxxo-colombia.oneapp.cl/static/img/Respuesta/63680406/d0f20e52578a0f51524320451365a725.jpg"/>
    <n v="31"/>
    <n v="7"/>
    <n v="2026"/>
    <s v="31-2026"/>
    <s v="Subido"/>
    <m/>
    <m/>
    <m/>
    <s v="Aprobado"/>
    <n v="4"/>
    <m/>
    <s v="Cristian Herrera"/>
    <m/>
    <m/>
    <m/>
    <m/>
    <m/>
    <m/>
    <m/>
  </r>
  <r>
    <n v="3713467"/>
    <x v="23"/>
    <s v="juan.garciadiaz@oxxo.com"/>
    <d v="2026-07-31T00:00:00"/>
    <d v="2026-07-31T00:00:00"/>
    <d v="1899-12-30T22:40:00"/>
    <n v="2026"/>
    <s v="07"/>
    <s v="Enviado"/>
    <s v="Parque Belén"/>
    <m/>
    <s v="Occidente"/>
    <s v="Antioquia"/>
    <s v="Cra 76 #30a-14"/>
    <s v="YESENIA ARIZTIZABAL ALZATE"/>
    <s v="https://maps.app.goo.gl/wtnwrRLfYWaXvENu6?g_st=ac"/>
    <s v="Receso"/>
    <s v="Zona Comercial"/>
    <n v="3136361050"/>
    <s v="NA"/>
    <s v="Foto: https://oxxo-colombia.oneapp.cl/static/img/Respuesta/63682393/8373dd69034bcfda619df19db4196f5e.jpg_x000a_Foto: https://oxxo-colombia.oneapp.cl/static/img/Respuesta/63682393/b31fca526a3f5d6c8737dcf69dfdddee.jpg"/>
    <n v="31"/>
    <n v="7"/>
    <n v="2026"/>
    <s v="31-2026"/>
    <s v="Subido"/>
    <m/>
    <m/>
    <m/>
    <s v="Pendiente aprob"/>
    <n v="4"/>
    <m/>
    <s v="Stefanny Prieto"/>
    <m/>
    <m/>
    <m/>
    <m/>
    <m/>
    <m/>
    <m/>
  </r>
  <r>
    <n v="3713469"/>
    <x v="23"/>
    <s v="juan.garciadiaz@oxxo.com"/>
    <d v="2026-07-31T00:00:00"/>
    <d v="2026-07-31T00:00:00"/>
    <d v="1899-12-30T22:50:00"/>
    <n v="2026"/>
    <s v="07"/>
    <s v="Enviado"/>
    <s v="Alpujarra"/>
    <m/>
    <s v="Occidente"/>
    <s v="Antioquia"/>
    <s v="Cra 55 # 42-106"/>
    <s v="YESENIA ARIZTIZABAL ALZATE"/>
    <s v="https://maps.app.goo.gl/is9DgMtaMznTik7G6?g_st=ac"/>
    <s v="Receso"/>
    <s v="Zona Administrativa"/>
    <n v="6043547700"/>
    <s v="NA"/>
    <s v="Foto: https://oxxo-colombia.oneapp.cl/static/img/Respuesta/63682436/a605abe87e1570d79a9a6651e8c649a9.jpg"/>
    <n v="31"/>
    <n v="7"/>
    <n v="2026"/>
    <s v="31-2026"/>
    <s v="Subido"/>
    <m/>
    <m/>
    <m/>
    <s v="Pendiente aprob"/>
    <n v="4"/>
    <m/>
    <m/>
    <m/>
    <m/>
    <m/>
    <m/>
    <m/>
    <m/>
    <m/>
  </r>
  <r>
    <n v="3717128"/>
    <x v="17"/>
    <s v="diana.becerramelo@oxxo.com"/>
    <d v="2026-08-01T00:00:00"/>
    <d v="2026-08-01T00:00:00"/>
    <d v="1899-12-30T10:29:00"/>
    <n v="2026"/>
    <n v="8"/>
    <s v="Enviado"/>
    <s v="Techo"/>
    <m/>
    <s v="Centro"/>
    <s v="Bogotá"/>
    <s v="Calle 2 a Bis 71 d 19"/>
    <s v="JUAN QUIROGA"/>
    <s v="https://maps.app.goo.gl/WnKcspwjoaCWsZ7p7"/>
    <s v="Base"/>
    <s v="Otro"/>
    <n v="3185865206"/>
    <s v="No se tiene"/>
    <s v="Foto: https://oxxo-colombia.oneapp.cl/static/img/Respuesta/63740355/f7a81aaf4a4d275c9830a29c57dfc216.jpg_x000a_Foto: https://oxxo-colombia.oneapp.cl/static/img/Respuesta/63740355/0ff453f70c3c8343134cac58f5e14eb9.jpg_x000a_Foto: https://oxxo-colombia.oneapp.cl/static/img/Respuesta/63740355/fd49e91cafc997778c27fb8710f682eb.jpg"/>
    <n v="31"/>
    <n v="8"/>
    <n v="2026"/>
    <s v="31-2026"/>
    <s v="Subido"/>
    <m/>
    <m/>
    <m/>
    <s v="Aprobado"/>
    <n v="4"/>
    <m/>
    <s v="Cristian Herrera"/>
    <m/>
    <m/>
    <m/>
    <m/>
    <m/>
    <m/>
    <m/>
  </r>
  <r>
    <n v="3717133"/>
    <x v="17"/>
    <s v="diana.becerramelo@oxxo.com"/>
    <d v="2026-08-01T00:00:00"/>
    <d v="2026-08-02T00:00:00"/>
    <d v="1899-12-30T10:39:00"/>
    <n v="2026"/>
    <n v="8"/>
    <s v="Enviado"/>
    <s v="Camaleon"/>
    <m/>
    <s v="Centro"/>
    <s v="Bogotá"/>
    <s v="Cl 31 sur 69 b 25"/>
    <s v="JUAN QUIROGA"/>
    <s v="https://maps.app.goo.gl/z51ftMPoRaSyUntA7?g_st=ac"/>
    <s v="Base"/>
    <s v="Zona Comercial"/>
    <s v="3206751528 3173025233 3239419280"/>
    <s v="No se tiene"/>
    <s v="Foto: https://oxxo-colombia.oneapp.cl/static/img/Respuesta/63740966/4abd8798a7a088f44bf0be5c80e46972.jpg_x000a_Foto: https://oxxo-colombia.oneapp.cl/static/img/Respuesta/63740966/70914f11fc1688c319cf6ffebe14844d.jpg_x000a_Foto: https://oxxo-colombia.oneapp.cl/static/img/Respuesta/63740966/46a5004d5c99a59f9df415cb097f3ece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17193"/>
    <x v="7"/>
    <s v="diana.arevalo@oxxo.com"/>
    <d v="2026-08-01T00:00:00"/>
    <d v="2026-08-03T00:00:00"/>
    <d v="1899-12-30T13:54:00"/>
    <n v="2026"/>
    <n v="8"/>
    <s v="Enviado"/>
    <s v="La Milla de Oro"/>
    <s v="Arka 62"/>
    <s v="Centro"/>
    <s v="Centro Sur"/>
    <s v="Calle 60 # 13-09"/>
    <s v="JUAN QUIROGA"/>
    <s v="https://maps.app.goo.gl/9EE3jSdPJrzQJrtw6?g_st=aw"/>
    <s v="Base"/>
    <s v="Zona Comercial"/>
    <s v="RFP CONSTRUCTORES"/>
    <s v="RFP CONSTRUCTORES"/>
    <s v="Foto: https://oxxo-colombia.oneapp.cl/static/img/Respuesta/63746842/c4ab98e68f4992873a6f5471c4620382.jpg_x000a_Foto: https://oxxo-colombia.oneapp.cl/static/img/Respuesta/63746842/261d6dce368284866660e8f108f0d66d.jpg_x000a_Foto: https://oxxo-colombia.oneapp.cl/static/img/Respuesta/63746842/42096afcc8bdb72eb0f5b143e0e02b85.jpg_x000a_Foto: https://oxxo-colombia.oneapp.cl/static/img/Respuesta/63746842/41b68cf3b8642fc3fafcce010f54d739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17236"/>
    <x v="3"/>
    <s v="alejandror.gomez@oxxo.com"/>
    <d v="2026-08-01T00:00:00"/>
    <d v="2026-08-04T00:00:00"/>
    <d v="1899-12-30T18:27:00"/>
    <n v="2026"/>
    <n v="8"/>
    <s v="Enviado"/>
    <s v="Oxxo salento"/>
    <m/>
    <s v="Occidente"/>
    <s v="Eje Cafetero"/>
    <s v="Cra 5 #6-24 salento"/>
    <s v="YESENIA ARIZTIZABAL ALZATE"/>
    <s v="https://maps.app.goo.gl/XGU6hvvivax12F1n8"/>
    <s v="Base"/>
    <s v="Zona Comercial"/>
    <n v="3162403226"/>
    <s v="Altamiracartago@gmail.com"/>
    <s v="Foto: https://oxxo-colombia.oneapp.cl/static/img/Respuesta/63749933/54859383e49cb23af519ca33dcaed235.jpg_x000a_Foto: https://oxxo-colombia.oneapp.cl/static/img/Respuesta/63749933/e8579d344d73e29a6d6a98dbc687857c.jpg_x000a_Foto: https://oxxo-colombia.oneapp.cl/static/img/Respuesta/63749933/3e6a8266d22dbc5976457c59f9fdfa41.jpg"/>
    <n v="32"/>
    <n v="8"/>
    <n v="2026"/>
    <s v="32-2026"/>
    <s v="Subido"/>
    <m/>
    <m/>
    <m/>
    <s v="Pendiente aprob"/>
    <n v="5"/>
    <m/>
    <m/>
    <m/>
    <m/>
    <m/>
    <m/>
    <m/>
    <m/>
    <m/>
  </r>
  <r>
    <n v="3717240"/>
    <x v="15"/>
    <s v="diana.araque@oxxo.com"/>
    <d v="2026-08-01T00:00:00"/>
    <d v="2026-08-05T00:00:00"/>
    <d v="1899-12-30T18:57:00"/>
    <n v="2026"/>
    <n v="8"/>
    <s v="Enviado"/>
    <s v="OXXO LA ORIENTAL"/>
    <m/>
    <s v="Nororiente"/>
    <s v="Oriente"/>
    <s v="Tranversal Oriental 47#95"/>
    <s v="DIEGO RODRIGUEZ ESTEBAN"/>
    <s v="https://maps.app.goo.gl/mZ3Tb7ZqQT8jZUUd6?g_st=aw"/>
    <s v="Hogar"/>
    <s v="Zona Residencial"/>
    <n v="3167435645"/>
    <s v="N/A"/>
    <s v="Foto: https://oxxo-colombia.oneapp.cl/static/img/Respuesta/63750597/5ae5507687a42c51571a89dc79b8fb41.jpg_x000a_Foto: https://oxxo-colombia.oneapp.cl/static/img/Respuesta/63750597/2a9b639d6e201e7e33f753ef61c50002.jpg_x000a_Foto: https://oxxo-colombia.oneapp.cl/static/img/Respuesta/63750597/a8137e15f0bc1a96cfbfa67826738ad4.jpg_x000a_Foto: https://oxxo-colombia.oneapp.cl/static/img/Respuesta/63750597/0bf7e056b779ec819f1b19ac6406342e.jpg"/>
    <n v="32"/>
    <n v="8"/>
    <n v="2026"/>
    <s v="32-2026"/>
    <s v="Subido"/>
    <m/>
    <m/>
    <m/>
    <s v="Pendiente aprob"/>
    <n v="5"/>
    <m/>
    <m/>
    <m/>
    <m/>
    <m/>
    <m/>
    <m/>
    <m/>
    <m/>
  </r>
  <r>
    <n v="3720232"/>
    <x v="0"/>
    <s v="sandra.padilla@oxxo.com"/>
    <d v="2026-08-01T00:00:00"/>
    <d v="2026-08-06T00:00:00"/>
    <d v="1899-12-30T14:25:00"/>
    <n v="2026"/>
    <n v="8"/>
    <s v="Enviado"/>
    <s v="Morada del viento carrizal"/>
    <m/>
    <s v="Nororiente"/>
    <s v="Oriente"/>
    <s v="CRA 24 no. 69b 33"/>
    <s v="DIEGO RODRIGUEZ ESTEBAN"/>
    <s v="https://maps.app.goo.gl/A1MRfapYuV1SWFwU8"/>
    <s v="Hogar"/>
    <s v="Zona Residencial"/>
    <s v="Local. Morada del viento San Antonio carrizal Rafael comfenalco Santander 3182574377"/>
    <s v="Local. Morada del viento San Antonio carrizal Rafael comfenalco Santander 3182574377 Local de 258 metros cuadrados"/>
    <s v="Foto: https://oxxo-colombia.oneapp.cl/static/img/Respuesta/63800467/276349ab1153498ae73360dfad35c93e.jpg_x000a_Foto: https://oxxo-colombia.oneapp.cl/static/img/Respuesta/63800467/062df9c3316f424b2b0eae7939d42ecd.jpg"/>
    <n v="32"/>
    <n v="8"/>
    <n v="2026"/>
    <s v="32-2026"/>
    <s v="Subido"/>
    <m/>
    <m/>
    <m/>
    <s v="Pendiente aprob"/>
    <n v="5"/>
    <m/>
    <m/>
    <m/>
    <m/>
    <m/>
    <m/>
    <m/>
    <m/>
    <m/>
  </r>
  <r>
    <n v="3720236"/>
    <x v="31"/>
    <s v="john.alzate@oxxo.com"/>
    <d v="2026-08-02T00:00:00"/>
    <d v="2026-08-02T00:00:00"/>
    <d v="1899-12-30T14:47:00"/>
    <n v="2026"/>
    <n v="8"/>
    <s v="Enviado"/>
    <s v="Plaza Salento"/>
    <m/>
    <s v="Occidente"/>
    <s v="Eje Cafetero"/>
    <s v="Calle 6 5 29"/>
    <s v="YESENIA ARIZTIZABAL ALZATE"/>
    <s v="https://maps.apple/p/WQ1QP2YTRjkQH3"/>
    <s v="Receso"/>
    <s v="Otro"/>
    <s v="Solo muestra se arrienda, no fue posible encontrar el nombre del propietario. Solo whatsApp"/>
    <n v="3148881602"/>
    <s v="Foto: https://oxxo-colombia.oneapp.cl/static/img/Respuesta/63801171/a805aebd5d0e4846c7aa0e8ee74898bf.jpg_x000a_Foto: https://oxxo-colombia.oneapp.cl/static/img/Respuesta/63801171/fdcabd9ce8ecafd6154ff7450ec30062.jpg_x000a_Foto: https://oxxo-colombia.oneapp.cl/static/img/Respuesta/63801171/d27244e19079568379055e1494e4719c.jpg_x000a_Foto: https://oxxo-colombia.oneapp.cl/static/img/Respuesta/63801171/ea21b1e0feda8b0d2ef85d97f69adf59.jpg_x000a_Foto: https://oxxo-colombia.oneapp.cl/static/img/Respuesta/63801171/2e4d6ee2e54692b236f5affd29818fb4.jpg_x000a_Foto: https://oxxo-colombia.oneapp.cl/static/img/Respuesta/63801171/5ca4d165d4a9f6d429154ea391bcb301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20242"/>
    <x v="31"/>
    <s v="john.alzate@oxxo.com"/>
    <d v="2026-08-02T00:00:00"/>
    <d v="2026-08-02T00:00:00"/>
    <d v="1899-12-30T16:15:00"/>
    <n v="2026"/>
    <n v="8"/>
    <s v="Enviado"/>
    <s v="Salento plaza principal"/>
    <m/>
    <s v="Occidente"/>
    <s v="Eje Cafetero"/>
    <s v="Carrera 7 5-33 Plaza principal salento"/>
    <s v="YESENIA ARIZTIZABAL ALZATE"/>
    <s v="https://maps.app.goo.gl/3SGYDcYPxGCqkmrXA"/>
    <s v="Receso"/>
    <s v="Otro"/>
    <s v="Sin información de propietario Solo contacto whatsAapp"/>
    <s v="3105591791 3136836772 3242597501"/>
    <s v="Foto: https://oxxo-colombia.oneapp.cl/static/img/Respuesta/63802938/4a8b3077b0f8fae96986e1522a24b876.jpg_x000a_Foto: https://oxxo-colombia.oneapp.cl/static/img/Respuesta/63802938/eba3fd2f84d6a2ea4fb2aa6f713c23b2.jpg_x000a_Foto: https://oxxo-colombia.oneapp.cl/static/img/Respuesta/63802938/d21a9a0ec07801610bb6e4c0cc209e37.jpg_x000a_Foto: https://oxxo-colombia.oneapp.cl/static/img/Respuesta/63802938/3f71696be7663013abaf897dfc9bf4e3.jpg_x000a_Foto: https://oxxo-colombia.oneapp.cl/static/img/Respuesta/63802938/5f9c5031777ebaec389f0403a4790c41.jpg_x000a_Foto: https://oxxo-colombia.oneapp.cl/static/img/Respuesta/63802938/de12988dc426f26528d9125029d1de0d.jpg"/>
    <n v="32"/>
    <n v="8"/>
    <n v="2026"/>
    <s v="32-2026"/>
    <s v="Subido"/>
    <m/>
    <m/>
    <m/>
    <s v="Pendiente aprob"/>
    <n v="5"/>
    <m/>
    <m/>
    <m/>
    <m/>
    <m/>
    <m/>
    <m/>
    <m/>
    <m/>
  </r>
  <r>
    <n v="3720249"/>
    <x v="4"/>
    <s v="cristian.romero@oxxo.com"/>
    <d v="2026-08-02T00:00:00"/>
    <d v="2026-08-02T00:00:00"/>
    <d v="1899-12-30T17:00:00"/>
    <n v="2026"/>
    <n v="8"/>
    <s v="Enviado"/>
    <s v="Chiquinquirá estación de policía"/>
    <m/>
    <s v="Centro"/>
    <s v="Centro Norte"/>
    <s v="Cr 9 no 14-16"/>
    <s v="PEDRO MORENO SUAREZ"/>
    <s v="https://maps.app.goo.gl/HDAf9GLze9wS1Dte8"/>
    <s v="Receso"/>
    <s v="Zona Comercial"/>
    <n v="3108711116"/>
    <n v="3112239867"/>
    <s v="Foto: https://oxxo-colombia.oneapp.cl/static/img/Respuesta/63803105/d55cef3d1de2e8848d6ce6f325bcab51.jpg_x000a_Foto: https://oxxo-colombia.oneapp.cl/static/img/Respuesta/63803105/9d21b27c71bf8925c11cd9ebc5b418bb.jpg_x000a_Foto: https://oxxo-colombia.oneapp.cl/static/img/Respuesta/63803105/ac08211fcee27858ce4f02d26c7f7e33.jpg"/>
    <n v="32"/>
    <n v="8"/>
    <n v="2026"/>
    <s v="32-2026"/>
    <s v="Subido"/>
    <m/>
    <m/>
    <m/>
    <s v="Pendiente aprob"/>
    <n v="5"/>
    <m/>
    <m/>
    <m/>
    <m/>
    <m/>
    <m/>
    <m/>
    <m/>
    <m/>
  </r>
  <r>
    <n v="3720250"/>
    <x v="4"/>
    <s v="cristian.romero@oxxo.com"/>
    <d v="2026-08-02T00:00:00"/>
    <d v="2026-08-02T00:00:00"/>
    <d v="1899-12-30T17:30:00"/>
    <n v="2026"/>
    <n v="8"/>
    <s v="Enviado"/>
    <s v="Eds brío simijaca"/>
    <m/>
    <s v="Centro"/>
    <s v="Centro Norte"/>
    <s v="Via nacional a tes de el ingreso al municipio de simija eda brío"/>
    <s v="PEDRO MORENO SUAREZ"/>
    <s v="https://maps.app.goo.gl/U1uAhHiG3RKQyXSG7?g_st=aw"/>
    <s v="Receso"/>
    <s v="Zona Industrial"/>
    <s v="Pedro albornoz Telefono"/>
    <n v="3108626217"/>
    <s v="Foto: https://oxxo-colombia.oneapp.cl/static/img/Respuesta/63803153/8741b33ab106cbf20674413f3b7a689e.jpg_x000a_Foto: https://oxxo-colombia.oneapp.cl/static/img/Respuesta/63803153/ef765e5bb087d521aa2321c38123f9f9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23528"/>
    <x v="34"/>
    <s v="john.espinosa@oxxo.com"/>
    <d v="2026-08-03T00:00:00"/>
    <d v="2026-08-03T00:00:00"/>
    <d v="1899-12-30T10:02:00"/>
    <n v="2026"/>
    <n v="8"/>
    <s v="Enviado"/>
    <s v="Santelmo"/>
    <m/>
    <s v="Centro"/>
    <s v="Centro Norte"/>
    <s v="Calle 200 # 54D 24"/>
    <s v="PEDRO MORENO SUAREZ"/>
    <s v="https://maps.app.goo.gl/sja2jM1gN4yYBdhx8?g_st=awb"/>
    <s v="Base"/>
    <s v="Zona Residencial"/>
    <n v="3175736861"/>
    <s v="Vidalito123@hotmail.com"/>
    <s v="Foto: https://oxxo-colombia.oneapp.cl/static/img/Respuesta/63858266/a14ebe30075ccafc49ecbb3a418bdbe7.jpg"/>
    <n v="32"/>
    <n v="8"/>
    <n v="2026"/>
    <s v="32-2026"/>
    <s v="Subido"/>
    <m/>
    <m/>
    <m/>
    <s v="Descartado"/>
    <n v="5"/>
    <s v="Duplicado"/>
    <m/>
    <m/>
    <m/>
    <m/>
    <m/>
    <m/>
    <m/>
    <m/>
  </r>
  <r>
    <n v="3723709"/>
    <x v="35"/>
    <s v="brayan.mogollon@oxxo.com"/>
    <d v="2026-08-03T00:00:00"/>
    <d v="2026-08-03T00:00:00"/>
    <d v="1899-12-30T13:52:00"/>
    <n v="2026"/>
    <n v="8"/>
    <s v="Enviado"/>
    <s v="Normandia"/>
    <m/>
    <s v="Centro"/>
    <s v="Bogotá"/>
    <s v="Avenida Calle 63 # 68-95,"/>
    <s v="JUAN QUIROGA"/>
    <s v="https://maps.app.goo.gl/uPzENniJpzksBB6d9?g_st=ac"/>
    <s v="Base"/>
    <s v="Zona Comercial"/>
    <n v="3142406629"/>
    <s v="No tengo"/>
    <s v="Foto: https://oxxo-colombia.oneapp.cl/static/img/Respuesta/63869318/68b58f8079e513cc4e9f75730a22b393.jpg"/>
    <n v="32"/>
    <n v="8"/>
    <n v="2026"/>
    <s v="32-2026"/>
    <s v="No subido"/>
    <m/>
    <m/>
    <s v="Descartado por punto duplicado (OXXO Olimpica 53- Vicky Duque)"/>
    <s v="Descartado"/>
    <n v="5"/>
    <s v="Duplicado"/>
    <m/>
    <m/>
    <m/>
    <m/>
    <m/>
    <m/>
    <m/>
    <m/>
  </r>
  <r>
    <n v="3723786"/>
    <x v="19"/>
    <m/>
    <d v="2026-08-03T00:00:00"/>
    <d v="2026-08-03T00:00:00"/>
    <d v="1899-12-30T16:34:00"/>
    <n v="2026"/>
    <n v="8"/>
    <s v="Enviado"/>
    <s v="Oxxo La Prosperidad"/>
    <m/>
    <s v="Centro"/>
    <s v="Bogotá"/>
    <s v="Ak 14 #4-54"/>
    <s v="PEDRO MORENO SUAREZ"/>
    <s v="https://maps.app.goo.gl/G75iDzagmikiXyJM8?g_st=ac"/>
    <s v="Hogar"/>
    <s v="Zona Residencial"/>
    <n v="3115156846"/>
    <s v="mao_ix@hotmail.com"/>
    <s v="Foto: https://oxxo-colombia.oneapp.cl/static/img/Respuesta/63873138/98114106e7b1f8f73313f563572e7985.jpg"/>
    <n v="32"/>
    <n v="8"/>
    <n v="2026"/>
    <s v="32-2026"/>
    <s v="Subido"/>
    <m/>
    <m/>
    <m/>
    <m/>
    <m/>
    <m/>
    <s v="Cristian Herrera"/>
    <m/>
    <m/>
    <m/>
    <m/>
    <m/>
    <m/>
    <m/>
  </r>
  <r>
    <n v="3723854"/>
    <x v="19"/>
    <m/>
    <d v="2026-08-03T00:00:00"/>
    <d v="2026-08-03T00:00:00"/>
    <d v="1899-12-30T20:21:00"/>
    <n v="2026"/>
    <n v="8"/>
    <s v="Enviado"/>
    <s v="Oxxo Av Cali"/>
    <s v="San Jorge"/>
    <s v="Centro"/>
    <s v="Centro Norte"/>
    <s v="Av. Cra. 91 # 127-42, Suba, Bogotá, D.C., Bogotá, Bogotá, D.C."/>
    <s v="PEDRO MORENO SUAREZ"/>
    <s v="https://maps.app.goo.gl/bbD6wH2fw6vA3nnr8"/>
    <s v="Base"/>
    <s v="Zona Comercial"/>
    <n v="3144544008"/>
    <s v="."/>
    <s v="Foto: https://oxxo-colombia.oneapp.cl/static/img/Respuesta/63876532/be50077cdd7d38af4f8277745ef51453.jpg"/>
    <n v="32"/>
    <n v="8"/>
    <n v="2026"/>
    <s v="32-2026"/>
    <s v="Subido"/>
    <m/>
    <m/>
    <m/>
    <m/>
    <m/>
    <m/>
    <m/>
    <m/>
    <m/>
    <m/>
    <m/>
    <m/>
    <m/>
    <m/>
  </r>
  <r>
    <n v="3723552"/>
    <x v="10"/>
    <s v="danny.perdomo@oxxo.com"/>
    <d v="2026-08-03T00:00:00"/>
    <d v="2026-08-03T00:00:00"/>
    <d v="1899-12-30T10:41:00"/>
    <n v="2026"/>
    <n v="8"/>
    <s v="Enviado"/>
    <s v="Estación marsella"/>
    <m/>
    <s v="Centro"/>
    <s v="Bogotá"/>
    <s v="Avenida américas # 69 f - 59"/>
    <s v="JUAN QUIROGA"/>
    <s v="https://maps.app.goo.gl/SCVRWCZsj9gzMS3RA"/>
    <s v="Receso "/>
    <s v="Zona Residencial"/>
    <n v="3118833395"/>
    <s v="Na"/>
    <s v="Foto: https://oxxo-colombia.oneapp.cl/static/img/Respuesta/63860406/d17be3664547d9bdaab5f7329fb399fc.jpg"/>
    <n v="32"/>
    <n v="8"/>
    <n v="2026"/>
    <s v="32-2026"/>
    <s v="Subido"/>
    <m/>
    <m/>
    <m/>
    <m/>
    <m/>
    <m/>
    <s v="Stefanny Prieto"/>
    <m/>
    <m/>
    <m/>
    <m/>
    <m/>
    <m/>
    <m/>
  </r>
  <r>
    <n v="3723836"/>
    <x v="18"/>
    <s v="yury.sanchez@oxxo.com"/>
    <d v="2026-08-03T00:00:00"/>
    <d v="2026-08-03T00:00:00"/>
    <d v="1899-12-30T18:51:00"/>
    <n v="2026"/>
    <n v="8"/>
    <s v="Enviado"/>
    <s v="Cabecera 2"/>
    <m/>
    <s v="Nororiente"/>
    <s v="Oriente"/>
    <s v="Centro Comercial Cabecera II Etapa, Cra. 33 #49 - 35, Cabecera del llano, Bucaramanga, Santander"/>
    <s v="DIEGO RODRIGUEZ ESTEBAN"/>
    <s v="https://maps.app.goo.gl/cMpbPryamsCXm6os6"/>
    <s v="Receso "/>
    <s v="Zona Comercial"/>
    <s v="Inmobiliaria  Esteban Rios"/>
    <n v="3185159468"/>
    <s v="Foto: https://oxxo-colombia.oneapp.cl/static/img/Respuesta/63876035/bb4016add7228c7c12c0cc23b161fab0.jpg"/>
    <n v="32"/>
    <n v="8"/>
    <n v="2026"/>
    <s v="32-2026"/>
    <s v="Subido"/>
    <m/>
    <m/>
    <m/>
    <m/>
    <m/>
    <m/>
    <m/>
    <m/>
    <m/>
    <m/>
    <m/>
    <m/>
    <m/>
    <m/>
  </r>
  <r>
    <n v="3723853"/>
    <x v="19"/>
    <m/>
    <d v="2026-08-03T00:00:00"/>
    <d v="2026-08-03T00:00:00"/>
    <d v="1899-12-30T20:15:00"/>
    <n v="2026"/>
    <n v="8"/>
    <s v="Enviado"/>
    <s v="Suba 91"/>
    <m/>
    <s v="Centro"/>
    <s v="Centro Norte"/>
    <s v="Av. Cra. 91 #135-53"/>
    <s v="PEDRO MORENO SUAREZ"/>
    <s v="https://maps.app.goo.gl/yFy8bfYKFpoFYBvH7"/>
    <s v="Base"/>
    <s v="Zona Comercial"/>
    <n v="3144070708"/>
    <s v="."/>
    <s v="Foto: https://oxxo-colombia.oneapp.cl/static/img/Respuesta/63876496/c4442563c45e9e3c781abd97f65d25ee.jpg"/>
    <n v="32"/>
    <n v="8"/>
    <n v="2026"/>
    <s v="32-2026"/>
    <m/>
    <m/>
    <m/>
    <m/>
    <m/>
    <m/>
    <m/>
    <m/>
    <m/>
    <m/>
    <m/>
    <m/>
    <m/>
    <m/>
    <m/>
  </r>
  <r>
    <n v="3728857"/>
    <x v="34"/>
    <s v="john.espinosa@oxxo.com"/>
    <d v="2026-08-04T00:00:00"/>
    <d v="2026-08-04T00:00:00"/>
    <d v="1899-12-30T12:29:00"/>
    <n v="2026"/>
    <n v="8"/>
    <s v="Enviado"/>
    <s v="Autopista 184"/>
    <m/>
    <s v="Centro"/>
    <s v="Centro Norte"/>
    <s v="Autopista norte # 183a 39"/>
    <s v="PEDRO MORENO SUAREZ"/>
    <s v="https://maps.app.goo.gl/jNpHmWP27vuM4Bfm7"/>
    <s v="Base"/>
    <s v="Zona Comercial"/>
    <n v="3212005248"/>
    <s v="Na"/>
    <s v="Foto: https://oxxo-colombia.oneapp.cl/static/img/Respuesta/63941652/5a532aa9ae2a36859fcdd1c611dadaa2.jpg"/>
    <n v="32"/>
    <n v="8"/>
    <n v="2026"/>
    <s v="32-2026"/>
    <m/>
    <m/>
    <m/>
    <m/>
    <m/>
    <m/>
    <m/>
    <m/>
    <m/>
    <m/>
    <m/>
    <m/>
    <m/>
    <m/>
    <m/>
  </r>
  <r>
    <n v="3732094"/>
    <x v="19"/>
    <m/>
    <d v="2026-08-05T00:00:00"/>
    <d v="2026-08-05T00:00:00"/>
    <d v="1899-12-30T07:21:00"/>
    <n v="2026"/>
    <n v="8"/>
    <s v="Enviado"/>
    <s v="Niza 127"/>
    <m/>
    <s v="Centro"/>
    <s v="Bogotá"/>
    <s v="Cl 127 A #60-75, Bogotá"/>
    <s v="PEDRO MORENO SUAREZ"/>
    <s v="https://maps.app.goo.gl/ZQWprWg9ZBaCyJoa7?g_st=ac"/>
    <s v="Base"/>
    <s v="Zona Administrativa"/>
    <s v="3208122067-3162891172"/>
    <n v="3164665723"/>
    <s v="Foto: https://oxxo-colombia.oneapp.cl/static/img/Respuesta/63998199/aa8cd55004054569653dfd6e54710aab.jpg"/>
    <n v="32"/>
    <n v="8"/>
    <n v="2026"/>
    <s v="32-2026"/>
    <s v="Subido"/>
    <m/>
    <m/>
    <m/>
    <m/>
    <m/>
    <m/>
    <m/>
    <m/>
    <m/>
    <m/>
    <m/>
    <m/>
    <m/>
    <m/>
  </r>
  <r>
    <n v="3732263"/>
    <x v="21"/>
    <s v="ernesto.latorre@oxxo.com"/>
    <n v="46239"/>
    <n v="46239"/>
    <n v="0.38263888888888886"/>
    <n v="2026"/>
    <n v="8"/>
    <s v="Enviado"/>
    <s v="Oxxo Av. Quito"/>
    <m/>
    <s v="Centro"/>
    <s v="Bogotá"/>
    <s v="Ak 30 # 63d 36"/>
    <s v="PEDRO MORENO SUAREZ"/>
    <s v="https://maps.app.goo.gl/PTqk5E3WkuMu5db18"/>
    <s v="Hogar"/>
    <s v="Zona Residencial"/>
    <n v="3202713662"/>
    <s v="N/A"/>
    <s v="Foto: https://oxxo-colombia.oneapp.cl/static/img/Respuesta/64005532/5be479c8940990eec5a90f0bb1425d05.jpg"/>
    <n v="32"/>
    <n v="8"/>
    <n v="2026"/>
    <s v="32-2026"/>
    <m/>
    <m/>
    <m/>
    <m/>
    <m/>
    <m/>
    <m/>
    <m/>
    <m/>
    <m/>
    <m/>
    <m/>
    <m/>
    <m/>
    <m/>
  </r>
  <r>
    <n v="3732378"/>
    <x v="28"/>
    <s v="oscar.ramirez@oxxo.com"/>
    <n v="46239"/>
    <n v="46239"/>
    <n v="0.4777777777777778"/>
    <n v="2026"/>
    <n v="8"/>
    <s v="Enviado"/>
    <s v="Barra andatti las aguas"/>
    <m/>
    <s v="Centro"/>
    <s v="Bogotá"/>
    <s v="Edificio city u - calle 19 # 2a - 10"/>
    <s v="JUAN QUIROGA"/>
    <s v="https://maps.app.goo.gl/boPbkq6BHoXac6EC7?g_st=aw"/>
    <s v="Receso "/>
    <s v="Centros Educativos"/>
    <s v="Administración city U"/>
    <s v="No aplica"/>
    <s v="Foto: https://oxxo-colombia.oneapp.cl/static/img/Respuesta/64013028/cf19a05ba07e93c05db94ee56cd50fe5.jpg Foto: https://oxxo-colombia.oneapp.cl/static/img/Respuesta/64013028/c901265c043d324218a7d40bdc66b6d5.jpg"/>
    <n v="32"/>
    <n v="8"/>
    <n v="2026"/>
    <s v="32-2026"/>
    <m/>
    <m/>
    <m/>
    <m/>
    <m/>
    <m/>
    <m/>
    <m/>
    <m/>
    <m/>
    <m/>
    <m/>
    <m/>
    <m/>
    <m/>
  </r>
  <r>
    <n v="3732413"/>
    <x v="28"/>
    <s v="oscar.ramirez@oxxo.com"/>
    <n v="46239"/>
    <n v="46239"/>
    <n v="0.50069444444444444"/>
    <n v="2026"/>
    <n v="8"/>
    <s v="Enviado"/>
    <s v="Oxxo parque los periodistas"/>
    <m/>
    <s v="Centro"/>
    <s v="Bogotá"/>
    <s v="Avenida Jiménez de Quesada # 4-16"/>
    <s v="JUAN QUIROGA"/>
    <s v="https://maps.app.goo.gl/3NmVQSkDSA8JnBjAA?g_st=aw"/>
    <s v="Base"/>
    <s v="Zona Comercial"/>
    <n v="3212608047"/>
    <s v="No aplica"/>
    <s v="Foto: https://oxxo-colombia.oneapp.cl/static/img/Respuesta/64014853/83f5451cf239d68df9b5137d382d2770.jpg "/>
    <n v="32"/>
    <n v="8"/>
    <n v="2026"/>
    <s v="32-2026"/>
    <m/>
    <m/>
    <m/>
    <m/>
    <m/>
    <m/>
    <m/>
    <m/>
    <m/>
    <m/>
    <m/>
    <m/>
    <m/>
    <m/>
    <m/>
  </r>
  <r>
    <n v="3732448"/>
    <x v="21"/>
    <s v="ernesto.latorre@oxxo.com"/>
    <n v="46239"/>
    <n v="46239"/>
    <n v="0.52083333333333337"/>
    <n v="2026"/>
    <n v="8"/>
    <s v="Enviado"/>
    <s v="Oxxo Gran Via"/>
    <m/>
    <s v="Centro"/>
    <s v="Bogotá"/>
    <s v="Calle 100 # 7-45"/>
    <s v="PEDRO MORENO SUAREZ"/>
    <s v="https://maps.app.goo.gl/XCbjMYK8g7K9WXB1A?g_st=ac"/>
    <s v="Hogar"/>
    <s v="Zona Residencial"/>
    <n v="3108086186"/>
    <s v="Margarita Guerrero"/>
    <s v="Foto: https://oxxo-colombia.oneapp.cl/static/img/Respuesta/64015987/2427fbccf563dc08c35860b714e49c44.jpg Foto: https://oxxo-colombia.oneapp.cl/static/img/Respuesta/64015987/734446e60b1a2ef06c4f3ee3a875fb24.jpg"/>
    <n v="32"/>
    <n v="8"/>
    <n v="2026"/>
    <s v="32-2026"/>
    <m/>
    <m/>
    <m/>
    <m/>
    <m/>
    <m/>
    <m/>
    <m/>
    <m/>
    <m/>
    <m/>
    <m/>
    <m/>
    <m/>
    <m/>
  </r>
  <r>
    <n v="3732430"/>
    <x v="28"/>
    <s v="oscar.ramirez@oxxo.com"/>
    <n v="46239"/>
    <n v="46239"/>
    <n v="0.52361111111111114"/>
    <n v="2026"/>
    <n v="8"/>
    <s v="Enviado"/>
    <s v="Oxxo periodistas"/>
    <m/>
    <s v="Centro"/>
    <s v="Bogotá"/>
    <s v="Avenida Jiménez # 3- 89"/>
    <s v="JUAN QUIROGA"/>
    <s v="https://maps.app.goo.gl/1hCHofHjqy4rHCpf9"/>
    <s v="Base"/>
    <s v="Zona Residencial"/>
    <n v="3212608047"/>
    <s v="Mónica inmobiliaria gni"/>
    <s v="Foto: https://oxxo-colombia.oneapp.cl/static/img/Respuesta/64017044/dab51f4d7af02b733f85738d82f8a9d8.jpg Foto: https://oxxo-colombia.oneapp.cl/static/img/Respuesta/64017044/0a3cf4639fd46cecd998bca94b325966.jpg"/>
    <n v="32"/>
    <n v="8"/>
    <n v="2026"/>
    <s v="32-2026"/>
    <m/>
    <m/>
    <m/>
    <m/>
    <m/>
    <m/>
    <m/>
    <m/>
    <m/>
    <m/>
    <m/>
    <m/>
    <m/>
    <m/>
    <m/>
  </r>
  <r>
    <n v="3732553"/>
    <x v="19"/>
    <m/>
    <n v="46239"/>
    <n v="46239"/>
    <n v="0.62986111111111109"/>
    <n v="2026"/>
    <n v="8"/>
    <s v="Enviado"/>
    <s v="Oxxo Villa Alemana"/>
    <m/>
    <s v="Nororiente"/>
    <s v="Bogotá"/>
    <s v="Cra. 4a Este # 98G-13, Usme, Bogotá, D.C."/>
    <s v="PEDRO MORENO SUAREZ"/>
    <s v="https://maps.app.goo.gl/wLfx3vgEhesCgzpe7?g_st=ac"/>
    <s v="Base"/>
    <s v="Zona Residencial"/>
    <n v="3213793476"/>
    <s v="pablomoreno1234mont@gmail.com"/>
    <s v="Foto: https://oxxo-colombia.oneapp.cl/static/img/Respuesta/64022814/2690a1c846f5e05f6f8739066b27c113.jpg Foto: https://oxxo-colombia.oneapp.cl/static/img/Respuesta/64022814/006b3387d1f8b02b9b2cdd3649ad68df.jpg"/>
    <n v="32"/>
    <n v="8"/>
    <n v="2026"/>
    <s v="32-2026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2D6284-EEC0-4798-A3C3-9BD5487465C1}" name="TablaDinámica5" cacheId="28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B7" firstHeaderRow="1" firstDataRow="1" firstDataCol="1" rowPageCount="1" colPageCount="1"/>
  <pivotFields count="20">
    <pivotField showAll="0"/>
    <pivotField axis="axisPage" multipleItemSelectionAllowed="1" showAll="0" sortType="ascending">
      <items count="18">
        <item x="5"/>
        <item x="14"/>
        <item x="8"/>
        <item m="1" x="16"/>
        <item x="11"/>
        <item x="6"/>
        <item x="7"/>
        <item x="12"/>
        <item x="9"/>
        <item x="15"/>
        <item x="4"/>
        <item x="2"/>
        <item h="1" x="0"/>
        <item x="3"/>
        <item x="13"/>
        <item x="1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" hier="-1"/>
  </pageFields>
  <dataFields count="1">
    <dataField name="Cuenta de Nombre del Punto 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F59892-5B5E-44AC-A7C0-F82EB0E8B476}" name="TablaDinámica2" cacheId="28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O41" firstHeaderRow="1" firstDataRow="3" firstDataCol="1"/>
  <pivotFields count="38">
    <pivotField dataField="1" showAll="0"/>
    <pivotField axis="axisRow" showAll="0">
      <items count="36">
        <item x="3"/>
        <item x="20"/>
        <item x="12"/>
        <item x="6"/>
        <item x="9"/>
        <item x="4"/>
        <item x="32"/>
        <item x="14"/>
        <item x="28"/>
        <item x="5"/>
        <item x="10"/>
        <item x="16"/>
        <item x="15"/>
        <item x="17"/>
        <item x="7"/>
        <item x="13"/>
        <item x="21"/>
        <item x="29"/>
        <item x="22"/>
        <item x="19"/>
        <item x="2"/>
        <item x="33"/>
        <item x="25"/>
        <item x="23"/>
        <item x="34"/>
        <item x="1"/>
        <item x="31"/>
        <item x="24"/>
        <item x="30"/>
        <item x="11"/>
        <item x="26"/>
        <item x="27"/>
        <item x="0"/>
        <item x="8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5">
        <item x="1"/>
        <item x="0"/>
        <item x="2"/>
        <item x="3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2">
    <field x="31"/>
    <field x="30"/>
  </colFields>
  <colItems count="14">
    <i>
      <x/>
      <x/>
    </i>
    <i r="1">
      <x v="1"/>
    </i>
    <i t="default">
      <x/>
    </i>
    <i>
      <x v="1"/>
      <x/>
    </i>
    <i r="1">
      <x v="1"/>
    </i>
    <i r="1">
      <x v="2"/>
    </i>
    <i r="1">
      <x v="3"/>
    </i>
    <i t="default">
      <x v="1"/>
    </i>
    <i>
      <x v="2"/>
      <x/>
    </i>
    <i r="1">
      <x v="1"/>
    </i>
    <i r="1">
      <x v="2"/>
    </i>
    <i r="1">
      <x v="3"/>
    </i>
    <i t="default">
      <x v="2"/>
    </i>
    <i t="grand">
      <x/>
    </i>
  </colItems>
  <dataFields count="1">
    <dataField name="Cuenta de I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C74B1E-A237-4131-98E7-9850E58F3BED}" name="TablaDinámica3" cacheId="2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A40" firstHeaderRow="1" firstDataRow="1" firstDataCol="1"/>
  <pivotFields count="40">
    <pivotField showAll="0"/>
    <pivotField axis="axisRow" showAll="0">
      <items count="37">
        <item x="3"/>
        <item x="20"/>
        <item x="12"/>
        <item x="6"/>
        <item x="35"/>
        <item x="9"/>
        <item x="4"/>
        <item x="14"/>
        <item x="28"/>
        <item x="5"/>
        <item x="10"/>
        <item x="16"/>
        <item x="15"/>
        <item x="17"/>
        <item x="7"/>
        <item x="13"/>
        <item x="21"/>
        <item x="29"/>
        <item x="22"/>
        <item x="19"/>
        <item x="2"/>
        <item x="31"/>
        <item x="34"/>
        <item x="25"/>
        <item x="23"/>
        <item x="32"/>
        <item x="1"/>
        <item x="33"/>
        <item x="24"/>
        <item x="30"/>
        <item x="11"/>
        <item x="26"/>
        <item x="27"/>
        <item x="0"/>
        <item x="8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A2E7C4F-1DE8-4BA9-9ED5-A112220F014C}">
  <we:reference id="wa200004179" version="2025.3.0.0" store="en-US" storeType="OMEX"/>
  <we:alternateReferences>
    <we:reference id="wa200004179" version="2025.3.0.0" store="" storeType="OMEX"/>
  </we:alternateReferences>
  <we:properties>
    <we:property name="Esri.A4E.GeometryCache.cachedgeocode@@co@@https://geocode.arcgis.com/arcgis/rest/services/world/geocodeserver@@singleline" value="&quot;{40F3D427-5BDE-47CB-9FED-B3E563193BA5}&quot;"/>
    <we:property name="app-config" value="&quot;{\&quot;map\&quot;:{\&quot;webmap\&quot;:{\&quot;is3d\&quot;:false,\&quot;itemData\&quot;:{\&quot;operationalLayers\&quot;:[{\&quot;id\&quot;:\&quot;19ba47b8dd7-layer-3\&quot;,\&quot;visibility\&quot;:true,\&quot;opacity\&quot;:1,\&quot;minScale\&quot;:0,\&quot;maxScale\&quot;:0,\&quot;refreshInterval\&quot;:0,\&quot;title\&quot;:\&quot;'Expansion_2025-11-10-11.35.01'!U2:V74\&quot;,\&quot;objectIdField\&quot;:\&quot;objectId\&quot;,\&quot;type\&quot;:\&quot;DataLayer\&quot;,\&quot;layerType\&quot;:\&quot;ArcGISFeatureLayer\&quot;,\&quot;popupEnabled\&quot;:true,\&quot;disablePopup\&quot;:false,\&quot;visible\&quot;:true,\&quot;geometryType\&quot;:\&quot;point\&quot;,\&quot;source\&quot;:[{\&quot;attributes\&quot;:{},\&quot;geometry\&quot;:{\&quot;x\&quot;:0,\&quot;y\&quot;:0,\&quot;type\&quot;:\&quot;point\&quot;,\&quot;spatialReference\&quot;:{\&quot;latestWkid\&quot;:3857,\&quot;wkid\&quot;:102100}}}],\&quot;spatialReference\&quot;:{\&quot;latestWkid\&quot;:3857,\&quot;wkid\&quot;:102100},\&quot;esriMaps\&quot;:{\&quot;customProps\&quot;:{\&quot;dataTableType\&quot;:\&quot;CellRangeWithHeader\&quot;},\&quot;isTimeEnabled\&quot;:\&quot;false\&quot;,\&quot;clusterInfo\&quot;:null,\&quot;lastShareInfo\&quot;:null},\&quot;timeInfo\&quot;:null,\&quot;showLabels\&quot;:true,\&quot;featureCollection\&quot;:{\&quot;layers\&quot;:[{\&quot;popupInfo\&quot;:{\&quot;popupElements\&quot;:[{\&quot;type\&quot;:\&quot;fields\&quot;,\&quot;fieldInfos\&quot;:[{\&quot;fieldName\&quot;:\&quot;expression/excel_row_id\&quot;,\&quot;isEditable\&quot;:true,\&quot;label\&quot;:\&quot;rowId\&quot;,\&quot;visible\&quot;:true},{\&quot;fieldName\&quot;:\&quot;expression/FIELD_NAME_U\&quot;,\&quot;isEditable\&quot;:true,\&quot;label\&quot;:\&quot;4,6869\&quot;,\&quot;visible\&quot;:true},{\&quot;fieldName\&quot;:\&quot;expression/FIELD_NAME_V\&quot;,\&quot;isEditable\&quot;:true,\&quot;label\&quot;:\&quot;-74,1144\&quot;,\&quot;visible\&quot;:true}]}],\&quot;expressionInfos\&quot;:[{\&quot;name\&quot;:\&quot;excel_row_id\&quot;,\&quot;title\&quot;:\&quot;rowId\&quot;,\&quot;expression\&quot;:\&quot;Text($feature[\\\&quot;excel_row_id\\\&quot;], \\\&quot;#.##############################\\\&quot;)\&quot;},{\&quot;name\&quot;:\&quot;FIELD_NAME_U\&quot;,\&quot;title\&quot;:\&quot;4,6869\&quot;,\&quot;expression\&quot;:\&quot;// Excel number format: 0.0000\\n\\nif (IsEmpty($feature[\\\&quot;FIELD_NAME_U\\\&quot;]))\\n{\\n  return $feature[\\\&quot;FIELD_NAME_U\\\&quot;] \\n}\\nText($feature[\\\&quot;FIELD_NAME_U\\\&quot;], \\\&quot;#0.0000\\\&quot;)\&quot;},{\&quot;name\&quot;:\&quot;FIELD_NAME_V\&quot;,\&quot;title\&quot;:\&quot;-74,1144\&quot;,\&quot;expression\&quot;:\&quot;// Excel number format: 0.0000\\n\\nif (IsEmpty($feature[\\\&quot;FIELD_NAME_V\\\&quot;]))\\n{\\n  return $feature[\\\&quot;FIELD_NAME_V\\\&quot;] \\n}\\nText($feature[\\\&quot;FIELD_NAME_V\\\&quot;], \\\&quot;#0.0000\\\&quot;)\&quot;}],\&quot;fieldInfos\&quot;:[{\&quot;fieldName\&quot;:\&quot;objectId\&quot;,\&quot;isEditable\&quot;:true,\&quot;label\&quot;:\&quot;objectId\&quot;,\&quot;tooltip\&quot;:\&quot;\&quot;,\&quot;visible\&quot;:false},{\&quot;fieldName\&quot;:\&quot;excel_row_id\&quot;,\&quot;format\&quot;:{\&quot;digitSeparator\&quot;:true,\&quot;places\&quot;:2},\&quot;isEditable\&quot;:true,\&quot;label\&quot;:\&quot;rowId\&quot;,\&quot;tooltip\&quot;:\&quot;\&quot;,\&quot;visible\&quot;:false},{\&quot;fieldName\&quot;:\&quot;expression/excel_row_id\&quot;,\&quot;isEditable\&quot;:true,\&quot;label\&quot;:\&quot;rowId\&quot;,\&quot;visible\&quot;:true},{\&quot;fieldName\&quot;:\&quot;FIELD_NAME_U\&quot;,\&quot;format\&quot;:{\&quot;digitSeparator\&quot;:true,\&quot;places\&quot;:2},\&quot;isEditable\&quot;:true,\&quot;label\&quot;:\&quot;4,6869\&quot;,\&quot;tooltip\&quot;:\&quot;\&quot;,\&quot;visible\&quot;:false},{\&quot;fieldName\&quot;:\&quot;expression/FIELD_NAME_U\&quot;,\&quot;isEditable\&quot;:true,\&quot;label\&quot;:\&quot;4,6869\&quot;,\&quot;visible\&quot;:true},{\&quot;fieldName\&quot;:\&quot;FIELD_NAME_V\&quot;,\&quot;format\&quot;:{\&quot;digitSeparator\&quot;:true,\&quot;places\&quot;:2},\&quot;isEditable\&quot;:true,\&quot;label\&quot;:\&quot;-74,1144\&quot;,\&quot;tooltip\&quot;:\&quot;\&quot;,\&quot;visible\&quot;:false},{\&quot;fieldName\&quot;:\&quot;expression/FIELD_NAME_V\&quot;,\&quot;isEditable\&quot;:true,\&quot;label\&quot;:\&quot;-74,1144\&quot;,\&quot;visible\&quot;:true}],\&quot;title\&quot;:\&quot;\&quot;,\&quot;actions\&quot;:[]},\&quot;effect\&quot;:null,\&quot;layerDefinition\&quot;:{\&quot;objectIdField\&quot;:\&quot;objectId\&quot;,\&quot;fields\&quot;:[{\&quot;alias\&quot;:\&quot;objectId\&quot;,\&quot;editable\&quot;:true,\&quot;name\&quot;:\&quot;objectId\&quot;,\&quot;nullable\&quot;:true,\&quot;type\&quot;:\&quot;esriFieldTypeOID\&quot;},{\&quot;alias\&quot;:\&quot;rowId\&quot;,\&quot;editable\&quot;:true,\&quot;name\&quot;:\&quot;excel_row_id\&quot;,\&quot;nullable\&quot;:true,\&quot;type\&quot;:\&quot;esriFieldTypeDouble\&quot;},{\&quot;alias\&quot;:\&quot;4,6869\&quot;,\&quot;editable\&quot;:true,\&quot;name\&quot;:\&quot;FIELD_NAME_U\&quot;,\&quot;nullable\&quot;:true,\&quot;type\&quot;:\&quot;esriFieldTypeDouble\&quot;},{\&quot;alias\&quot;:\&quot;-74,1144\&quot;,\&quot;editable\&quot;:true,\&quot;name\&quot;:\&quot;FIELD_NAME_V\&quot;,\&quot;nullable\&quot;:true,\&quot;type\&quot;:\&quot;esriFieldTypeDouble\&quot;}],\&quot;geometryType\&quot;:\&quot;point\&quot;,\&quot;drawingInfo\&quot;:{\&quot;renderer\&quot;:{\&quot;type\&quot;:\&quot;simple\&quot;,\&quot;symbol\&quot;:{\&quot;type\&quot;:\&quot;esriSMS\&quot;,\&quot;color\&quot;:[29,111,66,230],\&quot;angle\&quot;:0,\&quot;xoffset\&quot;:0,\&quot;yoffset\&quot;:0,\&quot;size\&quot;:10,\&quot;style\&quot;:\&quot;esriSMSCircle\&quot;,\&quot;outline\&quot;:{\&quot;type\&quot;:\&quot;esriSLS\&quot;,\&quot;color\&quot;:[255,255,255,230],\&quot;width\&quot;:1,\&quot;style\&quot;:\&quot;esriSLSSolid\&quot;}}},\&quot;transparency\&quot;:0},\&quot;featureReduction\&quot;:null,\&quot;locationProvider\&quot;:{\&quot;type\&quot;:\&quot;coordinates\&quot;,\&quot;lookupFields\&quot;:[{\&quot;lookupField\&quot;:\&quot;xFieldName\&quot;,\&quot;outField\&quot;:\&quot;FIELD_NAME_V\&quot;},{\&quot;lookupField\&quot;:\&quot;yFieldName\&quot;,\&quot;outField\&quot;:\&quot;FIELD_NAME_U\&quot;}],\&quot;sourceSR\&quot;:4326,\&quot;targetSR\&quot;:102100},\&quot;minScale\&quot;:0,\&quot;maxScale\&quot;:0,\&quot;definitionExpression\&quot;:null,\&quot;templates\&quot;:[{\&quot;name\&quot;:\&quot;New Feature\&quot;,\&quot;description\&quot;:\&quot;\&quot;,\&quot;prototype\&quot;:{\&quot;attributes\&quot;:{\&quot;excel_row_id\&quot;:null,\&quot;FIELD_NAME_U\&quot;:null,\&quot;FIELD_NAME_V\&quot;:null}}}],\&quot;elevationInfo\&quot;:null,\&quot;name\&quot;:\&quot;'Expansion_2025-11-10-11.35.01'!U2:V74\&quot;,\&quot;type\&quot;:\&quot;DataLayer\&quot;,\&quot;queryParameters\&quot;:{\&quot;tableId\&quot;:\&quot;cellRange-9gU6Q\&quot;}},\&quot;featureSet\&quot;:{\&quot;features\&quot;:[{\&quot;attributes\&quot;:{},\&quot;geometry\&quot;:{\&quot;x\&quot;:0,\&quot;y\&quot;:0,\&quot;type\&quot;:\&quot;point\&quot;,\&quot;spatialReference\&quot;:{\&quot;latestWkid\&quot;:3857,\&quot;wkid\&quot;:102100}}}]}}]}}],\&quot;tables\&quot;:[],\&quot;baseMap\&quot;:{\&quot;baseMapLayers\&quot;:[{\&quot;id\&quot;:\&quot;World_Hillshade_3805\&quot;,\&quot;opacity\&quot;:1,\&quot;title\&quot;:\&quot;Sombreado mundial\&quot;,\&quot;url\&quot;:\&quot;https://services.arcgisonline.com/arcgis/rest/services/Elevation/World_Hillshade/MapServer\&quot;,\&quot;visibility\&quot;:true,\&quot;layerType\&quot;:\&quot;ArcGISTiledMapServiceLayer\&quot;},{\&quot;id\&quot;:\&quot;VectorTile_2333\&quot;,\&quot;opacity\&quot;:1,\&quot;title\&quot;:\&quot;Mapa topográfico mundial\&quot;,\&quot;visibility\&quot;:true,\&quot;layerType\&quot;:\&quot;VectorTileLayer\&quot;,\&quot;styleUrl\&quot;:\&quot;https://cdn.arcgis.com/sharing/rest/content/items/0d27022487ad4e09ae8f274e8d502776/resources/styles/root.json\&quot;}],\&quot;title\&quot;:\&quot;Topográfico\&quot;},\&quot;version\&quot;:\&quot;2.26\&quot;,\&quot;authoringApp\&quot;:\&quot;ArcGIS for Excel\&quot;,\&quot;bookmarks\&quot;:[],\&quot;initialState\&quot;:{\&quot;viewpoint\&quot;:{\&quot;targetGeometry\&quot;:{\&quot;spatialReference\&quot;:{\&quot;latestWkid\&quot;:3857,\&quot;wkid\&quot;:102100},\&quot;xmin\&quot;:-8468353.965953693,\&quot;ymin\&quot;:259625.21508279743,\&quot;xmax\&quot;:-8069658.42641832,\&quot;ymax\&quot;:780619.9998744202}}}}},\&quot;webmapExtensions\&quot;:{\&quot;format\&quot;:2}}}&quot;"/>
    <we:property name="arcgis-connection" value="&quot;{\&quot;portalUrl\&quot;:\&quot;https://www.arcgis.com\&quot;}&quot;"/>
  </we:properties>
  <we:bindings>
    <we:binding id="cellRange-9gU6Q" type="matrix" appref="{D1D96084-D2D0-44CF-A08D-F551EC34CEFB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_xldudf_ARCGIS_REVERSEGEOCODE</we:customFunctionIds>
        <we:customFunctionIds>_xldudf_ARCGIS_GEOCODE</we:customFunctionIds>
        <we:customFunctionIds>_xldudf_ARCGIS_ENRICHBYPOINT</we:customFunctionIds>
        <we:customFunctionIds>_xldudf_ARCGIS_ENRICHBYGEOGRAPHY</we:customFunctionIds>
        <we:customFunctionIds>_xldudf_ARCGIS_ENRICHBYADDRESS</we:customFunctionIds>
        <we:customFunctionIds>_xldudf_ARCGIS_ENRICHBYPOLYGON</we:customFunctionIds>
        <we:customFunctionIds>_xldudf_ARCGIS_FINDROUTEBYCOORDINATES</we:customFunctionIds>
        <we:customFunctionIds>_xldudf_ARCGIS_FINDROUTEBYADDRESS</we:customFunctionIds>
        <we:customFunctionIds>_xldudf_ARCGIS_VERTICESTOESRIJSON</we:customFunctionIds>
        <we:customFunctionIds>_xldudf_ARCGIS_CONVERTTOESRIJSON</we:customFunctionIds>
        <we:customFunctionIds>_xldudf_ARCGIS_GETPOLYGONAREA</we:customFunctionIds>
        <we:customFunctionIds>_xldudf_ARCGIS_GETGEOMETRYLENGTH</we:customFunctionIds>
        <we:customFunctionIds>_xldudf_ARCGIS_GETGEOMETRYDISTANCE</we:customFunctionIds>
        <we:customFunctionIds>_xldudf_ARCGIS_GETCENTROID</we:customFunctionIds>
        <we:customFunctionIds>_xldudf_ARCGIS_RELATEGEOMETRIES</we:customFunctionIds>
        <we:customFunctionIds>_xldudf_ARCGIS_GENERALIZEGEOMETRY</we:customFunctionIds>
        <we:customFunctionIds>_xldudf_ARCGIS_SUGGESTADDRESS</we:customFunctionIds>
        <we:customFunctionIds>_xldudf_ARCGIS_GETGEOMETRY</we:customFunctionIds>
        <we:customFunctionIds>_xldudf_ARCGIS_LISTGEOGRAPHIES</we:customFunctionIds>
        <we:customFunctionIds>_xldudf_ARCGIS_LISTDATACOLLECTIONS</we:customFunctionIds>
        <we:customFunctionIds>_xldudf_ARCGIS_LISTTRAVELMODES</we:customFunctionIds>
        <we:customFunctionIds>_xldudf_ARCGIS_ADDHEADERS</we:customFunctionIds>
        <we:customFunctionIds>_xldudf_ARCGIS_COORDINATETONOTATION</we:customFunctionIds>
        <we:customFunctionIds>_xldudf_ARCGIS_COORDINATEFROMNOTATION</we:customFunctionIds>
        <we:customFunctionIds>_xldudf_ARCGIS_PROJECTPOINT</we:customFunctionIds>
        <we:customFunctionIds>_xldudf_ARCGIS_PROJECTGEOMETRY</we:customFunctionIds>
      </we:customFunctionIdList>
    </a:ext>
    <a:ext xmlns:a="http://schemas.openxmlformats.org/drawingml/2006/main" uri="{0858819E-0033-43BF-8937-05EC82904868}">
      <we:backgroundApp state="1" runtimeId="Esri.TaskPane.Url"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waze.com/ul?a=share_drive&amp;locale=en&amp;sd=8V1N9lyGxeYy2cyyFQ-sd&amp;env=row&amp;utm_source=waze_app&amp;utm_campaign=share_drive" TargetMode="External"/><Relationship Id="rId21" Type="http://schemas.openxmlformats.org/officeDocument/2006/relationships/hyperlink" Target="https://maps.app.goo.gl/8ZCCS79gfk7pGP9C6?g_st=iw" TargetMode="External"/><Relationship Id="rId42" Type="http://schemas.openxmlformats.org/officeDocument/2006/relationships/hyperlink" Target="https://maps.app.goo.gl/BKx91rDJ4CJKfCNt7?g_st=ac" TargetMode="External"/><Relationship Id="rId63" Type="http://schemas.openxmlformats.org/officeDocument/2006/relationships/hyperlink" Target="https://oxxo-colombia.oneapp.cl/static/img/Respuesta/63235378/ba7e80d8123a945309a14b94fa26aff4.jpg" TargetMode="External"/><Relationship Id="rId84" Type="http://schemas.openxmlformats.org/officeDocument/2006/relationships/hyperlink" Target="https://oxxo-colombia.oneapp.cl/static/img/Respuesta/63294600/7253b93995d8241c71ecc67ada873de3.jpg" TargetMode="External"/><Relationship Id="rId138" Type="http://schemas.openxmlformats.org/officeDocument/2006/relationships/hyperlink" Target="https://oxxo-colombia.oneapp.cl/static/img/Respuesta/63552544/4e6e5085a213140e3a0a0ee1a09dee63.jpg" TargetMode="External"/><Relationship Id="rId159" Type="http://schemas.openxmlformats.org/officeDocument/2006/relationships/hyperlink" Target="https://oxxo-colombia.oneapp.cl/static/img/Respuesta/63619721/ab35ce95c2db06bc22fb977b2f1ebdd1.jpg" TargetMode="External"/><Relationship Id="rId170" Type="http://schemas.openxmlformats.org/officeDocument/2006/relationships/hyperlink" Target="https://maps.app.goo.gl/yFy8bfYKFpoFYBvH7" TargetMode="External"/><Relationship Id="rId191" Type="http://schemas.openxmlformats.org/officeDocument/2006/relationships/hyperlink" Target="https://maps.app.goo.gl/SwtxMWFkB4JiDuHv9" TargetMode="External"/><Relationship Id="rId205" Type="http://schemas.openxmlformats.org/officeDocument/2006/relationships/hyperlink" Target="https://maps.app.goo.gl/NS1DvRiF7cweGxat7" TargetMode="External"/><Relationship Id="rId107" Type="http://schemas.openxmlformats.org/officeDocument/2006/relationships/hyperlink" Target="https://oxxo-colombia.oneapp.cl/static/img/Respuesta/63472348/12261a71bb8bb40f9cbf719a9710877a.jpg" TargetMode="External"/><Relationship Id="rId11" Type="http://schemas.openxmlformats.org/officeDocument/2006/relationships/hyperlink" Target="https://maps.app.goo.gl/uNEnpfgoDAbeptMD7?g_st=ac" TargetMode="External"/><Relationship Id="rId32" Type="http://schemas.openxmlformats.org/officeDocument/2006/relationships/hyperlink" Target="https://maps.app.goo.gl/6YBR9JYLZWtzb83y7?g_st=ac" TargetMode="External"/><Relationship Id="rId53" Type="http://schemas.openxmlformats.org/officeDocument/2006/relationships/hyperlink" Target="https://maps.app.goo.gl/p5zUjk4WGLsFS4F36?g_st=ac" TargetMode="External"/><Relationship Id="rId74" Type="http://schemas.openxmlformats.org/officeDocument/2006/relationships/hyperlink" Target="https://oxxo-colombia.oneapp.cl/static/img/Respuesta/63236045/61f38cb8a2537eb126a93f4752a4f3cf.jpg" TargetMode="External"/><Relationship Id="rId128" Type="http://schemas.openxmlformats.org/officeDocument/2006/relationships/hyperlink" Target="https://maps.app.goo.gl/EWerdR7AGb8aMJ3H7?g_st=awb" TargetMode="External"/><Relationship Id="rId149" Type="http://schemas.openxmlformats.org/officeDocument/2006/relationships/hyperlink" Target="https://maps.app.goo.gl/SZ1jnkoZu5dSkpNk6" TargetMode="External"/><Relationship Id="rId5" Type="http://schemas.openxmlformats.org/officeDocument/2006/relationships/hyperlink" Target="mailto:memito-palacio@hotmail.com" TargetMode="External"/><Relationship Id="rId95" Type="http://schemas.openxmlformats.org/officeDocument/2006/relationships/hyperlink" Target="https://oxxo-colombia.oneapp.cl/static/img/Respuesta/63394453/4ce43c6a140a896060f568d78a9c6b47.jpg" TargetMode="External"/><Relationship Id="rId160" Type="http://schemas.openxmlformats.org/officeDocument/2006/relationships/hyperlink" Target="https://oxxo-colombia.oneapp.cl/static/img/Respuesta/63620119/cff219be46492f11749c51fe867cd02c.jpg" TargetMode="External"/><Relationship Id="rId181" Type="http://schemas.openxmlformats.org/officeDocument/2006/relationships/hyperlink" Target="https://maps.app.goo.gl/G8NmLbN9yPkosgiV7" TargetMode="External"/><Relationship Id="rId216" Type="http://schemas.openxmlformats.org/officeDocument/2006/relationships/hyperlink" Target="https://maps.app.goo.gl/YeadoXSubg4yFrpz8" TargetMode="External"/><Relationship Id="rId22" Type="http://schemas.openxmlformats.org/officeDocument/2006/relationships/hyperlink" Target="https://maps.app.goo.gl/PhzXtYjgkKMemPb39?g_st=iw" TargetMode="External"/><Relationship Id="rId43" Type="http://schemas.openxmlformats.org/officeDocument/2006/relationships/hyperlink" Target="https://maps.app.goo.gl/3zpfDx5Jekfv4v86A?g_st=ac" TargetMode="External"/><Relationship Id="rId64" Type="http://schemas.openxmlformats.org/officeDocument/2006/relationships/hyperlink" Target="https://oxxo-colombia.oneapp.cl/static/img/Respuesta/63235704/1cbcf88bc193677f42e920ff2e2cedc4.jpg" TargetMode="External"/><Relationship Id="rId118" Type="http://schemas.openxmlformats.org/officeDocument/2006/relationships/hyperlink" Target="https://oxxo-colombia.oneapp.cl/static/img/Respuesta/63481463/ec3b5f4110968e87a1580adf4a6fa097.jpg" TargetMode="External"/><Relationship Id="rId139" Type="http://schemas.openxmlformats.org/officeDocument/2006/relationships/hyperlink" Target="https://oxxo-colombia.oneapp.cl/static/img/Respuesta/63602816/63ef684524001c49443e257a3e4fc932.jpg" TargetMode="External"/><Relationship Id="rId85" Type="http://schemas.openxmlformats.org/officeDocument/2006/relationships/hyperlink" Target="https://oxxo-colombia.oneapp.cl/static/img/Respuesta/63294622/fccf04f93e0c28772b29a0162ac620e3.jpg" TargetMode="External"/><Relationship Id="rId150" Type="http://schemas.openxmlformats.org/officeDocument/2006/relationships/hyperlink" Target="https://maps.app.goo.gl/MUSPvnJZHx1MypYo7?g_st=ac" TargetMode="External"/><Relationship Id="rId171" Type="http://schemas.openxmlformats.org/officeDocument/2006/relationships/hyperlink" Target="https://maps.app.goo.gl/jNpHmWP27vuM4Bfm7" TargetMode="External"/><Relationship Id="rId192" Type="http://schemas.openxmlformats.org/officeDocument/2006/relationships/hyperlink" Target="https://maps.app.goo.gl/5jEnqSCWJBpRnh8U7?g_st=ac" TargetMode="External"/><Relationship Id="rId206" Type="http://schemas.openxmlformats.org/officeDocument/2006/relationships/hyperlink" Target="https://oxxo-colombia.oneapp.cl/static/img/Respuesta/64492024/6b66cb73921171592609b213ecd434b5.jpg" TargetMode="External"/><Relationship Id="rId12" Type="http://schemas.openxmlformats.org/officeDocument/2006/relationships/hyperlink" Target="https://maps.app.goo.gl/37dHFgR4RCV1TvPe8?g_st=ic" TargetMode="External"/><Relationship Id="rId33" Type="http://schemas.openxmlformats.org/officeDocument/2006/relationships/hyperlink" Target="https://maps.app.goo.gl/sq7pMrES6283SMyr6?g_st=ac" TargetMode="External"/><Relationship Id="rId108" Type="http://schemas.openxmlformats.org/officeDocument/2006/relationships/hyperlink" Target="https://oxxo-colombia.oneapp.cl/static/img/Respuesta/63473872/8ced33c2aa175cdc87cce1e11e84289d.jpg" TargetMode="External"/><Relationship Id="rId129" Type="http://schemas.openxmlformats.org/officeDocument/2006/relationships/hyperlink" Target="https://maps.app.goo.gl/NXWr1QaBXb9ygttZ8?g_st=ac" TargetMode="External"/><Relationship Id="rId54" Type="http://schemas.openxmlformats.org/officeDocument/2006/relationships/hyperlink" Target="https://maps.app.goo.gl/YkLLtdtkCjYSog6J7?g_st=ac" TargetMode="External"/><Relationship Id="rId75" Type="http://schemas.openxmlformats.org/officeDocument/2006/relationships/hyperlink" Target="https://oxxo-colombia.oneapp.cl/static/img/Respuesta/63236068/c868ccb2be43c2d4111c12a827094da7.jpg" TargetMode="External"/><Relationship Id="rId96" Type="http://schemas.openxmlformats.org/officeDocument/2006/relationships/hyperlink" Target="https://oxxo-colombia.oneapp.cl/static/img/Respuesta/63394569/5e176010cd3a3d3e5cef11dfd46a4adc.jpg" TargetMode="External"/><Relationship Id="rId140" Type="http://schemas.openxmlformats.org/officeDocument/2006/relationships/hyperlink" Target="https://oxxo-colombia.oneapp.cl/static/img/Respuesta/63603361/76d8a2201e44acc91d02e90d683a8ca0.jpg" TargetMode="External"/><Relationship Id="rId161" Type="http://schemas.openxmlformats.org/officeDocument/2006/relationships/hyperlink" Target="https://oxxo-colombia.oneapp.cl/static/img/Respuesta/63618223/front_0_1785455383_15.jpg" TargetMode="External"/><Relationship Id="rId182" Type="http://schemas.openxmlformats.org/officeDocument/2006/relationships/hyperlink" Target="https://maps.app.goo.gl/UcHk4L3bg2tuN8mF9?g_st=aw" TargetMode="External"/><Relationship Id="rId217" Type="http://schemas.openxmlformats.org/officeDocument/2006/relationships/hyperlink" Target="https://maps.app.goo.gl/9BHevnQT4EyzNFUQ8" TargetMode="External"/><Relationship Id="rId6" Type="http://schemas.openxmlformats.org/officeDocument/2006/relationships/hyperlink" Target="https://maps.app.goo.gl/ZQgrkgw8KHzSeLA8A?g_st=iw" TargetMode="External"/><Relationship Id="rId23" Type="http://schemas.openxmlformats.org/officeDocument/2006/relationships/hyperlink" Target="https://maps.app.goo.gl/RXJBFg5X1vNJ3zZ66?g_st=iw" TargetMode="External"/><Relationship Id="rId119" Type="http://schemas.openxmlformats.org/officeDocument/2006/relationships/hyperlink" Target="https://maps.app.goo.gl/g2fFnMnz5Zvc15pd8?g_st=aw" TargetMode="External"/><Relationship Id="rId44" Type="http://schemas.openxmlformats.org/officeDocument/2006/relationships/hyperlink" Target="https://maps.app.goo.gl/XQdTnYufh5YeLTcXA?g_st=ac" TargetMode="External"/><Relationship Id="rId65" Type="http://schemas.openxmlformats.org/officeDocument/2006/relationships/hyperlink" Target="https://oxxo-colombia.oneapp.cl/static/img/Respuesta/63235758/c10391636aa52d896f9c53fc97b340ed.jpg" TargetMode="External"/><Relationship Id="rId86" Type="http://schemas.openxmlformats.org/officeDocument/2006/relationships/hyperlink" Target="https://oxxo-colombia.oneapp.cl/static/img/Respuesta/63294725/7a5a93d337453201c642d86559be42f6.jpg" TargetMode="External"/><Relationship Id="rId130" Type="http://schemas.openxmlformats.org/officeDocument/2006/relationships/hyperlink" Target="https://maps.app.goo.gl/KL8kmabyoM3bgkMw9?g_st=aw" TargetMode="External"/><Relationship Id="rId151" Type="http://schemas.openxmlformats.org/officeDocument/2006/relationships/hyperlink" Target="https://oxxo-colombia.oneapp.cl/static/img/Respuesta/63615183/39c6bdf89140586583c69a268ec958ea.jpg" TargetMode="External"/><Relationship Id="rId172" Type="http://schemas.openxmlformats.org/officeDocument/2006/relationships/hyperlink" Target="https://maps.app.goo.gl/ZQWprWg9ZBaCyJoa7?g_st=ac" TargetMode="External"/><Relationship Id="rId193" Type="http://schemas.openxmlformats.org/officeDocument/2006/relationships/hyperlink" Target="https://maps.app.goo.gl/beTYijXyxijQX2aP7?g_st=awb" TargetMode="External"/><Relationship Id="rId207" Type="http://schemas.openxmlformats.org/officeDocument/2006/relationships/hyperlink" Target="https://maps.app.goo.gl/8rL3JwMyL57oMLfm8" TargetMode="External"/><Relationship Id="rId13" Type="http://schemas.openxmlformats.org/officeDocument/2006/relationships/hyperlink" Target="https://maps.app.goo.gl/FbPpk8UWb766FAqY8?g_st=ic" TargetMode="External"/><Relationship Id="rId109" Type="http://schemas.openxmlformats.org/officeDocument/2006/relationships/hyperlink" Target="https://oxxo-colombia.oneapp.cl/static/img/Respuesta/63479989/0d67d0038cba0e2747d103ff8d71578a.jpg" TargetMode="External"/><Relationship Id="rId34" Type="http://schemas.openxmlformats.org/officeDocument/2006/relationships/hyperlink" Target="https://maps.app.goo.gl/mWPt1WTFKARjgwHP6?g_st=ac" TargetMode="External"/><Relationship Id="rId55" Type="http://schemas.openxmlformats.org/officeDocument/2006/relationships/hyperlink" Target="https://maps.app.goo.gl/9gYzbHpcbRQwNBec9?g_st=ac" TargetMode="External"/><Relationship Id="rId76" Type="http://schemas.openxmlformats.org/officeDocument/2006/relationships/hyperlink" Target="https://oxxo-colombia.oneapp.cl/static/img/Respuesta/63236267/086de637da14c4093d2c2bbe9e337aab.jpg" TargetMode="External"/><Relationship Id="rId97" Type="http://schemas.openxmlformats.org/officeDocument/2006/relationships/hyperlink" Target="https://oxxo-colombia.oneapp.cl/static/img/Respuesta/63397732/f30122521ce1f02acb830415f1166331.jpg" TargetMode="External"/><Relationship Id="rId120" Type="http://schemas.openxmlformats.org/officeDocument/2006/relationships/hyperlink" Target="https://maps.app.goo.gl/Fqt5xWrLJWy62G8s6?g_st=iwb" TargetMode="External"/><Relationship Id="rId141" Type="http://schemas.openxmlformats.org/officeDocument/2006/relationships/hyperlink" Target="https://oxxo-colombia.oneapp.cl/static/img/Respuesta/63604911/efd5ad2dfdba24240a315d39fda3f20b.jpg" TargetMode="External"/><Relationship Id="rId7" Type="http://schemas.openxmlformats.org/officeDocument/2006/relationships/hyperlink" Target="https://maps.app.goo.gl/a95PSeawc8zDeAyD7" TargetMode="External"/><Relationship Id="rId162" Type="http://schemas.openxmlformats.org/officeDocument/2006/relationships/hyperlink" Target="https://oxxo-colombia.oneapp.cl/static/img/Respuesta/63618509/front_0_1785456379_15.jpg" TargetMode="External"/><Relationship Id="rId183" Type="http://schemas.openxmlformats.org/officeDocument/2006/relationships/hyperlink" Target="https://maps.app.goo.gl/W34yUFvVtJuLK5faA" TargetMode="External"/><Relationship Id="rId218" Type="http://schemas.openxmlformats.org/officeDocument/2006/relationships/hyperlink" Target="https://maps.app.goo.gl/zZHCnLMfy6K42Ct16" TargetMode="External"/><Relationship Id="rId24" Type="http://schemas.openxmlformats.org/officeDocument/2006/relationships/hyperlink" Target="https://maps.app.goo.gl/xqXqLXgy7UCyB6pz9?g_st=ac" TargetMode="External"/><Relationship Id="rId45" Type="http://schemas.openxmlformats.org/officeDocument/2006/relationships/hyperlink" Target="https://maps.app.goo.gl/BS9YHfeBx8LigNK16?g_st=aw" TargetMode="External"/><Relationship Id="rId66" Type="http://schemas.openxmlformats.org/officeDocument/2006/relationships/hyperlink" Target="https://oxxo-colombia.oneapp.cl/static/img/Respuesta/63235871/7145912e4d14bfd5caa7936f3a4fec12.jpg" TargetMode="External"/><Relationship Id="rId87" Type="http://schemas.openxmlformats.org/officeDocument/2006/relationships/hyperlink" Target="https://oxxo-colombia.oneapp.cl/static/img/Respuesta/63339353/7705c68cb3cdebfb03b58f15fa9ec0c1.jpg" TargetMode="External"/><Relationship Id="rId110" Type="http://schemas.openxmlformats.org/officeDocument/2006/relationships/hyperlink" Target="https://oxxo-colombia.oneapp.cl/static/img/Respuesta/63480559/b4e8d1bb66dbafb897aca7ddf8cf17fe.jpg" TargetMode="External"/><Relationship Id="rId131" Type="http://schemas.openxmlformats.org/officeDocument/2006/relationships/hyperlink" Target="https://maps.app.goo.gl/ZhTVCnNkcqmFjSWDA?g_st=ic" TargetMode="External"/><Relationship Id="rId152" Type="http://schemas.openxmlformats.org/officeDocument/2006/relationships/hyperlink" Target="https://oxxo-colombia.oneapp.cl/static/img/Respuesta/63615669/1b70479b062c09a6161d12f15560be13.jpg" TargetMode="External"/><Relationship Id="rId173" Type="http://schemas.openxmlformats.org/officeDocument/2006/relationships/hyperlink" Target="https://maps.app.goo.gl/XGU6hvvivax12F1n8" TargetMode="External"/><Relationship Id="rId194" Type="http://schemas.openxmlformats.org/officeDocument/2006/relationships/hyperlink" Target="https://maps.app.goo.gl/QwEYFb3QzpPPawyU7?g_st=aw" TargetMode="External"/><Relationship Id="rId208" Type="http://schemas.openxmlformats.org/officeDocument/2006/relationships/hyperlink" Target="https://oxxo-colombia.oneapp.cl/static/img/Respuesta/64496916/7534145f1397ff7f4f255d868b5f9f10.jpg" TargetMode="External"/><Relationship Id="rId14" Type="http://schemas.openxmlformats.org/officeDocument/2006/relationships/hyperlink" Target="https://goo.gl/maps/hD1QaqZei8hNKnUy5?g_st=aw" TargetMode="External"/><Relationship Id="rId35" Type="http://schemas.openxmlformats.org/officeDocument/2006/relationships/hyperlink" Target="https://maps.app.goo.gl/U51zZk2Qhyu1RYGE8?g_st=ac" TargetMode="External"/><Relationship Id="rId56" Type="http://schemas.openxmlformats.org/officeDocument/2006/relationships/hyperlink" Target="https://maps.app.goo.gl/nkuWwF8dxLDuY6YZ9?g_st=ac" TargetMode="External"/><Relationship Id="rId77" Type="http://schemas.openxmlformats.org/officeDocument/2006/relationships/hyperlink" Target="https://oxxo-colombia.oneapp.cl/static/img/Respuesta/63283434/7cc75b63444a0be61f41df29f8e2f7fe.jpg" TargetMode="External"/><Relationship Id="rId100" Type="http://schemas.openxmlformats.org/officeDocument/2006/relationships/hyperlink" Target="https://maps.app.goo.gl/k1gwEEtxGUx6kpUJA" TargetMode="External"/><Relationship Id="rId8" Type="http://schemas.openxmlformats.org/officeDocument/2006/relationships/hyperlink" Target="https://maps.app.goo.gl/ZgYr7gZUWwWBfsNb6?g_st=ic" TargetMode="External"/><Relationship Id="rId51" Type="http://schemas.openxmlformats.org/officeDocument/2006/relationships/hyperlink" Target="https://maps.app.goo.gl/qVPDTGyYWwahjkAp7?g_st=ac" TargetMode="External"/><Relationship Id="rId72" Type="http://schemas.openxmlformats.org/officeDocument/2006/relationships/hyperlink" Target="https://maps.app.goo.gl/We16jmS8NyUGf58B9?g_st=ac" TargetMode="External"/><Relationship Id="rId93" Type="http://schemas.openxmlformats.org/officeDocument/2006/relationships/hyperlink" Target="https://oxxo-colombia.oneapp.cl/static/img/Respuesta/63393109/ef98d3e838bb69e0a3158b1069057235.jpg" TargetMode="External"/><Relationship Id="rId98" Type="http://schemas.openxmlformats.org/officeDocument/2006/relationships/hyperlink" Target="https://oxxo-colombia.oneapp.cl/static/img/Respuesta/63400250/fe4023da6d233af07cc9ae77e06bbf53.jpg" TargetMode="External"/><Relationship Id="rId121" Type="http://schemas.openxmlformats.org/officeDocument/2006/relationships/hyperlink" Target="https://maps.app.goo.gl/kAT7PsDEWgBy4ckM7?g_st=aw" TargetMode="External"/><Relationship Id="rId142" Type="http://schemas.openxmlformats.org/officeDocument/2006/relationships/hyperlink" Target="https://oxxo-colombia.oneapp.cl/static/img/Respuesta/63608431/f303c5307da69bdb8cf2e38945bf5bcd.jpg" TargetMode="External"/><Relationship Id="rId163" Type="http://schemas.openxmlformats.org/officeDocument/2006/relationships/hyperlink" Target="https://maps.app.goo.gl/WnKcspwjoaCWsZ7p7" TargetMode="External"/><Relationship Id="rId184" Type="http://schemas.openxmlformats.org/officeDocument/2006/relationships/hyperlink" Target="https://maps.app.goo.gl/pwSpQ8Lz7cYoaTeJ6" TargetMode="External"/><Relationship Id="rId189" Type="http://schemas.openxmlformats.org/officeDocument/2006/relationships/hyperlink" Target="https://maps.app.goo.gl/hn1fv9X1CLU4Fr7L8?g_st=ac" TargetMode="External"/><Relationship Id="rId219" Type="http://schemas.openxmlformats.org/officeDocument/2006/relationships/hyperlink" Target="https://maps.app.goo.gl/EYTtB7iEbU9k5RaX6?g_st=ac" TargetMode="External"/><Relationship Id="rId3" Type="http://schemas.openxmlformats.org/officeDocument/2006/relationships/hyperlink" Target="https://maps.app.goo.gl/cyi7f3fML7fKbAXTA" TargetMode="External"/><Relationship Id="rId214" Type="http://schemas.openxmlformats.org/officeDocument/2006/relationships/hyperlink" Target="https://maps.app.goo.gl/8FuTV4SS1zzXVKt68?g_st=ac" TargetMode="External"/><Relationship Id="rId25" Type="http://schemas.openxmlformats.org/officeDocument/2006/relationships/hyperlink" Target="https://maps.app.goo.gl/UgKek3eZnzV3KFSy6" TargetMode="External"/><Relationship Id="rId46" Type="http://schemas.openxmlformats.org/officeDocument/2006/relationships/hyperlink" Target="https://maps.app.goo.gl/PE1f4S4YcVUUo6e98?g_st=ac" TargetMode="External"/><Relationship Id="rId67" Type="http://schemas.openxmlformats.org/officeDocument/2006/relationships/hyperlink" Target="https://oxxo-colombia.oneapp.cl/static/img/Respuesta/63235847/6b506c7cab4e01f44d9398d3f2f8e012.jpg" TargetMode="External"/><Relationship Id="rId116" Type="http://schemas.openxmlformats.org/officeDocument/2006/relationships/hyperlink" Target="https://maps.app.goo.gl/BqY1MVoo2UJSq6Sj9" TargetMode="External"/><Relationship Id="rId137" Type="http://schemas.openxmlformats.org/officeDocument/2006/relationships/hyperlink" Target="https://oxxo-colombia.oneapp.cl/static/img/Respuesta/63552412/6d1a4ffcf3090591e70f721aebd54634.jpg" TargetMode="External"/><Relationship Id="rId158" Type="http://schemas.openxmlformats.org/officeDocument/2006/relationships/hyperlink" Target="https://oxxo-colombia.oneapp.cl/static/img/Respuesta/63619629/932a368830c05903f15012da698e3198.jpg" TargetMode="External"/><Relationship Id="rId20" Type="http://schemas.openxmlformats.org/officeDocument/2006/relationships/hyperlink" Target="https://maps.app.goo.gl/Zs8Bp3Xwscm3Lyq39" TargetMode="External"/><Relationship Id="rId41" Type="http://schemas.openxmlformats.org/officeDocument/2006/relationships/hyperlink" Target="https://maps.app.goo.gl/BeTGCR24bq6FqSRe8?g_st=ac" TargetMode="External"/><Relationship Id="rId62" Type="http://schemas.openxmlformats.org/officeDocument/2006/relationships/hyperlink" Target="https://oxxo-colombia.oneapp.cl/static/img/Respuesta/63234643/fc05e86c5b9aa2c4db94266f19506d37.jpg" TargetMode="External"/><Relationship Id="rId83" Type="http://schemas.openxmlformats.org/officeDocument/2006/relationships/hyperlink" Target="https://oxxo-colombia.oneapp.cl/static/img/Respuesta/63294087/8e132cc7d7522521b5f96d14bd4e2184.jpg" TargetMode="External"/><Relationship Id="rId88" Type="http://schemas.openxmlformats.org/officeDocument/2006/relationships/hyperlink" Target="https://oxxo-colombia.oneapp.cl/static/img/Respuesta/63380340/dd79b6fe5bba15fc123c186fe236a1da.jpg" TargetMode="External"/><Relationship Id="rId111" Type="http://schemas.openxmlformats.org/officeDocument/2006/relationships/hyperlink" Target="https://maps.app.goo.gl/pzvqEkXRQ1FXBKRe7" TargetMode="External"/><Relationship Id="rId132" Type="http://schemas.openxmlformats.org/officeDocument/2006/relationships/hyperlink" Target="https://maps.app.goo.gl/GTZjpoFfF6QDbzRh9" TargetMode="External"/><Relationship Id="rId153" Type="http://schemas.openxmlformats.org/officeDocument/2006/relationships/hyperlink" Target="https://oxxo-colombia.oneapp.cl/static/img/Respuesta/63615803/cf06b379161dcd2edc87a7cf9d6289ac.jpg" TargetMode="External"/><Relationship Id="rId174" Type="http://schemas.openxmlformats.org/officeDocument/2006/relationships/hyperlink" Target="https://maps.app.goo.gl/f8NfuPUXjTRFkb4y5?g_st=ac" TargetMode="External"/><Relationship Id="rId179" Type="http://schemas.openxmlformats.org/officeDocument/2006/relationships/hyperlink" Target="https://maps.app.goo.gl/1hCHofHjqy4rHCpf9" TargetMode="External"/><Relationship Id="rId195" Type="http://schemas.openxmlformats.org/officeDocument/2006/relationships/hyperlink" Target="https://maps.app.goo.gl/4WxWZMz5tU6aTTccA" TargetMode="External"/><Relationship Id="rId209" Type="http://schemas.openxmlformats.org/officeDocument/2006/relationships/hyperlink" Target="https://maps.app.goo.gl/2ZxP3fEVHqy4f7vA9" TargetMode="External"/><Relationship Id="rId190" Type="http://schemas.openxmlformats.org/officeDocument/2006/relationships/hyperlink" Target="https://maps.app.goo.gl/7wQSTpfpJztjYpXg8?g_st=ac" TargetMode="External"/><Relationship Id="rId204" Type="http://schemas.openxmlformats.org/officeDocument/2006/relationships/hyperlink" Target="https://maps.app.goo.gl/cKNJGd4MhXjkezUV8" TargetMode="External"/><Relationship Id="rId220" Type="http://schemas.openxmlformats.org/officeDocument/2006/relationships/hyperlink" Target="https://maps.app.goo.gl/WM7TVwsvyiaKxHUN6?g_st=ac" TargetMode="External"/><Relationship Id="rId15" Type="http://schemas.openxmlformats.org/officeDocument/2006/relationships/hyperlink" Target="https://maps.app.goo.gl/9rC2X5676JGMq3sp8?g_st=iw" TargetMode="External"/><Relationship Id="rId36" Type="http://schemas.openxmlformats.org/officeDocument/2006/relationships/hyperlink" Target="https://maps.app.goo.gl/hh9DqoKdf3dEj9zaA?g_st=ac" TargetMode="External"/><Relationship Id="rId57" Type="http://schemas.openxmlformats.org/officeDocument/2006/relationships/hyperlink" Target="https://oxxo-colombia.oneapp.cl/static/img/Respuesta/62678392/15e782c8af7c8926b7b1e25733587063.jpg" TargetMode="External"/><Relationship Id="rId106" Type="http://schemas.openxmlformats.org/officeDocument/2006/relationships/hyperlink" Target="https://oxxo-colombia.oneapp.cl/static/img/Respuesta/63472069/f53bdcedd8d975c27547092f9995220b.jpg" TargetMode="External"/><Relationship Id="rId127" Type="http://schemas.openxmlformats.org/officeDocument/2006/relationships/hyperlink" Target="https://maps.app.goo.gl/pxREnmWsp615k6Tm6?g_st=ac" TargetMode="External"/><Relationship Id="rId10" Type="http://schemas.openxmlformats.org/officeDocument/2006/relationships/hyperlink" Target="https://maps.app.goo.gl/2TZH47f4N86NTjSb6?g_st=ic" TargetMode="External"/><Relationship Id="rId31" Type="http://schemas.openxmlformats.org/officeDocument/2006/relationships/hyperlink" Target="https://maps.app.goo.gl/M7GS1t882L9X2s5X7?g_st=ac" TargetMode="External"/><Relationship Id="rId52" Type="http://schemas.openxmlformats.org/officeDocument/2006/relationships/hyperlink" Target="https://maps.app.goo.gl/dmeiK9Y56iBqfb7k6?g_st=ac" TargetMode="External"/><Relationship Id="rId73" Type="http://schemas.openxmlformats.org/officeDocument/2006/relationships/hyperlink" Target="https://oxxo-colombia.oneapp.cl/static/img/Respuesta/63236023/ac75ede8715a9f362f4a8edbdac1b1ba.jpg" TargetMode="External"/><Relationship Id="rId78" Type="http://schemas.openxmlformats.org/officeDocument/2006/relationships/hyperlink" Target="https://oxxo-colombia.oneapp.cl/static/img/Respuesta/63290615/fe38ff36a53c7b1ce4c348c31beafeea.jpg" TargetMode="External"/><Relationship Id="rId94" Type="http://schemas.openxmlformats.org/officeDocument/2006/relationships/hyperlink" Target="https://oxxo-colombia.oneapp.cl/static/img/Respuesta/63393355/30fd5d94d97855af9d13c23b09032a59.jpg" TargetMode="External"/><Relationship Id="rId99" Type="http://schemas.openxmlformats.org/officeDocument/2006/relationships/hyperlink" Target="https://oxxo-colombia.oneapp.cl/static/img/Respuesta/63401994/a2d2c202bcad290c05f7064100e1b996.jpg" TargetMode="External"/><Relationship Id="rId101" Type="http://schemas.openxmlformats.org/officeDocument/2006/relationships/hyperlink" Target="https://maps.app.goo.gl/xWHbEcBVLLShy7rY8" TargetMode="External"/><Relationship Id="rId122" Type="http://schemas.openxmlformats.org/officeDocument/2006/relationships/hyperlink" Target="https://oxxo-colombia.oneapp.cl/static/img/Respuesta/63531072/40f0ec34b6a6d208a3be21783609d112.jpg" TargetMode="External"/><Relationship Id="rId143" Type="http://schemas.openxmlformats.org/officeDocument/2006/relationships/hyperlink" Target="https://maps.app.goo.gl/dZ1AHXEom9Bq6xSy5?g_st=ac" TargetMode="External"/><Relationship Id="rId148" Type="http://schemas.openxmlformats.org/officeDocument/2006/relationships/hyperlink" Target="https://oxxo-colombia.oneapp.cl/static/img/Respuesta/63611910/8411c8a500eacba5053c516ec5abd6f7.jpg" TargetMode="External"/><Relationship Id="rId164" Type="http://schemas.openxmlformats.org/officeDocument/2006/relationships/hyperlink" Target="https://maps.app.goo.gl/8mb4UcCPc2SYD4bm7" TargetMode="External"/><Relationship Id="rId169" Type="http://schemas.openxmlformats.org/officeDocument/2006/relationships/hyperlink" Target="https://maps.app.goo.gl/cMpbPryamsCXm6os6" TargetMode="External"/><Relationship Id="rId185" Type="http://schemas.openxmlformats.org/officeDocument/2006/relationships/hyperlink" Target="https://maps.app.goo.gl/AhEjv1snTQ1L9APy5" TargetMode="External"/><Relationship Id="rId4" Type="http://schemas.openxmlformats.org/officeDocument/2006/relationships/hyperlink" Target="https://maps.app.goo.gl/QBWShgaJxsi6X6WG7" TargetMode="External"/><Relationship Id="rId9" Type="http://schemas.openxmlformats.org/officeDocument/2006/relationships/hyperlink" Target="https://maps.app.goo.gl/roHspvGqX4kLWBoAA?g_st=ic" TargetMode="External"/><Relationship Id="rId180" Type="http://schemas.openxmlformats.org/officeDocument/2006/relationships/hyperlink" Target="https://maps.app.goo.gl/wLfx3vgEhesCgzpe7?g_st=ac" TargetMode="External"/><Relationship Id="rId210" Type="http://schemas.openxmlformats.org/officeDocument/2006/relationships/hyperlink" Target="https://maps.app.goo.gl/shRbaHAgchEdEM4C8" TargetMode="External"/><Relationship Id="rId215" Type="http://schemas.openxmlformats.org/officeDocument/2006/relationships/hyperlink" Target="https://maps.app.goo.gl/bY7bMTPL2YEayuiV7?g_st=ac" TargetMode="External"/><Relationship Id="rId26" Type="http://schemas.openxmlformats.org/officeDocument/2006/relationships/hyperlink" Target="https://maps.app.goo.gl/4XVD4C94joAnoLQU8?g_st=aw" TargetMode="External"/><Relationship Id="rId47" Type="http://schemas.openxmlformats.org/officeDocument/2006/relationships/hyperlink" Target="https://maps.app.goo.gl/iQjt8Ebm6H8CuvqJ8?g_st=ac" TargetMode="External"/><Relationship Id="rId68" Type="http://schemas.openxmlformats.org/officeDocument/2006/relationships/hyperlink" Target="https://oxxo-colombia.oneapp.cl/static/img/Respuesta/63234280/1eb00ebff368e6719f9c1bc3b3edb8fd.jpg" TargetMode="External"/><Relationship Id="rId89" Type="http://schemas.openxmlformats.org/officeDocument/2006/relationships/hyperlink" Target="https://oxxo-colombia.oneapp.cl/static/img/Respuesta/63387714/f124d584558a775b084329f8f42f49cf.jpg" TargetMode="External"/><Relationship Id="rId112" Type="http://schemas.openxmlformats.org/officeDocument/2006/relationships/hyperlink" Target="https://maps.app.goo.gl/ymfHXiNdeYS13h6z5" TargetMode="External"/><Relationship Id="rId133" Type="http://schemas.openxmlformats.org/officeDocument/2006/relationships/hyperlink" Target="https://maps.app.goo.gl/uy2aB6bx2hiHSf2PA?g_st=ac" TargetMode="External"/><Relationship Id="rId154" Type="http://schemas.openxmlformats.org/officeDocument/2006/relationships/hyperlink" Target="https://oxxo-colombia.oneapp.cl/static/img/Respuesta/63616513/e0a83f29fdfc72f089fadd4ee3a9a25c.jpg" TargetMode="External"/><Relationship Id="rId175" Type="http://schemas.openxmlformats.org/officeDocument/2006/relationships/hyperlink" Target="https://maps.app.goo.gl/PTqk5E3WkuMu5db18" TargetMode="External"/><Relationship Id="rId196" Type="http://schemas.openxmlformats.org/officeDocument/2006/relationships/hyperlink" Target="https://maps.app.goo.gl/J5oExsX6bDccpbNe7" TargetMode="External"/><Relationship Id="rId200" Type="http://schemas.openxmlformats.org/officeDocument/2006/relationships/hyperlink" Target="https://maps.app.goo.gl/ouU7HMAnQm2FRDUh6?g_st=ac" TargetMode="External"/><Relationship Id="rId16" Type="http://schemas.openxmlformats.org/officeDocument/2006/relationships/hyperlink" Target="https://maps.app.goo.gl/XKjbjeAS9omZeFTB7?g_st=iw" TargetMode="External"/><Relationship Id="rId221" Type="http://schemas.openxmlformats.org/officeDocument/2006/relationships/hyperlink" Target="https://maps.app.goo.gl/z2TdaAuBe4AD367c8?g_st=ac" TargetMode="External"/><Relationship Id="rId37" Type="http://schemas.openxmlformats.org/officeDocument/2006/relationships/hyperlink" Target="https://maps.app.goo.gl/EyCAWArR3m9TpYUx7?g_st=ac" TargetMode="External"/><Relationship Id="rId58" Type="http://schemas.openxmlformats.org/officeDocument/2006/relationships/hyperlink" Target="https://maps.app.goo.gl/JSyt4qJYuenXjgtm6" TargetMode="External"/><Relationship Id="rId79" Type="http://schemas.openxmlformats.org/officeDocument/2006/relationships/hyperlink" Target="https://oxxo-colombia.oneapp.cl/static/img/Respuesta/63291098/925b5afb34e9d861486cda56304edf36.jpg" TargetMode="External"/><Relationship Id="rId102" Type="http://schemas.openxmlformats.org/officeDocument/2006/relationships/hyperlink" Target="https://maps.app.goo.gl/9gHjCQ8JNhUSZAr89" TargetMode="External"/><Relationship Id="rId123" Type="http://schemas.openxmlformats.org/officeDocument/2006/relationships/hyperlink" Target="https://oxxo-colombia.oneapp.cl/static/img/Respuesta/63542159/8c778d83efbfb90bada865369b9af7ea.jpg" TargetMode="External"/><Relationship Id="rId144" Type="http://schemas.openxmlformats.org/officeDocument/2006/relationships/hyperlink" Target="https://maps.app.goo.gl/NJ2XoCFAmxPtveGt7?g_st=ic" TargetMode="External"/><Relationship Id="rId90" Type="http://schemas.openxmlformats.org/officeDocument/2006/relationships/hyperlink" Target="https://oxxo-colombia.oneapp.cl/static/img/Respuesta/63388027/680b1b6f582e2dd2d7445085ee62dc31.jpg" TargetMode="External"/><Relationship Id="rId165" Type="http://schemas.openxmlformats.org/officeDocument/2006/relationships/hyperlink" Target="https://maps.app.goo.gl/A1MRfapYuV1SWFwU8" TargetMode="External"/><Relationship Id="rId186" Type="http://schemas.openxmlformats.org/officeDocument/2006/relationships/hyperlink" Target="https://maps.app.goo.gl/TVQjbRYXv3XgQg9ZA?g_st=ac" TargetMode="External"/><Relationship Id="rId211" Type="http://schemas.openxmlformats.org/officeDocument/2006/relationships/hyperlink" Target="https://maps.app.goo.gl/2fMhKXAswbtgWt95A" TargetMode="External"/><Relationship Id="rId27" Type="http://schemas.openxmlformats.org/officeDocument/2006/relationships/hyperlink" Target="https://maps.app.goo.gl/5bYucWhBPLEHru7D8" TargetMode="External"/><Relationship Id="rId48" Type="http://schemas.openxmlformats.org/officeDocument/2006/relationships/hyperlink" Target="https://maps.app.goo.gl/974Kc9pnwF5W8VPB9?g_st=aw" TargetMode="External"/><Relationship Id="rId69" Type="http://schemas.openxmlformats.org/officeDocument/2006/relationships/hyperlink" Target="https://oxxo-colombia.oneapp.cl/static/img/Respuesta/63235652/1fb2d400043bca38cf104da0f63ee849.jpg" TargetMode="External"/><Relationship Id="rId113" Type="http://schemas.openxmlformats.org/officeDocument/2006/relationships/hyperlink" Target="https://maps.app.goo.gl/wWKVF48JrE8q8e8h8?g_st=ac" TargetMode="External"/><Relationship Id="rId134" Type="http://schemas.openxmlformats.org/officeDocument/2006/relationships/hyperlink" Target="https://maps.app.goo.gl/gvkd52DdNt9xpX5d9?g_st=ic" TargetMode="External"/><Relationship Id="rId80" Type="http://schemas.openxmlformats.org/officeDocument/2006/relationships/hyperlink" Target="https://oxxo-colombia.oneapp.cl/static/img/Respuesta/63293537/48e2c5117bc1a0a0052f685f2e7aa552.jpg" TargetMode="External"/><Relationship Id="rId155" Type="http://schemas.openxmlformats.org/officeDocument/2006/relationships/hyperlink" Target="https://oxxo-colombia.oneapp.cl/static/img/Respuesta/63617738/009005a4e3cf71649eb1ecea4c3aba4e.jpg" TargetMode="External"/><Relationship Id="rId176" Type="http://schemas.openxmlformats.org/officeDocument/2006/relationships/hyperlink" Target="https://maps.app.goo.gl/boPbkq6BHoXac6EC7?g_st=aw" TargetMode="External"/><Relationship Id="rId197" Type="http://schemas.openxmlformats.org/officeDocument/2006/relationships/hyperlink" Target="https://maps.app.goo.gl/16o2Ukk3CVWCnp4T7" TargetMode="External"/><Relationship Id="rId201" Type="http://schemas.openxmlformats.org/officeDocument/2006/relationships/hyperlink" Target="https://maps.app.goo.gl/gyXitncdMkQc5a4V8?g_st=ac" TargetMode="External"/><Relationship Id="rId222" Type="http://schemas.openxmlformats.org/officeDocument/2006/relationships/hyperlink" Target="https://maps.app.goo.gl/z7d3t6Ca2R429YeQ9?g_st=ac" TargetMode="External"/><Relationship Id="rId17" Type="http://schemas.openxmlformats.org/officeDocument/2006/relationships/hyperlink" Target="https://maps.app.goo.gl/qaYbvGnqLY1HZztv8" TargetMode="External"/><Relationship Id="rId38" Type="http://schemas.openxmlformats.org/officeDocument/2006/relationships/hyperlink" Target="https://maps.app.goo.gl/wbcjBnHS4KwUYnNN9?g_st=ac" TargetMode="External"/><Relationship Id="rId59" Type="http://schemas.openxmlformats.org/officeDocument/2006/relationships/hyperlink" Target="https://maps.app.goo.gl/Re2hX3yEGKe3qDFh6" TargetMode="External"/><Relationship Id="rId103" Type="http://schemas.openxmlformats.org/officeDocument/2006/relationships/hyperlink" Target="https://maps.app.goo.gl/9be5Sa4knHdePcCg7" TargetMode="External"/><Relationship Id="rId124" Type="http://schemas.openxmlformats.org/officeDocument/2006/relationships/hyperlink" Target="https://oxxo-colombia.oneapp.cl/static/img/Respuesta/63544029/695857ab517fc87a28d8771d12e45a5d.jpg" TargetMode="External"/><Relationship Id="rId70" Type="http://schemas.openxmlformats.org/officeDocument/2006/relationships/hyperlink" Target="https://maps.app.goo.gl/JrkTt1eXML1QMxUc8" TargetMode="External"/><Relationship Id="rId91" Type="http://schemas.openxmlformats.org/officeDocument/2006/relationships/hyperlink" Target="https://oxxo-colombia.oneapp.cl/static/img/Respuesta/63388253/8450c81c64856218bb75aca92028cb1f.jpg" TargetMode="External"/><Relationship Id="rId145" Type="http://schemas.openxmlformats.org/officeDocument/2006/relationships/hyperlink" Target="https://maps.app.goo.gl/kF1HY6itBwaxQ6YA9?g_st=iw" TargetMode="External"/><Relationship Id="rId166" Type="http://schemas.openxmlformats.org/officeDocument/2006/relationships/hyperlink" Target="https://maps.app.goo.gl/HDAf9GLze9wS1Dte8" TargetMode="External"/><Relationship Id="rId187" Type="http://schemas.openxmlformats.org/officeDocument/2006/relationships/hyperlink" Target="https://maps.app.goo.gl/ezM5R7NiGYvW9G8U7?g_st=ac" TargetMode="External"/><Relationship Id="rId1" Type="http://schemas.openxmlformats.org/officeDocument/2006/relationships/hyperlink" Target="https://maps.app.goo.gl/ARHY4pjoMEGefriy5?g_st=iw" TargetMode="External"/><Relationship Id="rId212" Type="http://schemas.openxmlformats.org/officeDocument/2006/relationships/hyperlink" Target="https://maps.app.goo.gl/mfBZXKXjBVFyyG7s6?g_st=iw" TargetMode="External"/><Relationship Id="rId28" Type="http://schemas.openxmlformats.org/officeDocument/2006/relationships/hyperlink" Target="https://maps.app.goo.gl/QEQfuLMTfSvDtyZS7?g_st=ac" TargetMode="External"/><Relationship Id="rId49" Type="http://schemas.openxmlformats.org/officeDocument/2006/relationships/hyperlink" Target="https://maps.app.goo.gl/mPEriJi82CJKdctc8?g_st=ac" TargetMode="External"/><Relationship Id="rId114" Type="http://schemas.openxmlformats.org/officeDocument/2006/relationships/hyperlink" Target="https://maps.app.goo.gl/GBScWx7NhvVVE3s48?g_st=ac" TargetMode="External"/><Relationship Id="rId60" Type="http://schemas.openxmlformats.org/officeDocument/2006/relationships/hyperlink" Target="https://maps.app.goo.gl/tguqLex5RC5W2E976?g_st=ac" TargetMode="External"/><Relationship Id="rId81" Type="http://schemas.openxmlformats.org/officeDocument/2006/relationships/hyperlink" Target="https://oxxo-colombia.oneapp.cl/static/img/Respuesta/63293647/9188c0495b21b3c3d21ec7a66cbd5560.jpg" TargetMode="External"/><Relationship Id="rId135" Type="http://schemas.openxmlformats.org/officeDocument/2006/relationships/hyperlink" Target="https://oxxo-colombia.oneapp.cl/static/img/Respuesta/63550799/7fce2bef814c0ddfc87ad38f65ead5f1.jpg" TargetMode="External"/><Relationship Id="rId156" Type="http://schemas.openxmlformats.org/officeDocument/2006/relationships/hyperlink" Target="https://oxxo-colombia.oneapp.cl/static/img/Respuesta/63617893/ea56504d8670899d3cf6c59247f55f22.jpg" TargetMode="External"/><Relationship Id="rId177" Type="http://schemas.openxmlformats.org/officeDocument/2006/relationships/hyperlink" Target="https://maps.app.goo.gl/3NmVQSkDSA8JnBjAA?g_st=aw" TargetMode="External"/><Relationship Id="rId198" Type="http://schemas.openxmlformats.org/officeDocument/2006/relationships/hyperlink" Target="https://maps.app.goo.gl/xn4DrLvbwcZVAVs3A" TargetMode="External"/><Relationship Id="rId202" Type="http://schemas.openxmlformats.org/officeDocument/2006/relationships/hyperlink" Target="https://maps.app.goo.gl/tH7bykwF6AAyaUaa8" TargetMode="External"/><Relationship Id="rId223" Type="http://schemas.openxmlformats.org/officeDocument/2006/relationships/hyperlink" Target="https://maps.app.goo.gl/B2i3G1rq2zFX5fnz6" TargetMode="External"/><Relationship Id="rId18" Type="http://schemas.openxmlformats.org/officeDocument/2006/relationships/hyperlink" Target="https://maps.app.goo.gl/xG4YUUbdmJKMJHGW8?g_st=aw" TargetMode="External"/><Relationship Id="rId39" Type="http://schemas.openxmlformats.org/officeDocument/2006/relationships/hyperlink" Target="https://maps.app.goo.gl/TCHUdwg6A8YgVuCz5?g_st=ac" TargetMode="External"/><Relationship Id="rId50" Type="http://schemas.openxmlformats.org/officeDocument/2006/relationships/hyperlink" Target="https://maps.app.goo.gl/WcJZpZR1WDn3aMew7?g_st=ac" TargetMode="External"/><Relationship Id="rId104" Type="http://schemas.openxmlformats.org/officeDocument/2006/relationships/hyperlink" Target="https://oxxo-colombia.oneapp.cl/static/img/Respuesta/63468888/e21c224365c6b6fbd1bf9e26ead23e92.jpg" TargetMode="External"/><Relationship Id="rId125" Type="http://schemas.openxmlformats.org/officeDocument/2006/relationships/hyperlink" Target="https://oxxo-colombia.oneapp.cl/static/img/Respuesta/63546844/38eb463ec99868d56379ebddff280999.jpg" TargetMode="External"/><Relationship Id="rId146" Type="http://schemas.openxmlformats.org/officeDocument/2006/relationships/hyperlink" Target="https://oxxo-colombia.oneapp.cl/static/img/Respuesta/63610159/3130ce22bb65b3eb2b7b35c38695115a.jpg" TargetMode="External"/><Relationship Id="rId167" Type="http://schemas.openxmlformats.org/officeDocument/2006/relationships/hyperlink" Target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 TargetMode="External"/><Relationship Id="rId188" Type="http://schemas.openxmlformats.org/officeDocument/2006/relationships/hyperlink" Target="https://maps.app.goo.gl/KGPUg9JH2ThHgvJH7" TargetMode="External"/><Relationship Id="rId71" Type="http://schemas.openxmlformats.org/officeDocument/2006/relationships/hyperlink" Target="https://maps.app.goo.gl/jdeQFRYYpEDtfF3c8" TargetMode="External"/><Relationship Id="rId92" Type="http://schemas.openxmlformats.org/officeDocument/2006/relationships/hyperlink" Target="https://oxxo-colombia.oneapp.cl/static/img/Respuesta/63388428/172038a89dc04695c868088d514e5543.jpg" TargetMode="External"/><Relationship Id="rId213" Type="http://schemas.openxmlformats.org/officeDocument/2006/relationships/hyperlink" Target="https://maps.app.goo.gl/V6ShpyxgiSEuTN7Y6?g_st=iw" TargetMode="External"/><Relationship Id="rId2" Type="http://schemas.openxmlformats.org/officeDocument/2006/relationships/hyperlink" Target="https://maps.app.goo.gl/RdznzFN8oeXt4BzY8?g_st=iw" TargetMode="External"/><Relationship Id="rId29" Type="http://schemas.openxmlformats.org/officeDocument/2006/relationships/hyperlink" Target="https://maps.app.goo.gl/DsZejbLUvxEXoxAA6?g_st=awb" TargetMode="External"/><Relationship Id="rId40" Type="http://schemas.openxmlformats.org/officeDocument/2006/relationships/hyperlink" Target="https://share.google/CPQ8CQuA70rGqPrMw" TargetMode="External"/><Relationship Id="rId115" Type="http://schemas.openxmlformats.org/officeDocument/2006/relationships/hyperlink" Target="https://maps.app.goo.gl/31DhpNG6HC1Mw5bK8?g_st=aw" TargetMode="External"/><Relationship Id="rId136" Type="http://schemas.openxmlformats.org/officeDocument/2006/relationships/hyperlink" Target="https://oxxo-colombia.oneapp.cl/static/img/Respuesta/63551759/d9ded4f3477658d8a847ca77fdc6eb52.jpg" TargetMode="External"/><Relationship Id="rId157" Type="http://schemas.openxmlformats.org/officeDocument/2006/relationships/hyperlink" Target="https://oxxo-colombia.oneapp.cl/static/img/Respuesta/63618069/218ef180b9bea0990063544db4477aef.jpg" TargetMode="External"/><Relationship Id="rId178" Type="http://schemas.openxmlformats.org/officeDocument/2006/relationships/hyperlink" Target="https://maps.app.goo.gl/XCbjMYK8g7K9WXB1A?g_st=ac" TargetMode="External"/><Relationship Id="rId61" Type="http://schemas.openxmlformats.org/officeDocument/2006/relationships/hyperlink" Target="https://maps.app.goo.gl/ycEJu2jwy79qR4py8?g_st=ac" TargetMode="External"/><Relationship Id="rId82" Type="http://schemas.openxmlformats.org/officeDocument/2006/relationships/hyperlink" Target="https://oxxo-colombia.oneapp.cl/static/img/Respuesta/63293713/30ff14b7ee68ac494983b41968add7a0.jpg" TargetMode="External"/><Relationship Id="rId199" Type="http://schemas.openxmlformats.org/officeDocument/2006/relationships/hyperlink" Target="https://maps.app.goo.gl/2va17YRE9djynsJw6?g_st=iw" TargetMode="External"/><Relationship Id="rId203" Type="http://schemas.openxmlformats.org/officeDocument/2006/relationships/hyperlink" Target="https://maps.app.goo.gl/h2xQGxM4DHteF6hx7" TargetMode="External"/><Relationship Id="rId19" Type="http://schemas.openxmlformats.org/officeDocument/2006/relationships/hyperlink" Target="https://oxxo-colombia.oneapp.cl/static/img/Respuesta/62915009/fc0338b1145297bcaa7fe7e1a19bac18.jpg" TargetMode="External"/><Relationship Id="rId30" Type="http://schemas.openxmlformats.org/officeDocument/2006/relationships/hyperlink" Target="https://maps.app.goo.gl/crfJcUJxJcrVFGAw8?g_st=awb" TargetMode="External"/><Relationship Id="rId105" Type="http://schemas.openxmlformats.org/officeDocument/2006/relationships/hyperlink" Target="https://oxxo-colombia.oneapp.cl/static/img/Respuesta/63470672/ee68e71181e2f90364fcf0ea3365e8f0.jpg" TargetMode="External"/><Relationship Id="rId126" Type="http://schemas.openxmlformats.org/officeDocument/2006/relationships/hyperlink" Target="https://maps.app.goo.gl/nhxsEgVNz5Babgvk8?g_st=ac" TargetMode="External"/><Relationship Id="rId147" Type="http://schemas.openxmlformats.org/officeDocument/2006/relationships/hyperlink" Target="https://oxxo-colombia.oneapp.cl/static/img/Respuesta/63611056/daf685ade0811b4512d8cf488d4a0419.jpg" TargetMode="External"/><Relationship Id="rId168" Type="http://schemas.openxmlformats.org/officeDocument/2006/relationships/hyperlink" Target="https://maps.app.goo.gl/SCVRWCZsj9gzMS3RA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oxxo-colombia.oneapp.cl/static/img/Respuesta/61169766/f54fac2058f1766ffdba08335c6507cb.jpg" TargetMode="External"/><Relationship Id="rId2" Type="http://schemas.openxmlformats.org/officeDocument/2006/relationships/hyperlink" Target="https://oxxo-colombia.oneapp.cl/static/img/Respuesta/61169370/24c75b247668933e2e747b48308fcb1e.jpg" TargetMode="External"/><Relationship Id="rId1" Type="http://schemas.openxmlformats.org/officeDocument/2006/relationships/hyperlink" Target="https://oxxo-colombia.oneapp.cl/static/img/Respuesta/61167871/5160fe0041f643f0e720405bccddf42c.jpg" TargetMode="External"/><Relationship Id="rId4" Type="http://schemas.openxmlformats.org/officeDocument/2006/relationships/hyperlink" Target="https://oxxo-colombia.oneapp.cl/static/img/Respuesta/61174941/ce28ceab02b85d03b664deed5b0055e3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0295F-CB05-4127-8119-F9C586B63898}">
  <dimension ref="A1:B46"/>
  <sheetViews>
    <sheetView zoomScale="59" zoomScaleNormal="59" workbookViewId="0">
      <selection activeCell="O48" sqref="O48"/>
    </sheetView>
  </sheetViews>
  <sheetFormatPr defaultColWidth="11.42578125" defaultRowHeight="14.45"/>
  <cols>
    <col min="1" max="1" width="29.85546875" bestFit="1" customWidth="1"/>
    <col min="2" max="2" width="25.140625" bestFit="1" customWidth="1"/>
  </cols>
  <sheetData>
    <row r="1" spans="1:2">
      <c r="A1" s="15" t="s">
        <v>0</v>
      </c>
      <c r="B1" t="s">
        <v>1</v>
      </c>
    </row>
    <row r="3" spans="1:2">
      <c r="A3" s="15" t="s">
        <v>2</v>
      </c>
      <c r="B3" t="s">
        <v>3</v>
      </c>
    </row>
    <row r="4" spans="1:2">
      <c r="A4" s="16" t="s">
        <v>4</v>
      </c>
      <c r="B4">
        <v>24</v>
      </c>
    </row>
    <row r="5" spans="1:2">
      <c r="A5" s="16" t="s">
        <v>5</v>
      </c>
      <c r="B5">
        <v>1</v>
      </c>
    </row>
    <row r="6" spans="1:2">
      <c r="A6" s="16" t="s">
        <v>6</v>
      </c>
      <c r="B6">
        <v>6</v>
      </c>
    </row>
    <row r="7" spans="1:2">
      <c r="A7" s="16" t="s">
        <v>7</v>
      </c>
      <c r="B7">
        <v>31</v>
      </c>
    </row>
    <row r="22" spans="1:2">
      <c r="A22" t="s">
        <v>2</v>
      </c>
      <c r="B22" t="s">
        <v>3</v>
      </c>
    </row>
    <row r="23" spans="1:2">
      <c r="A23" t="s">
        <v>8</v>
      </c>
      <c r="B23">
        <v>1</v>
      </c>
    </row>
    <row r="24" spans="1:2">
      <c r="A24" t="s">
        <v>9</v>
      </c>
      <c r="B24">
        <v>1</v>
      </c>
    </row>
    <row r="25" spans="1:2">
      <c r="A25" t="s">
        <v>10</v>
      </c>
      <c r="B25">
        <v>1</v>
      </c>
    </row>
    <row r="26" spans="1:2">
      <c r="A26" t="s">
        <v>11</v>
      </c>
      <c r="B26">
        <v>1</v>
      </c>
    </row>
    <row r="27" spans="1:2">
      <c r="A27" t="s">
        <v>12</v>
      </c>
      <c r="B27">
        <v>1</v>
      </c>
    </row>
    <row r="28" spans="1:2">
      <c r="A28" t="s">
        <v>13</v>
      </c>
      <c r="B28">
        <v>1</v>
      </c>
    </row>
    <row r="29" spans="1:2">
      <c r="A29" t="s">
        <v>14</v>
      </c>
      <c r="B29">
        <v>2</v>
      </c>
    </row>
    <row r="30" spans="1:2">
      <c r="A30" t="s">
        <v>15</v>
      </c>
      <c r="B30">
        <v>2</v>
      </c>
    </row>
    <row r="31" spans="1:2">
      <c r="A31" t="s">
        <v>16</v>
      </c>
      <c r="B31">
        <v>2</v>
      </c>
    </row>
    <row r="32" spans="1:2">
      <c r="A32" t="s">
        <v>17</v>
      </c>
      <c r="B32">
        <v>2</v>
      </c>
    </row>
    <row r="33" spans="1:2">
      <c r="A33" t="s">
        <v>18</v>
      </c>
      <c r="B33">
        <v>2</v>
      </c>
    </row>
    <row r="34" spans="1:2">
      <c r="A34" t="s">
        <v>19</v>
      </c>
      <c r="B34">
        <v>3</v>
      </c>
    </row>
    <row r="35" spans="1:2">
      <c r="A35" t="s">
        <v>20</v>
      </c>
      <c r="B35">
        <v>3</v>
      </c>
    </row>
    <row r="36" spans="1:2">
      <c r="A36" t="s">
        <v>21</v>
      </c>
      <c r="B36">
        <v>4</v>
      </c>
    </row>
    <row r="37" spans="1:2">
      <c r="A37" t="s">
        <v>22</v>
      </c>
      <c r="B37">
        <v>5</v>
      </c>
    </row>
    <row r="43" spans="1:2">
      <c r="A43" t="s">
        <v>2</v>
      </c>
      <c r="B43" t="s">
        <v>23</v>
      </c>
    </row>
    <row r="44" spans="1:2">
      <c r="A44" t="s">
        <v>4</v>
      </c>
      <c r="B44">
        <v>24</v>
      </c>
    </row>
    <row r="45" spans="1:2">
      <c r="A45" t="s">
        <v>5</v>
      </c>
      <c r="B45">
        <v>1</v>
      </c>
    </row>
    <row r="46" spans="1:2">
      <c r="A46" t="s">
        <v>6</v>
      </c>
      <c r="B46">
        <v>6</v>
      </c>
    </row>
  </sheetData>
  <autoFilter ref="A22:B37" xr:uid="{0CF0295F-CB05-4127-8119-F9C586B63898}">
    <sortState xmlns:xlrd2="http://schemas.microsoft.com/office/spreadsheetml/2017/richdata2" ref="A23:B37">
      <sortCondition ref="B22:B37"/>
    </sortState>
  </autoFilter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84627-FAD8-4C79-AA3A-6C598D58EEE0}">
  <dimension ref="A1:C14"/>
  <sheetViews>
    <sheetView workbookViewId="0">
      <selection activeCell="C16" sqref="C16"/>
    </sheetView>
  </sheetViews>
  <sheetFormatPr defaultColWidth="11.42578125" defaultRowHeight="14.45"/>
  <cols>
    <col min="1" max="1" width="23.7109375" bestFit="1" customWidth="1"/>
    <col min="2" max="2" width="14.140625" bestFit="1" customWidth="1"/>
  </cols>
  <sheetData>
    <row r="1" spans="1:3">
      <c r="A1" t="s">
        <v>24</v>
      </c>
      <c r="B1" t="s">
        <v>25</v>
      </c>
      <c r="C1" t="s">
        <v>26</v>
      </c>
    </row>
    <row r="2" spans="1:3">
      <c r="A2" t="s">
        <v>27</v>
      </c>
      <c r="B2" t="s">
        <v>28</v>
      </c>
      <c r="C2" t="s">
        <v>29</v>
      </c>
    </row>
    <row r="3" spans="1:3">
      <c r="A3" t="s">
        <v>30</v>
      </c>
      <c r="B3" t="s">
        <v>31</v>
      </c>
      <c r="C3" t="s">
        <v>32</v>
      </c>
    </row>
    <row r="4" spans="1:3">
      <c r="A4" t="s">
        <v>33</v>
      </c>
      <c r="B4" t="s">
        <v>34</v>
      </c>
      <c r="C4" t="s">
        <v>35</v>
      </c>
    </row>
    <row r="5" spans="1:3">
      <c r="A5" t="s">
        <v>36</v>
      </c>
      <c r="C5" t="s">
        <v>37</v>
      </c>
    </row>
    <row r="6" spans="1:3">
      <c r="A6" t="s">
        <v>38</v>
      </c>
      <c r="C6" t="s">
        <v>39</v>
      </c>
    </row>
    <row r="7" spans="1:3">
      <c r="A7" t="s">
        <v>40</v>
      </c>
      <c r="C7" t="s">
        <v>41</v>
      </c>
    </row>
    <row r="8" spans="1:3">
      <c r="A8" t="s">
        <v>42</v>
      </c>
      <c r="C8" t="s">
        <v>43</v>
      </c>
    </row>
    <row r="9" spans="1:3">
      <c r="A9" t="s">
        <v>44</v>
      </c>
      <c r="C9" t="s">
        <v>45</v>
      </c>
    </row>
    <row r="10" spans="1:3">
      <c r="A10" t="s">
        <v>46</v>
      </c>
      <c r="C10" t="s">
        <v>47</v>
      </c>
    </row>
    <row r="11" spans="1:3">
      <c r="C11" t="s">
        <v>48</v>
      </c>
    </row>
    <row r="12" spans="1:3">
      <c r="C12" t="s">
        <v>49</v>
      </c>
    </row>
    <row r="13" spans="1:3">
      <c r="C13" t="s">
        <v>50</v>
      </c>
    </row>
    <row r="14" spans="1:3">
      <c r="C14" t="s"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ECB93-A81B-4858-8FB3-B9EA1DD36E1D}">
  <dimension ref="A3:O41"/>
  <sheetViews>
    <sheetView topLeftCell="A2" workbookViewId="0">
      <selection activeCell="B10" sqref="B10"/>
    </sheetView>
  </sheetViews>
  <sheetFormatPr defaultColWidth="11.42578125" defaultRowHeight="14.45"/>
  <cols>
    <col min="1" max="1" width="29.85546875" bestFit="1" customWidth="1"/>
    <col min="2" max="2" width="21.28515625" bestFit="1" customWidth="1"/>
    <col min="3" max="3" width="10.42578125" bestFit="1" customWidth="1"/>
    <col min="4" max="4" width="6.28515625" bestFit="1" customWidth="1"/>
    <col min="5" max="5" width="8.85546875" bestFit="1" customWidth="1"/>
    <col min="6" max="6" width="10.42578125" bestFit="1" customWidth="1"/>
    <col min="7" max="7" width="14.5703125" bestFit="1" customWidth="1"/>
    <col min="8" max="8" width="10.28515625" bestFit="1" customWidth="1"/>
    <col min="9" max="9" width="6.28515625" bestFit="1" customWidth="1"/>
    <col min="10" max="10" width="8.85546875" bestFit="1" customWidth="1"/>
    <col min="11" max="11" width="10.42578125" bestFit="1" customWidth="1"/>
    <col min="12" max="12" width="14.5703125" bestFit="1" customWidth="1"/>
    <col min="13" max="13" width="10.28515625" bestFit="1" customWidth="1"/>
    <col min="14" max="14" width="6.28515625" bestFit="1" customWidth="1"/>
    <col min="15" max="15" width="11.42578125" bestFit="1" customWidth="1"/>
  </cols>
  <sheetData>
    <row r="3" spans="1:15">
      <c r="A3" s="15" t="s">
        <v>52</v>
      </c>
      <c r="B3" s="15" t="s">
        <v>53</v>
      </c>
    </row>
    <row r="4" spans="1:15">
      <c r="B4">
        <v>1</v>
      </c>
      <c r="D4" t="s">
        <v>54</v>
      </c>
      <c r="E4">
        <v>2</v>
      </c>
      <c r="I4" t="s">
        <v>55</v>
      </c>
      <c r="J4">
        <v>3</v>
      </c>
      <c r="N4" t="s">
        <v>56</v>
      </c>
      <c r="O4" t="s">
        <v>7</v>
      </c>
    </row>
    <row r="5" spans="1:15">
      <c r="A5" s="15" t="s">
        <v>2</v>
      </c>
      <c r="B5" t="s">
        <v>57</v>
      </c>
      <c r="C5" t="s">
        <v>58</v>
      </c>
      <c r="E5" t="s">
        <v>57</v>
      </c>
      <c r="F5" t="s">
        <v>58</v>
      </c>
      <c r="G5" t="s">
        <v>59</v>
      </c>
      <c r="H5" t="s">
        <v>60</v>
      </c>
      <c r="J5" t="s">
        <v>57</v>
      </c>
      <c r="K5" t="s">
        <v>58</v>
      </c>
      <c r="L5" t="s">
        <v>59</v>
      </c>
      <c r="M5" t="s">
        <v>60</v>
      </c>
    </row>
    <row r="6" spans="1:15">
      <c r="A6" s="16" t="s">
        <v>14</v>
      </c>
      <c r="B6">
        <v>2</v>
      </c>
      <c r="D6">
        <v>2</v>
      </c>
      <c r="G6">
        <v>1</v>
      </c>
      <c r="I6">
        <v>1</v>
      </c>
      <c r="O6">
        <v>3</v>
      </c>
    </row>
    <row r="7" spans="1:15">
      <c r="A7" s="16" t="s">
        <v>61</v>
      </c>
      <c r="E7">
        <v>3</v>
      </c>
      <c r="F7">
        <v>1</v>
      </c>
      <c r="I7">
        <v>4</v>
      </c>
      <c r="O7">
        <v>4</v>
      </c>
    </row>
    <row r="8" spans="1:15">
      <c r="A8" s="16" t="s">
        <v>8</v>
      </c>
      <c r="B8">
        <v>1</v>
      </c>
      <c r="D8">
        <v>1</v>
      </c>
      <c r="E8">
        <v>4</v>
      </c>
      <c r="F8">
        <v>5</v>
      </c>
      <c r="I8">
        <v>9</v>
      </c>
      <c r="O8">
        <v>10</v>
      </c>
    </row>
    <row r="9" spans="1:15">
      <c r="A9" s="16" t="s">
        <v>15</v>
      </c>
      <c r="B9">
        <v>2</v>
      </c>
      <c r="D9">
        <v>2</v>
      </c>
      <c r="O9">
        <v>2</v>
      </c>
    </row>
    <row r="10" spans="1:15">
      <c r="A10" s="16" t="s">
        <v>19</v>
      </c>
      <c r="B10">
        <v>3</v>
      </c>
      <c r="D10">
        <v>3</v>
      </c>
      <c r="O10">
        <v>3</v>
      </c>
    </row>
    <row r="11" spans="1:15">
      <c r="A11" s="16" t="s">
        <v>9</v>
      </c>
      <c r="B11">
        <v>1</v>
      </c>
      <c r="D11">
        <v>1</v>
      </c>
      <c r="O11">
        <v>1</v>
      </c>
    </row>
    <row r="12" spans="1:15">
      <c r="A12" s="16" t="s">
        <v>62</v>
      </c>
      <c r="J12">
        <v>1</v>
      </c>
      <c r="N12">
        <v>1</v>
      </c>
      <c r="O12">
        <v>1</v>
      </c>
    </row>
    <row r="13" spans="1:15">
      <c r="A13" s="16" t="s">
        <v>63</v>
      </c>
      <c r="E13">
        <v>1</v>
      </c>
      <c r="F13">
        <v>3</v>
      </c>
      <c r="I13">
        <v>4</v>
      </c>
      <c r="O13">
        <v>4</v>
      </c>
    </row>
    <row r="14" spans="1:15">
      <c r="A14" s="16" t="s">
        <v>64</v>
      </c>
      <c r="E14">
        <v>1</v>
      </c>
      <c r="I14">
        <v>1</v>
      </c>
      <c r="O14">
        <v>1</v>
      </c>
    </row>
    <row r="15" spans="1:15">
      <c r="A15" s="16" t="s">
        <v>22</v>
      </c>
      <c r="B15">
        <v>1</v>
      </c>
      <c r="C15">
        <v>4</v>
      </c>
      <c r="D15">
        <v>5</v>
      </c>
      <c r="O15">
        <v>5</v>
      </c>
    </row>
    <row r="16" spans="1:15">
      <c r="A16" s="16" t="s">
        <v>10</v>
      </c>
      <c r="B16">
        <v>1</v>
      </c>
      <c r="D16">
        <v>1</v>
      </c>
      <c r="J16">
        <v>2</v>
      </c>
      <c r="N16">
        <v>2</v>
      </c>
      <c r="O16">
        <v>3</v>
      </c>
    </row>
    <row r="17" spans="1:15">
      <c r="A17" s="16" t="s">
        <v>65</v>
      </c>
      <c r="F17">
        <v>1</v>
      </c>
      <c r="G17">
        <v>4</v>
      </c>
      <c r="I17">
        <v>5</v>
      </c>
      <c r="J17">
        <v>1</v>
      </c>
      <c r="N17">
        <v>1</v>
      </c>
      <c r="O17">
        <v>6</v>
      </c>
    </row>
    <row r="18" spans="1:15">
      <c r="A18" s="16" t="s">
        <v>66</v>
      </c>
      <c r="F18">
        <v>2</v>
      </c>
      <c r="I18">
        <v>2</v>
      </c>
      <c r="O18">
        <v>2</v>
      </c>
    </row>
    <row r="19" spans="1:15">
      <c r="A19" s="16" t="s">
        <v>67</v>
      </c>
      <c r="E19">
        <v>4</v>
      </c>
      <c r="F19">
        <v>4</v>
      </c>
      <c r="I19">
        <v>8</v>
      </c>
      <c r="J19">
        <v>1</v>
      </c>
      <c r="N19">
        <v>1</v>
      </c>
      <c r="O19">
        <v>9</v>
      </c>
    </row>
    <row r="20" spans="1:15">
      <c r="A20" s="16" t="s">
        <v>16</v>
      </c>
      <c r="B20">
        <v>2</v>
      </c>
      <c r="D20">
        <v>2</v>
      </c>
      <c r="L20">
        <v>1</v>
      </c>
      <c r="N20">
        <v>1</v>
      </c>
      <c r="O20">
        <v>3</v>
      </c>
    </row>
    <row r="21" spans="1:15">
      <c r="A21" s="16" t="s">
        <v>11</v>
      </c>
      <c r="C21">
        <v>1</v>
      </c>
      <c r="D21">
        <v>1</v>
      </c>
      <c r="O21">
        <v>1</v>
      </c>
    </row>
    <row r="22" spans="1:15">
      <c r="A22" s="16" t="s">
        <v>68</v>
      </c>
      <c r="E22">
        <v>1</v>
      </c>
      <c r="F22">
        <v>1</v>
      </c>
      <c r="I22">
        <v>2</v>
      </c>
      <c r="J22">
        <v>2</v>
      </c>
      <c r="K22">
        <v>1</v>
      </c>
      <c r="N22">
        <v>3</v>
      </c>
      <c r="O22">
        <v>5</v>
      </c>
    </row>
    <row r="23" spans="1:15">
      <c r="A23" s="16" t="s">
        <v>69</v>
      </c>
      <c r="G23">
        <v>1</v>
      </c>
      <c r="I23">
        <v>1</v>
      </c>
      <c r="L23">
        <v>2</v>
      </c>
      <c r="N23">
        <v>2</v>
      </c>
      <c r="O23">
        <v>3</v>
      </c>
    </row>
    <row r="24" spans="1:15">
      <c r="A24" s="16" t="s">
        <v>70</v>
      </c>
      <c r="E24">
        <v>1</v>
      </c>
      <c r="I24">
        <v>1</v>
      </c>
      <c r="J24">
        <v>2</v>
      </c>
      <c r="L24">
        <v>1</v>
      </c>
      <c r="N24">
        <v>3</v>
      </c>
      <c r="O24">
        <v>4</v>
      </c>
    </row>
    <row r="25" spans="1:15">
      <c r="A25" s="16" t="s">
        <v>71</v>
      </c>
      <c r="E25">
        <v>2</v>
      </c>
      <c r="F25">
        <v>3</v>
      </c>
      <c r="H25">
        <v>1</v>
      </c>
      <c r="I25">
        <v>6</v>
      </c>
      <c r="J25">
        <v>1</v>
      </c>
      <c r="K25">
        <v>4</v>
      </c>
      <c r="N25">
        <v>5</v>
      </c>
      <c r="O25">
        <v>11</v>
      </c>
    </row>
    <row r="26" spans="1:15">
      <c r="A26" s="16" t="s">
        <v>20</v>
      </c>
      <c r="B26">
        <v>2</v>
      </c>
      <c r="C26">
        <v>1</v>
      </c>
      <c r="D26">
        <v>3</v>
      </c>
      <c r="F26">
        <v>1</v>
      </c>
      <c r="I26">
        <v>1</v>
      </c>
      <c r="O26">
        <v>4</v>
      </c>
    </row>
    <row r="27" spans="1:15">
      <c r="A27" s="16" t="s">
        <v>12</v>
      </c>
      <c r="L27">
        <v>2</v>
      </c>
      <c r="M27">
        <v>1</v>
      </c>
      <c r="N27">
        <v>3</v>
      </c>
      <c r="O27">
        <v>3</v>
      </c>
    </row>
    <row r="28" spans="1:15">
      <c r="A28" s="16" t="s">
        <v>72</v>
      </c>
      <c r="E28">
        <v>1</v>
      </c>
      <c r="I28">
        <v>1</v>
      </c>
      <c r="J28">
        <v>2</v>
      </c>
      <c r="N28">
        <v>2</v>
      </c>
      <c r="O28">
        <v>3</v>
      </c>
    </row>
    <row r="29" spans="1:15">
      <c r="A29" s="16" t="s">
        <v>73</v>
      </c>
      <c r="E29">
        <v>1</v>
      </c>
      <c r="I29">
        <v>1</v>
      </c>
      <c r="O29">
        <v>1</v>
      </c>
    </row>
    <row r="30" spans="1:15">
      <c r="A30" s="16" t="s">
        <v>74</v>
      </c>
      <c r="J30">
        <v>1</v>
      </c>
      <c r="L30">
        <v>1</v>
      </c>
      <c r="M30">
        <v>1</v>
      </c>
      <c r="N30">
        <v>3</v>
      </c>
      <c r="O30">
        <v>3</v>
      </c>
    </row>
    <row r="31" spans="1:15">
      <c r="A31" s="16" t="s">
        <v>21</v>
      </c>
      <c r="B31">
        <v>3</v>
      </c>
      <c r="C31">
        <v>1</v>
      </c>
      <c r="D31">
        <v>4</v>
      </c>
      <c r="O31">
        <v>4</v>
      </c>
    </row>
    <row r="32" spans="1:15">
      <c r="A32" s="16" t="s">
        <v>75</v>
      </c>
      <c r="J32">
        <v>1</v>
      </c>
      <c r="N32">
        <v>1</v>
      </c>
      <c r="O32">
        <v>1</v>
      </c>
    </row>
    <row r="33" spans="1:15">
      <c r="A33" s="16" t="s">
        <v>76</v>
      </c>
      <c r="G33">
        <v>1</v>
      </c>
      <c r="I33">
        <v>1</v>
      </c>
      <c r="L33">
        <v>1</v>
      </c>
      <c r="N33">
        <v>1</v>
      </c>
      <c r="O33">
        <v>2</v>
      </c>
    </row>
    <row r="34" spans="1:15">
      <c r="A34" s="16" t="s">
        <v>77</v>
      </c>
      <c r="K34">
        <v>1</v>
      </c>
      <c r="N34">
        <v>1</v>
      </c>
      <c r="O34">
        <v>1</v>
      </c>
    </row>
    <row r="35" spans="1:15">
      <c r="A35" s="16" t="s">
        <v>17</v>
      </c>
      <c r="B35">
        <v>1</v>
      </c>
      <c r="C35">
        <v>1</v>
      </c>
      <c r="D35">
        <v>2</v>
      </c>
      <c r="J35">
        <v>1</v>
      </c>
      <c r="K35">
        <v>3</v>
      </c>
      <c r="N35">
        <v>4</v>
      </c>
      <c r="O35">
        <v>6</v>
      </c>
    </row>
    <row r="36" spans="1:15">
      <c r="A36" s="16" t="s">
        <v>78</v>
      </c>
      <c r="E36">
        <v>1</v>
      </c>
      <c r="F36">
        <v>2</v>
      </c>
      <c r="G36">
        <v>1</v>
      </c>
      <c r="I36">
        <v>4</v>
      </c>
      <c r="J36">
        <v>1</v>
      </c>
      <c r="N36">
        <v>1</v>
      </c>
      <c r="O36">
        <v>5</v>
      </c>
    </row>
    <row r="37" spans="1:15">
      <c r="A37" s="16" t="s">
        <v>79</v>
      </c>
      <c r="E37">
        <v>1</v>
      </c>
      <c r="I37">
        <v>1</v>
      </c>
      <c r="O37">
        <v>1</v>
      </c>
    </row>
    <row r="38" spans="1:15">
      <c r="A38" s="16" t="s">
        <v>13</v>
      </c>
      <c r="C38">
        <v>1</v>
      </c>
      <c r="D38">
        <v>1</v>
      </c>
      <c r="E38">
        <v>1</v>
      </c>
      <c r="F38">
        <v>1</v>
      </c>
      <c r="I38">
        <v>2</v>
      </c>
      <c r="O38">
        <v>3</v>
      </c>
    </row>
    <row r="39" spans="1:15">
      <c r="A39" s="16" t="s">
        <v>18</v>
      </c>
      <c r="C39">
        <v>2</v>
      </c>
      <c r="D39">
        <v>2</v>
      </c>
      <c r="M39">
        <v>1</v>
      </c>
      <c r="N39">
        <v>1</v>
      </c>
      <c r="O39">
        <v>3</v>
      </c>
    </row>
    <row r="40" spans="1:15">
      <c r="A40" s="16" t="s">
        <v>80</v>
      </c>
      <c r="E40">
        <v>1</v>
      </c>
      <c r="F40">
        <v>1</v>
      </c>
      <c r="I40">
        <v>2</v>
      </c>
      <c r="O40">
        <v>2</v>
      </c>
    </row>
    <row r="41" spans="1:15">
      <c r="A41" s="16" t="s">
        <v>7</v>
      </c>
      <c r="B41">
        <v>19</v>
      </c>
      <c r="C41">
        <v>11</v>
      </c>
      <c r="D41">
        <v>30</v>
      </c>
      <c r="E41">
        <v>23</v>
      </c>
      <c r="F41">
        <v>25</v>
      </c>
      <c r="G41">
        <v>8</v>
      </c>
      <c r="H41">
        <v>1</v>
      </c>
      <c r="I41">
        <v>57</v>
      </c>
      <c r="J41">
        <v>16</v>
      </c>
      <c r="K41">
        <v>9</v>
      </c>
      <c r="L41">
        <v>8</v>
      </c>
      <c r="M41">
        <v>3</v>
      </c>
      <c r="N41">
        <v>36</v>
      </c>
      <c r="O41">
        <v>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F980E-4BD8-4B8D-9D02-92F2578E2D46}">
  <dimension ref="A3:A40"/>
  <sheetViews>
    <sheetView workbookViewId="0"/>
  </sheetViews>
  <sheetFormatPr defaultColWidth="11.42578125" defaultRowHeight="14.45"/>
  <cols>
    <col min="1" max="1" width="29.85546875" bestFit="1" customWidth="1"/>
  </cols>
  <sheetData>
    <row r="3" spans="1:1">
      <c r="A3" s="15" t="s">
        <v>2</v>
      </c>
    </row>
    <row r="4" spans="1:1">
      <c r="A4" s="16" t="s">
        <v>14</v>
      </c>
    </row>
    <row r="5" spans="1:1">
      <c r="A5" s="16" t="s">
        <v>61</v>
      </c>
    </row>
    <row r="6" spans="1:1">
      <c r="A6" s="16" t="s">
        <v>8</v>
      </c>
    </row>
    <row r="7" spans="1:1">
      <c r="A7" s="16" t="s">
        <v>15</v>
      </c>
    </row>
    <row r="8" spans="1:1">
      <c r="A8" s="16" t="s">
        <v>81</v>
      </c>
    </row>
    <row r="9" spans="1:1">
      <c r="A9" s="16" t="s">
        <v>19</v>
      </c>
    </row>
    <row r="10" spans="1:1">
      <c r="A10" s="16" t="s">
        <v>62</v>
      </c>
    </row>
    <row r="11" spans="1:1">
      <c r="A11" s="16" t="s">
        <v>63</v>
      </c>
    </row>
    <row r="12" spans="1:1">
      <c r="A12" s="16" t="s">
        <v>64</v>
      </c>
    </row>
    <row r="13" spans="1:1">
      <c r="A13" s="16" t="s">
        <v>22</v>
      </c>
    </row>
    <row r="14" spans="1:1">
      <c r="A14" s="16" t="s">
        <v>10</v>
      </c>
    </row>
    <row r="15" spans="1:1">
      <c r="A15" s="16" t="s">
        <v>65</v>
      </c>
    </row>
    <row r="16" spans="1:1">
      <c r="A16" s="16" t="s">
        <v>66</v>
      </c>
    </row>
    <row r="17" spans="1:1">
      <c r="A17" s="16" t="s">
        <v>67</v>
      </c>
    </row>
    <row r="18" spans="1:1">
      <c r="A18" s="16" t="s">
        <v>16</v>
      </c>
    </row>
    <row r="19" spans="1:1">
      <c r="A19" s="16" t="s">
        <v>11</v>
      </c>
    </row>
    <row r="20" spans="1:1">
      <c r="A20" s="16" t="s">
        <v>68</v>
      </c>
    </row>
    <row r="21" spans="1:1">
      <c r="A21" s="16" t="s">
        <v>69</v>
      </c>
    </row>
    <row r="22" spans="1:1">
      <c r="A22" s="16" t="s">
        <v>70</v>
      </c>
    </row>
    <row r="23" spans="1:1">
      <c r="A23" s="16" t="s">
        <v>71</v>
      </c>
    </row>
    <row r="24" spans="1:1">
      <c r="A24" s="16" t="s">
        <v>20</v>
      </c>
    </row>
    <row r="25" spans="1:1">
      <c r="A25" s="16" t="s">
        <v>12</v>
      </c>
    </row>
    <row r="26" spans="1:1">
      <c r="A26" s="16" t="s">
        <v>82</v>
      </c>
    </row>
    <row r="27" spans="1:1">
      <c r="A27" s="16" t="s">
        <v>72</v>
      </c>
    </row>
    <row r="28" spans="1:1">
      <c r="A28" s="16" t="s">
        <v>73</v>
      </c>
    </row>
    <row r="29" spans="1:1">
      <c r="A29" s="16" t="s">
        <v>74</v>
      </c>
    </row>
    <row r="30" spans="1:1">
      <c r="A30" s="16" t="s">
        <v>21</v>
      </c>
    </row>
    <row r="31" spans="1:1">
      <c r="A31" s="16" t="s">
        <v>75</v>
      </c>
    </row>
    <row r="32" spans="1:1">
      <c r="A32" s="16" t="s">
        <v>76</v>
      </c>
    </row>
    <row r="33" spans="1:1">
      <c r="A33" s="16" t="s">
        <v>77</v>
      </c>
    </row>
    <row r="34" spans="1:1">
      <c r="A34" s="16" t="s">
        <v>17</v>
      </c>
    </row>
    <row r="35" spans="1:1">
      <c r="A35" s="16" t="s">
        <v>78</v>
      </c>
    </row>
    <row r="36" spans="1:1">
      <c r="A36" s="16" t="s">
        <v>79</v>
      </c>
    </row>
    <row r="37" spans="1:1">
      <c r="A37" s="16" t="s">
        <v>13</v>
      </c>
    </row>
    <row r="38" spans="1:1">
      <c r="A38" s="16" t="s">
        <v>18</v>
      </c>
    </row>
    <row r="39" spans="1:1">
      <c r="A39" s="16" t="s">
        <v>80</v>
      </c>
    </row>
    <row r="40" spans="1:1">
      <c r="A40" s="16" t="s">
        <v>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2DE4E-759A-4EAE-8D7A-2F7AD667CA7F}">
  <dimension ref="A1:E8"/>
  <sheetViews>
    <sheetView workbookViewId="0">
      <selection activeCell="B4" sqref="B4"/>
    </sheetView>
  </sheetViews>
  <sheetFormatPr defaultColWidth="11.42578125" defaultRowHeight="14.45"/>
  <cols>
    <col min="2" max="2" width="15.140625" bestFit="1" customWidth="1"/>
  </cols>
  <sheetData>
    <row r="1" spans="1:5">
      <c r="A1" t="s">
        <v>83</v>
      </c>
      <c r="B1" t="s">
        <v>84</v>
      </c>
    </row>
    <row r="2" spans="1:5">
      <c r="A2" t="s">
        <v>85</v>
      </c>
      <c r="B2" t="s">
        <v>86</v>
      </c>
      <c r="C2" t="s">
        <v>87</v>
      </c>
      <c r="D2" t="s">
        <v>88</v>
      </c>
      <c r="E2" t="s">
        <v>89</v>
      </c>
    </row>
    <row r="3" spans="1:5">
      <c r="A3" t="s">
        <v>90</v>
      </c>
      <c r="B3" t="s">
        <v>91</v>
      </c>
    </row>
    <row r="4" spans="1:5">
      <c r="A4" t="s">
        <v>92</v>
      </c>
      <c r="B4" t="s">
        <v>86</v>
      </c>
    </row>
    <row r="5" spans="1:5">
      <c r="A5" t="s">
        <v>93</v>
      </c>
      <c r="B5" t="s">
        <v>88</v>
      </c>
    </row>
    <row r="6" spans="1:5">
      <c r="A6" t="s">
        <v>94</v>
      </c>
      <c r="B6" t="s">
        <v>84</v>
      </c>
    </row>
    <row r="7" spans="1:5">
      <c r="A7" t="s">
        <v>95</v>
      </c>
      <c r="B7" t="s">
        <v>91</v>
      </c>
    </row>
    <row r="8" spans="1:5">
      <c r="A8" t="s">
        <v>96</v>
      </c>
      <c r="B8" t="s">
        <v>84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F202-4214-4BA7-8AEF-C4DBB6400BB1}">
  <sheetPr codeName="Hoja1"/>
  <dimension ref="A1:AN221"/>
  <sheetViews>
    <sheetView showGridLines="0" tabSelected="1" zoomScale="50" zoomScaleNormal="50" workbookViewId="0">
      <pane xSplit="11" ySplit="1" topLeftCell="P207" activePane="bottomRight" state="frozen"/>
      <selection pane="bottomRight" activeCell="P209" sqref="P209"/>
      <selection pane="bottomLeft" activeCell="A2" sqref="A2"/>
      <selection pane="topRight" activeCell="L1" sqref="L1"/>
    </sheetView>
  </sheetViews>
  <sheetFormatPr defaultColWidth="11.42578125" defaultRowHeight="14.45"/>
  <cols>
    <col min="1" max="1" width="8.7109375" bestFit="1" customWidth="1"/>
    <col min="2" max="2" width="30.85546875" customWidth="1"/>
    <col min="3" max="3" width="16.42578125" bestFit="1" customWidth="1"/>
    <col min="4" max="4" width="13.5703125" bestFit="1" customWidth="1"/>
    <col min="5" max="5" width="11.140625" bestFit="1" customWidth="1"/>
    <col min="6" max="6" width="12.42578125" bestFit="1" customWidth="1"/>
    <col min="7" max="8" width="5.42578125" bestFit="1" customWidth="1"/>
    <col min="9" max="9" width="7.5703125" bestFit="1" customWidth="1"/>
    <col min="10" max="10" width="41.28515625" customWidth="1"/>
    <col min="11" max="11" width="18.28515625" customWidth="1"/>
    <col min="12" max="12" width="9.85546875" bestFit="1" customWidth="1"/>
    <col min="13" max="13" width="11.85546875" bestFit="1" customWidth="1"/>
    <col min="14" max="14" width="48" bestFit="1" customWidth="1"/>
    <col min="15" max="15" width="48" customWidth="1"/>
    <col min="16" max="16" width="50.5703125" customWidth="1"/>
    <col min="17" max="17" width="21.85546875" bestFit="1" customWidth="1"/>
    <col min="18" max="18" width="17.5703125" bestFit="1" customWidth="1"/>
    <col min="19" max="19" width="58.28515625" bestFit="1" customWidth="1"/>
    <col min="20" max="20" width="38.140625" bestFit="1" customWidth="1"/>
    <col min="21" max="21" width="99.85546875" bestFit="1" customWidth="1"/>
    <col min="22" max="22" width="13.5703125" bestFit="1" customWidth="1"/>
    <col min="23" max="23" width="9.7109375" bestFit="1" customWidth="1"/>
    <col min="24" max="24" width="17.5703125" bestFit="1" customWidth="1"/>
    <col min="25" max="25" width="23.85546875" bestFit="1" customWidth="1"/>
    <col min="26" max="26" width="18.42578125" customWidth="1"/>
    <col min="27" max="27" width="14.42578125" bestFit="1" customWidth="1"/>
    <col min="28" max="28" width="24.140625" customWidth="1"/>
    <col min="29" max="29" width="52.28515625" bestFit="1" customWidth="1"/>
    <col min="30" max="30" width="10.42578125" customWidth="1"/>
    <col min="33" max="33" width="15" bestFit="1" customWidth="1"/>
    <col min="34" max="34" width="17.85546875" bestFit="1" customWidth="1"/>
    <col min="39" max="39" width="11.42578125" style="29"/>
    <col min="40" max="40" width="26.5703125" customWidth="1"/>
  </cols>
  <sheetData>
    <row r="1" spans="1:40" ht="43.5">
      <c r="A1" s="30" t="s">
        <v>97</v>
      </c>
      <c r="B1" s="30" t="s">
        <v>0</v>
      </c>
      <c r="C1" s="30" t="s">
        <v>98</v>
      </c>
      <c r="D1" s="30" t="s">
        <v>99</v>
      </c>
      <c r="E1" s="30" t="s">
        <v>100</v>
      </c>
      <c r="F1" s="30" t="s">
        <v>101</v>
      </c>
      <c r="G1" s="30" t="s">
        <v>102</v>
      </c>
      <c r="H1" s="30" t="s">
        <v>103</v>
      </c>
      <c r="I1" s="30" t="s">
        <v>104</v>
      </c>
      <c r="J1" s="30" t="s">
        <v>105</v>
      </c>
      <c r="K1" s="30" t="s">
        <v>106</v>
      </c>
      <c r="L1" s="30" t="s">
        <v>107</v>
      </c>
      <c r="M1" s="30" t="s">
        <v>108</v>
      </c>
      <c r="N1" s="30" t="s">
        <v>109</v>
      </c>
      <c r="O1" s="30" t="s">
        <v>110</v>
      </c>
      <c r="P1" s="30" t="s">
        <v>111</v>
      </c>
      <c r="Q1" s="30" t="s">
        <v>112</v>
      </c>
      <c r="R1" s="30" t="s">
        <v>113</v>
      </c>
      <c r="S1" s="30" t="s">
        <v>114</v>
      </c>
      <c r="T1" s="32" t="s">
        <v>115</v>
      </c>
      <c r="U1" s="36" t="s">
        <v>116</v>
      </c>
      <c r="V1" s="31" t="s">
        <v>117</v>
      </c>
      <c r="W1" s="31" t="s">
        <v>103</v>
      </c>
      <c r="X1" s="31" t="s">
        <v>102</v>
      </c>
      <c r="Y1" s="31" t="s">
        <v>118</v>
      </c>
      <c r="Z1" s="31" t="s">
        <v>119</v>
      </c>
      <c r="AA1" s="31" t="s">
        <v>120</v>
      </c>
      <c r="AB1" s="31" t="s">
        <v>121</v>
      </c>
      <c r="AC1" s="31" t="s">
        <v>122</v>
      </c>
      <c r="AD1" s="31" t="s">
        <v>123</v>
      </c>
      <c r="AE1" s="31" t="s">
        <v>124</v>
      </c>
      <c r="AF1" s="31" t="s">
        <v>125</v>
      </c>
      <c r="AG1" s="31" t="s">
        <v>126</v>
      </c>
      <c r="AH1" s="31" t="s">
        <v>127</v>
      </c>
      <c r="AI1" s="31" t="s">
        <v>128</v>
      </c>
      <c r="AJ1" s="31" t="s">
        <v>129</v>
      </c>
      <c r="AK1" s="31" t="s">
        <v>130</v>
      </c>
      <c r="AL1" s="31" t="s">
        <v>131</v>
      </c>
      <c r="AM1" s="31" t="s">
        <v>132</v>
      </c>
      <c r="AN1" s="39" t="s">
        <v>133</v>
      </c>
    </row>
    <row r="2" spans="1:40" ht="32.1" customHeight="1">
      <c r="A2" s="14">
        <v>3649249</v>
      </c>
      <c r="B2" s="14" t="s">
        <v>13</v>
      </c>
      <c r="C2" s="14" t="s">
        <v>134</v>
      </c>
      <c r="D2" s="14" t="s">
        <v>135</v>
      </c>
      <c r="E2" s="14" t="s">
        <v>135</v>
      </c>
      <c r="F2" s="14" t="s">
        <v>136</v>
      </c>
      <c r="G2" s="14">
        <v>2026</v>
      </c>
      <c r="H2" s="14" t="s">
        <v>137</v>
      </c>
      <c r="I2" s="14" t="s">
        <v>138</v>
      </c>
      <c r="J2" s="14" t="s">
        <v>139</v>
      </c>
      <c r="K2" s="14"/>
      <c r="L2" s="14" t="s">
        <v>5</v>
      </c>
      <c r="M2" s="14" t="s">
        <v>140</v>
      </c>
      <c r="N2" s="14" t="s">
        <v>141</v>
      </c>
      <c r="O2" s="14"/>
      <c r="P2" s="14" t="s">
        <v>142</v>
      </c>
      <c r="Q2" s="14" t="s">
        <v>143</v>
      </c>
      <c r="R2" s="14" t="s">
        <v>144</v>
      </c>
      <c r="S2" s="14" t="s">
        <v>145</v>
      </c>
      <c r="T2" s="18">
        <v>3007751069</v>
      </c>
      <c r="U2" s="21" t="s">
        <v>146</v>
      </c>
      <c r="V2">
        <f t="shared" ref="V2:V33" si="0">WEEKNUM(E2)</f>
        <v>29</v>
      </c>
      <c r="W2">
        <f t="shared" ref="W2:W33" si="1">MONTH(E2)</f>
        <v>7</v>
      </c>
      <c r="X2">
        <f t="shared" ref="X2:X33" si="2">YEAR(E2)</f>
        <v>2026</v>
      </c>
      <c r="Y2" t="str">
        <f t="shared" ref="Y2:Y30" si="3">_xlfn.CONCAT(V2,"-",X2)</f>
        <v>29-2026</v>
      </c>
      <c r="Z2" t="s">
        <v>147</v>
      </c>
      <c r="AA2">
        <v>7.0706374277242299</v>
      </c>
      <c r="AB2">
        <v>-73.105528329117803</v>
      </c>
      <c r="AC2" t="s">
        <v>148</v>
      </c>
      <c r="AD2" t="s">
        <v>58</v>
      </c>
      <c r="AE2">
        <v>1</v>
      </c>
      <c r="AF2" t="s">
        <v>29</v>
      </c>
      <c r="AM2"/>
      <c r="AN2" s="29"/>
    </row>
    <row r="3" spans="1:40" ht="32.1" customHeight="1">
      <c r="A3" s="14">
        <v>3649288</v>
      </c>
      <c r="B3" s="14" t="s">
        <v>21</v>
      </c>
      <c r="C3" s="14" t="s">
        <v>149</v>
      </c>
      <c r="D3" s="14" t="s">
        <v>135</v>
      </c>
      <c r="E3" s="14" t="s">
        <v>135</v>
      </c>
      <c r="F3" s="14" t="s">
        <v>150</v>
      </c>
      <c r="G3" s="14">
        <v>2026</v>
      </c>
      <c r="H3" s="14" t="s">
        <v>137</v>
      </c>
      <c r="I3" s="14" t="s">
        <v>138</v>
      </c>
      <c r="J3" s="14" t="s">
        <v>151</v>
      </c>
      <c r="K3" s="14"/>
      <c r="L3" s="14" t="s">
        <v>4</v>
      </c>
      <c r="M3" s="14" t="s">
        <v>85</v>
      </c>
      <c r="N3" s="14" t="s">
        <v>152</v>
      </c>
      <c r="O3" s="14"/>
      <c r="P3" s="17" t="s">
        <v>153</v>
      </c>
      <c r="Q3" s="14" t="s">
        <v>143</v>
      </c>
      <c r="R3" s="14" t="s">
        <v>144</v>
      </c>
      <c r="S3" s="14">
        <v>3103340792</v>
      </c>
      <c r="T3" s="18" t="s">
        <v>154</v>
      </c>
      <c r="U3" s="21" t="s">
        <v>155</v>
      </c>
      <c r="V3">
        <f t="shared" si="0"/>
        <v>29</v>
      </c>
      <c r="W3">
        <f t="shared" si="1"/>
        <v>7</v>
      </c>
      <c r="X3">
        <f t="shared" si="2"/>
        <v>2026</v>
      </c>
      <c r="Y3" t="str">
        <f t="shared" si="3"/>
        <v>29-2026</v>
      </c>
      <c r="Z3" t="s">
        <v>147</v>
      </c>
      <c r="AA3">
        <v>4.7402539522694704</v>
      </c>
      <c r="AB3">
        <v>-74.047801728288505</v>
      </c>
      <c r="AD3" t="s">
        <v>58</v>
      </c>
      <c r="AE3">
        <v>1</v>
      </c>
      <c r="AF3" t="s">
        <v>29</v>
      </c>
      <c r="AM3"/>
      <c r="AN3" s="29"/>
    </row>
    <row r="4" spans="1:40" ht="32.1" customHeight="1">
      <c r="A4" s="14">
        <v>3649297</v>
      </c>
      <c r="B4" s="14" t="s">
        <v>21</v>
      </c>
      <c r="C4" s="14" t="s">
        <v>149</v>
      </c>
      <c r="D4" s="14" t="s">
        <v>135</v>
      </c>
      <c r="E4" s="14" t="s">
        <v>135</v>
      </c>
      <c r="F4" s="14" t="s">
        <v>156</v>
      </c>
      <c r="G4" s="14">
        <v>2026</v>
      </c>
      <c r="H4" s="14" t="s">
        <v>137</v>
      </c>
      <c r="I4" s="14" t="s">
        <v>138</v>
      </c>
      <c r="J4" s="14" t="s">
        <v>157</v>
      </c>
      <c r="K4" s="14"/>
      <c r="L4" s="14" t="s">
        <v>4</v>
      </c>
      <c r="M4" s="14" t="s">
        <v>85</v>
      </c>
      <c r="N4" s="14" t="s">
        <v>158</v>
      </c>
      <c r="O4" s="14"/>
      <c r="P4" s="17" t="s">
        <v>159</v>
      </c>
      <c r="Q4" s="14" t="s">
        <v>143</v>
      </c>
      <c r="R4" s="14" t="s">
        <v>144</v>
      </c>
      <c r="S4" s="14">
        <v>3004550101</v>
      </c>
      <c r="T4" s="18" t="s">
        <v>160</v>
      </c>
      <c r="U4" s="21" t="s">
        <v>161</v>
      </c>
      <c r="V4">
        <f t="shared" si="0"/>
        <v>29</v>
      </c>
      <c r="W4">
        <f t="shared" si="1"/>
        <v>7</v>
      </c>
      <c r="X4">
        <f t="shared" si="2"/>
        <v>2026</v>
      </c>
      <c r="Y4" t="str">
        <f t="shared" si="3"/>
        <v>29-2026</v>
      </c>
      <c r="Z4" t="s">
        <v>147</v>
      </c>
      <c r="AA4">
        <v>4.7487732422165099</v>
      </c>
      <c r="AB4">
        <v>-74.0441775661929</v>
      </c>
      <c r="AD4" t="s">
        <v>57</v>
      </c>
      <c r="AE4">
        <v>1</v>
      </c>
      <c r="AG4" t="s">
        <v>28</v>
      </c>
      <c r="AH4" t="s">
        <v>40</v>
      </c>
      <c r="AI4" s="23">
        <v>46231</v>
      </c>
      <c r="AJ4" s="23"/>
      <c r="AM4"/>
      <c r="AN4" s="29"/>
    </row>
    <row r="5" spans="1:40" ht="32.1" customHeight="1">
      <c r="A5" s="14">
        <v>3649449</v>
      </c>
      <c r="B5" s="14" t="s">
        <v>20</v>
      </c>
      <c r="C5" s="14" t="s">
        <v>162</v>
      </c>
      <c r="D5" s="14" t="s">
        <v>135</v>
      </c>
      <c r="E5" s="14" t="s">
        <v>135</v>
      </c>
      <c r="F5" s="14" t="s">
        <v>163</v>
      </c>
      <c r="G5" s="14">
        <v>2026</v>
      </c>
      <c r="H5" s="14" t="s">
        <v>137</v>
      </c>
      <c r="I5" s="14" t="s">
        <v>138</v>
      </c>
      <c r="J5" s="14" t="s">
        <v>164</v>
      </c>
      <c r="K5" s="14"/>
      <c r="L5" s="14" t="s">
        <v>6</v>
      </c>
      <c r="M5" s="14" t="s">
        <v>165</v>
      </c>
      <c r="N5" s="14" t="s">
        <v>166</v>
      </c>
      <c r="O5" s="14"/>
      <c r="P5" s="17" t="s">
        <v>167</v>
      </c>
      <c r="Q5" s="14" t="s">
        <v>168</v>
      </c>
      <c r="R5" s="14" t="s">
        <v>144</v>
      </c>
      <c r="S5" s="14" t="s">
        <v>169</v>
      </c>
      <c r="T5" s="18" t="s">
        <v>170</v>
      </c>
      <c r="U5" s="21" t="s">
        <v>171</v>
      </c>
      <c r="V5">
        <f t="shared" si="0"/>
        <v>29</v>
      </c>
      <c r="W5">
        <f t="shared" si="1"/>
        <v>7</v>
      </c>
      <c r="X5">
        <f t="shared" si="2"/>
        <v>2026</v>
      </c>
      <c r="Y5" t="str">
        <f t="shared" si="3"/>
        <v>29-2026</v>
      </c>
      <c r="Z5" t="s">
        <v>147</v>
      </c>
      <c r="AA5">
        <v>4.8148684273055098</v>
      </c>
      <c r="AB5">
        <v>-75.694004374277299</v>
      </c>
      <c r="AD5" t="s">
        <v>57</v>
      </c>
      <c r="AE5">
        <v>1</v>
      </c>
      <c r="AG5" t="s">
        <v>28</v>
      </c>
      <c r="AH5" t="s">
        <v>38</v>
      </c>
      <c r="AI5" s="23">
        <v>46232</v>
      </c>
      <c r="AJ5" s="23"/>
      <c r="AM5"/>
      <c r="AN5" s="29"/>
    </row>
    <row r="6" spans="1:40" ht="32.1" customHeight="1">
      <c r="A6" s="14">
        <v>3649582</v>
      </c>
      <c r="B6" s="14" t="s">
        <v>20</v>
      </c>
      <c r="C6" s="14" t="s">
        <v>162</v>
      </c>
      <c r="D6" s="14" t="s">
        <v>135</v>
      </c>
      <c r="E6" s="14" t="s">
        <v>135</v>
      </c>
      <c r="F6" s="14" t="s">
        <v>172</v>
      </c>
      <c r="G6" s="14">
        <v>2026</v>
      </c>
      <c r="H6" s="14" t="s">
        <v>137</v>
      </c>
      <c r="I6" s="14" t="s">
        <v>138</v>
      </c>
      <c r="J6" s="14" t="s">
        <v>173</v>
      </c>
      <c r="K6" s="14"/>
      <c r="L6" s="14" t="s">
        <v>6</v>
      </c>
      <c r="M6" s="14" t="s">
        <v>165</v>
      </c>
      <c r="N6" s="14" t="s">
        <v>174</v>
      </c>
      <c r="O6" s="14"/>
      <c r="P6" s="17" t="s">
        <v>175</v>
      </c>
      <c r="Q6" s="14" t="s">
        <v>143</v>
      </c>
      <c r="R6" s="14" t="s">
        <v>176</v>
      </c>
      <c r="S6" s="14" t="s">
        <v>177</v>
      </c>
      <c r="T6" s="33" t="s">
        <v>178</v>
      </c>
      <c r="U6" s="21" t="s">
        <v>179</v>
      </c>
      <c r="V6">
        <f t="shared" si="0"/>
        <v>29</v>
      </c>
      <c r="W6">
        <f t="shared" si="1"/>
        <v>7</v>
      </c>
      <c r="X6">
        <f t="shared" si="2"/>
        <v>2026</v>
      </c>
      <c r="Y6" t="str">
        <f t="shared" si="3"/>
        <v>29-2026</v>
      </c>
      <c r="Z6" t="s">
        <v>147</v>
      </c>
      <c r="AA6">
        <v>4.8134006544967303</v>
      </c>
      <c r="AB6">
        <v>-75.699304830684</v>
      </c>
      <c r="AD6" t="s">
        <v>57</v>
      </c>
      <c r="AE6">
        <v>1</v>
      </c>
      <c r="AG6" t="s">
        <v>31</v>
      </c>
      <c r="AH6" t="s">
        <v>38</v>
      </c>
      <c r="AI6" s="23">
        <v>46233</v>
      </c>
      <c r="AJ6" s="23"/>
      <c r="AM6"/>
      <c r="AN6" s="29"/>
    </row>
    <row r="7" spans="1:40" ht="32.1" customHeight="1">
      <c r="A7" s="14">
        <v>3649592</v>
      </c>
      <c r="B7" s="14" t="s">
        <v>14</v>
      </c>
      <c r="C7" s="14" t="s">
        <v>180</v>
      </c>
      <c r="D7" s="14" t="s">
        <v>135</v>
      </c>
      <c r="E7" s="14" t="s">
        <v>135</v>
      </c>
      <c r="F7" s="14" t="s">
        <v>181</v>
      </c>
      <c r="G7" s="14">
        <v>2026</v>
      </c>
      <c r="H7" s="14" t="s">
        <v>137</v>
      </c>
      <c r="I7" s="14" t="s">
        <v>138</v>
      </c>
      <c r="J7" s="14" t="s">
        <v>182</v>
      </c>
      <c r="K7" s="14" t="s">
        <v>183</v>
      </c>
      <c r="L7" s="14" t="s">
        <v>6</v>
      </c>
      <c r="M7" s="14" t="s">
        <v>165</v>
      </c>
      <c r="N7" s="14" t="s">
        <v>184</v>
      </c>
      <c r="O7" s="14"/>
      <c r="P7" s="17" t="s">
        <v>185</v>
      </c>
      <c r="Q7" s="14" t="s">
        <v>143</v>
      </c>
      <c r="R7" s="14" t="s">
        <v>144</v>
      </c>
      <c r="S7" s="14">
        <v>3009121600</v>
      </c>
      <c r="T7" s="18" t="s">
        <v>186</v>
      </c>
      <c r="U7" s="21" t="s">
        <v>187</v>
      </c>
      <c r="V7">
        <f t="shared" si="0"/>
        <v>29</v>
      </c>
      <c r="W7">
        <f t="shared" si="1"/>
        <v>7</v>
      </c>
      <c r="X7">
        <f t="shared" si="2"/>
        <v>2026</v>
      </c>
      <c r="Y7" t="str">
        <f t="shared" si="3"/>
        <v>29-2026</v>
      </c>
      <c r="Z7" t="s">
        <v>147</v>
      </c>
      <c r="AA7">
        <v>4.8082106455401501</v>
      </c>
      <c r="AB7">
        <v>-75.688230399999597</v>
      </c>
      <c r="AD7" t="s">
        <v>57</v>
      </c>
      <c r="AE7">
        <v>1</v>
      </c>
      <c r="AG7" t="s">
        <v>31</v>
      </c>
      <c r="AH7" t="s">
        <v>38</v>
      </c>
      <c r="AI7" s="23">
        <v>46233</v>
      </c>
      <c r="AJ7" s="23"/>
      <c r="AM7"/>
      <c r="AN7" s="29"/>
    </row>
    <row r="8" spans="1:40" ht="32.1" customHeight="1">
      <c r="A8" s="14">
        <v>3649609</v>
      </c>
      <c r="B8" s="14" t="s">
        <v>62</v>
      </c>
      <c r="C8" s="14" t="s">
        <v>188</v>
      </c>
      <c r="D8" s="14" t="s">
        <v>135</v>
      </c>
      <c r="E8" s="14" t="s">
        <v>135</v>
      </c>
      <c r="F8" s="14" t="s">
        <v>189</v>
      </c>
      <c r="G8" s="14">
        <v>2026</v>
      </c>
      <c r="H8" s="14" t="s">
        <v>137</v>
      </c>
      <c r="I8" s="14" t="s">
        <v>138</v>
      </c>
      <c r="J8" s="14" t="s">
        <v>190</v>
      </c>
      <c r="K8" s="14"/>
      <c r="L8" s="14" t="s">
        <v>4</v>
      </c>
      <c r="M8" s="14" t="s">
        <v>92</v>
      </c>
      <c r="N8" s="14" t="s">
        <v>191</v>
      </c>
      <c r="O8" s="14"/>
      <c r="P8" s="17" t="s">
        <v>192</v>
      </c>
      <c r="Q8" s="14" t="s">
        <v>168</v>
      </c>
      <c r="R8" s="14" t="s">
        <v>193</v>
      </c>
      <c r="S8" s="14">
        <v>3104257782</v>
      </c>
      <c r="T8" s="18" t="s">
        <v>194</v>
      </c>
      <c r="U8" s="21" t="s">
        <v>195</v>
      </c>
      <c r="V8">
        <f t="shared" si="0"/>
        <v>29</v>
      </c>
      <c r="W8">
        <f t="shared" si="1"/>
        <v>7</v>
      </c>
      <c r="X8">
        <f t="shared" si="2"/>
        <v>2026</v>
      </c>
      <c r="Y8" t="str">
        <f t="shared" si="3"/>
        <v>29-2026</v>
      </c>
      <c r="Z8" t="s">
        <v>147</v>
      </c>
      <c r="AA8">
        <v>5.0009072881179204</v>
      </c>
      <c r="AB8">
        <v>-73.999167262091305</v>
      </c>
      <c r="AD8" t="s">
        <v>57</v>
      </c>
      <c r="AE8">
        <v>1</v>
      </c>
      <c r="AG8" t="s">
        <v>28</v>
      </c>
      <c r="AH8" t="s">
        <v>36</v>
      </c>
      <c r="AI8" s="23">
        <v>46234</v>
      </c>
      <c r="AJ8" s="23"/>
      <c r="AM8"/>
      <c r="AN8" s="29"/>
    </row>
    <row r="9" spans="1:40" ht="32.1" customHeight="1">
      <c r="A9" s="14">
        <v>3652749</v>
      </c>
      <c r="B9" s="14" t="s">
        <v>22</v>
      </c>
      <c r="C9" s="14" t="s">
        <v>196</v>
      </c>
      <c r="D9" s="14" t="s">
        <v>197</v>
      </c>
      <c r="E9" s="14" t="s">
        <v>197</v>
      </c>
      <c r="F9" s="14" t="s">
        <v>198</v>
      </c>
      <c r="G9" s="14">
        <v>2026</v>
      </c>
      <c r="H9" s="14" t="s">
        <v>137</v>
      </c>
      <c r="I9" s="14" t="s">
        <v>138</v>
      </c>
      <c r="J9" s="14" t="s">
        <v>199</v>
      </c>
      <c r="K9" s="14" t="s">
        <v>200</v>
      </c>
      <c r="L9" s="14" t="s">
        <v>4</v>
      </c>
      <c r="M9" s="14" t="s">
        <v>85</v>
      </c>
      <c r="N9" s="14" t="s">
        <v>201</v>
      </c>
      <c r="O9" s="14"/>
      <c r="P9" s="17" t="s">
        <v>202</v>
      </c>
      <c r="Q9" s="14" t="s">
        <v>168</v>
      </c>
      <c r="R9" s="14" t="s">
        <v>144</v>
      </c>
      <c r="S9" s="14">
        <v>3112914286</v>
      </c>
      <c r="T9" s="18" t="s">
        <v>203</v>
      </c>
      <c r="U9" s="21" t="s">
        <v>204</v>
      </c>
      <c r="V9">
        <f t="shared" si="0"/>
        <v>29</v>
      </c>
      <c r="W9">
        <f t="shared" si="1"/>
        <v>7</v>
      </c>
      <c r="X9">
        <f t="shared" si="2"/>
        <v>2026</v>
      </c>
      <c r="Y9" t="str">
        <f t="shared" si="3"/>
        <v>29-2026</v>
      </c>
      <c r="Z9" t="s">
        <v>147</v>
      </c>
      <c r="AA9">
        <v>4.63943295015559</v>
      </c>
      <c r="AB9">
        <v>-74.065112728285797</v>
      </c>
      <c r="AD9" t="s">
        <v>57</v>
      </c>
      <c r="AE9">
        <v>1</v>
      </c>
      <c r="AG9" t="s">
        <v>28</v>
      </c>
      <c r="AH9" t="s">
        <v>27</v>
      </c>
      <c r="AI9" s="23">
        <v>46231</v>
      </c>
      <c r="AJ9" s="23"/>
      <c r="AM9"/>
      <c r="AN9" s="29" t="s">
        <v>205</v>
      </c>
    </row>
    <row r="10" spans="1:40" ht="32.1" customHeight="1">
      <c r="A10" s="14">
        <v>3652752</v>
      </c>
      <c r="B10" s="14" t="s">
        <v>22</v>
      </c>
      <c r="C10" s="14" t="s">
        <v>196</v>
      </c>
      <c r="D10" s="14" t="s">
        <v>197</v>
      </c>
      <c r="E10" s="14" t="s">
        <v>197</v>
      </c>
      <c r="F10" s="14" t="s">
        <v>206</v>
      </c>
      <c r="G10" s="14">
        <v>2026</v>
      </c>
      <c r="H10" s="14" t="s">
        <v>137</v>
      </c>
      <c r="I10" s="14" t="s">
        <v>138</v>
      </c>
      <c r="J10" s="14" t="s">
        <v>207</v>
      </c>
      <c r="K10" s="14" t="s">
        <v>208</v>
      </c>
      <c r="L10" s="14" t="s">
        <v>4</v>
      </c>
      <c r="M10" s="14" t="s">
        <v>85</v>
      </c>
      <c r="N10" s="14" t="s">
        <v>209</v>
      </c>
      <c r="O10" s="14"/>
      <c r="P10" s="17" t="s">
        <v>210</v>
      </c>
      <c r="Q10" s="14" t="s">
        <v>168</v>
      </c>
      <c r="R10" s="14" t="s">
        <v>144</v>
      </c>
      <c r="S10" s="14">
        <v>3112034494</v>
      </c>
      <c r="T10" s="18" t="s">
        <v>203</v>
      </c>
      <c r="U10" s="21" t="s">
        <v>211</v>
      </c>
      <c r="V10">
        <f t="shared" si="0"/>
        <v>29</v>
      </c>
      <c r="W10">
        <f t="shared" si="1"/>
        <v>7</v>
      </c>
      <c r="X10">
        <f t="shared" si="2"/>
        <v>2026</v>
      </c>
      <c r="Y10" t="str">
        <f t="shared" si="3"/>
        <v>29-2026</v>
      </c>
      <c r="Z10" t="s">
        <v>147</v>
      </c>
      <c r="AA10">
        <v>4.7013211899417797</v>
      </c>
      <c r="AB10">
        <v>-74.047880000000305</v>
      </c>
      <c r="AD10" t="s">
        <v>58</v>
      </c>
      <c r="AE10">
        <v>1</v>
      </c>
      <c r="AF10" t="s">
        <v>45</v>
      </c>
      <c r="AM10"/>
      <c r="AN10" s="29"/>
    </row>
    <row r="11" spans="1:40" ht="32.1" customHeight="1">
      <c r="A11" s="14">
        <v>3652756</v>
      </c>
      <c r="B11" s="14" t="s">
        <v>22</v>
      </c>
      <c r="C11" s="14" t="s">
        <v>196</v>
      </c>
      <c r="D11" s="14" t="s">
        <v>197</v>
      </c>
      <c r="E11" s="14" t="s">
        <v>197</v>
      </c>
      <c r="F11" s="14" t="s">
        <v>212</v>
      </c>
      <c r="G11" s="14">
        <v>2026</v>
      </c>
      <c r="H11" s="14" t="s">
        <v>137</v>
      </c>
      <c r="I11" s="14" t="s">
        <v>138</v>
      </c>
      <c r="J11" s="14" t="s">
        <v>213</v>
      </c>
      <c r="K11" s="14" t="s">
        <v>214</v>
      </c>
      <c r="L11" s="14" t="s">
        <v>4</v>
      </c>
      <c r="M11" s="14" t="s">
        <v>85</v>
      </c>
      <c r="N11" s="14" t="s">
        <v>215</v>
      </c>
      <c r="O11" s="14"/>
      <c r="P11" s="17" t="s">
        <v>216</v>
      </c>
      <c r="Q11" s="14" t="s">
        <v>168</v>
      </c>
      <c r="R11" s="14" t="s">
        <v>144</v>
      </c>
      <c r="S11" s="14">
        <v>3114910947</v>
      </c>
      <c r="T11" s="18" t="s">
        <v>217</v>
      </c>
      <c r="U11" s="21" t="s">
        <v>218</v>
      </c>
      <c r="V11">
        <f t="shared" si="0"/>
        <v>29</v>
      </c>
      <c r="W11">
        <f t="shared" si="1"/>
        <v>7</v>
      </c>
      <c r="X11">
        <f t="shared" si="2"/>
        <v>2026</v>
      </c>
      <c r="Y11" t="str">
        <f t="shared" si="3"/>
        <v>29-2026</v>
      </c>
      <c r="Z11" t="s">
        <v>147</v>
      </c>
      <c r="AA11">
        <v>4.6983514463927198</v>
      </c>
      <c r="AB11">
        <v>-74.043404099997403</v>
      </c>
      <c r="AD11" t="s">
        <v>58</v>
      </c>
      <c r="AE11">
        <v>1</v>
      </c>
      <c r="AF11" t="s">
        <v>29</v>
      </c>
      <c r="AM11"/>
      <c r="AN11" s="29"/>
    </row>
    <row r="12" spans="1:40" ht="32.1" customHeight="1">
      <c r="A12" s="14">
        <v>3652790</v>
      </c>
      <c r="B12" s="14" t="s">
        <v>15</v>
      </c>
      <c r="C12" s="14" t="s">
        <v>219</v>
      </c>
      <c r="D12" s="14" t="s">
        <v>197</v>
      </c>
      <c r="E12" s="14" t="s">
        <v>197</v>
      </c>
      <c r="F12" s="14" t="s">
        <v>220</v>
      </c>
      <c r="G12" s="14">
        <v>2026</v>
      </c>
      <c r="H12" s="14" t="s">
        <v>137</v>
      </c>
      <c r="I12" s="14" t="s">
        <v>138</v>
      </c>
      <c r="J12" s="14" t="s">
        <v>221</v>
      </c>
      <c r="K12" s="14"/>
      <c r="L12" s="14" t="s">
        <v>4</v>
      </c>
      <c r="M12" s="14" t="s">
        <v>85</v>
      </c>
      <c r="N12" s="14" t="s">
        <v>222</v>
      </c>
      <c r="O12" s="14"/>
      <c r="P12" s="17" t="s">
        <v>223</v>
      </c>
      <c r="Q12" s="14" t="s">
        <v>224</v>
      </c>
      <c r="R12" s="14" t="s">
        <v>225</v>
      </c>
      <c r="S12" s="14">
        <v>3102521005</v>
      </c>
      <c r="T12" s="18" t="s">
        <v>226</v>
      </c>
      <c r="U12" s="21" t="s">
        <v>227</v>
      </c>
      <c r="V12">
        <f t="shared" si="0"/>
        <v>29</v>
      </c>
      <c r="W12">
        <f t="shared" si="1"/>
        <v>7</v>
      </c>
      <c r="X12">
        <f t="shared" si="2"/>
        <v>2026</v>
      </c>
      <c r="Y12" t="str">
        <f t="shared" si="3"/>
        <v>29-2026</v>
      </c>
      <c r="Z12" t="s">
        <v>147</v>
      </c>
      <c r="AA12">
        <v>4.5608458575304303</v>
      </c>
      <c r="AB12">
        <v>-74.126013736619299</v>
      </c>
      <c r="AD12" t="s">
        <v>57</v>
      </c>
      <c r="AE12">
        <v>1</v>
      </c>
      <c r="AG12" t="s">
        <v>28</v>
      </c>
      <c r="AH12" t="s">
        <v>40</v>
      </c>
      <c r="AI12" s="23">
        <v>46233</v>
      </c>
      <c r="AJ12" s="23"/>
      <c r="AM12"/>
      <c r="AN12" s="29"/>
    </row>
    <row r="13" spans="1:40" ht="32.1" customHeight="1">
      <c r="A13" s="14">
        <v>3652807</v>
      </c>
      <c r="B13" s="14" t="s">
        <v>22</v>
      </c>
      <c r="C13" s="14" t="s">
        <v>196</v>
      </c>
      <c r="D13" s="14" t="s">
        <v>197</v>
      </c>
      <c r="E13" s="14" t="s">
        <v>197</v>
      </c>
      <c r="F13" s="14" t="s">
        <v>228</v>
      </c>
      <c r="G13" s="14">
        <v>2026</v>
      </c>
      <c r="H13" s="14" t="s">
        <v>137</v>
      </c>
      <c r="I13" s="14" t="s">
        <v>138</v>
      </c>
      <c r="J13" s="14" t="s">
        <v>229</v>
      </c>
      <c r="K13" s="14"/>
      <c r="L13" s="14" t="s">
        <v>4</v>
      </c>
      <c r="M13" s="14" t="s">
        <v>85</v>
      </c>
      <c r="N13" s="14" t="s">
        <v>230</v>
      </c>
      <c r="O13" s="14"/>
      <c r="P13" s="17" t="s">
        <v>231</v>
      </c>
      <c r="Q13" s="14" t="s">
        <v>168</v>
      </c>
      <c r="R13" s="14" t="s">
        <v>144</v>
      </c>
      <c r="S13" s="14" t="s">
        <v>232</v>
      </c>
      <c r="T13" s="18" t="s">
        <v>203</v>
      </c>
      <c r="U13" s="21" t="s">
        <v>233</v>
      </c>
      <c r="V13">
        <f t="shared" si="0"/>
        <v>29</v>
      </c>
      <c r="W13">
        <f t="shared" si="1"/>
        <v>7</v>
      </c>
      <c r="X13">
        <f t="shared" si="2"/>
        <v>2026</v>
      </c>
      <c r="Y13" t="str">
        <f t="shared" si="3"/>
        <v>29-2026</v>
      </c>
      <c r="Z13" t="s">
        <v>147</v>
      </c>
      <c r="AA13">
        <v>4.6970167212173299</v>
      </c>
      <c r="AB13">
        <v>-74.044096808662403</v>
      </c>
      <c r="AD13" t="s">
        <v>58</v>
      </c>
      <c r="AE13">
        <v>1</v>
      </c>
      <c r="AF13" t="s">
        <v>29</v>
      </c>
      <c r="AM13"/>
      <c r="AN13" s="29"/>
    </row>
    <row r="14" spans="1:40" ht="32.1" customHeight="1">
      <c r="A14" s="14">
        <v>3652812</v>
      </c>
      <c r="B14" s="14" t="s">
        <v>22</v>
      </c>
      <c r="C14" s="14" t="s">
        <v>196</v>
      </c>
      <c r="D14" s="14" t="s">
        <v>197</v>
      </c>
      <c r="E14" s="14" t="s">
        <v>197</v>
      </c>
      <c r="F14" s="14" t="s">
        <v>234</v>
      </c>
      <c r="G14" s="14">
        <v>2026</v>
      </c>
      <c r="H14" s="14" t="s">
        <v>137</v>
      </c>
      <c r="I14" s="14" t="s">
        <v>138</v>
      </c>
      <c r="J14" s="14" t="s">
        <v>235</v>
      </c>
      <c r="K14" s="14"/>
      <c r="L14" s="14" t="s">
        <v>4</v>
      </c>
      <c r="M14" s="14" t="s">
        <v>85</v>
      </c>
      <c r="N14" s="14" t="s">
        <v>236</v>
      </c>
      <c r="O14" s="14"/>
      <c r="P14" s="17" t="s">
        <v>237</v>
      </c>
      <c r="Q14" s="14" t="s">
        <v>168</v>
      </c>
      <c r="R14" s="14" t="s">
        <v>144</v>
      </c>
      <c r="S14" s="14">
        <v>3105722683</v>
      </c>
      <c r="T14" s="18" t="s">
        <v>238</v>
      </c>
      <c r="U14" s="37" t="s">
        <v>239</v>
      </c>
      <c r="V14">
        <f t="shared" si="0"/>
        <v>29</v>
      </c>
      <c r="W14">
        <f t="shared" si="1"/>
        <v>7</v>
      </c>
      <c r="X14">
        <f t="shared" si="2"/>
        <v>2026</v>
      </c>
      <c r="Y14" t="str">
        <f t="shared" si="3"/>
        <v>29-2026</v>
      </c>
      <c r="Z14" t="s">
        <v>147</v>
      </c>
      <c r="AA14">
        <v>4.6976472368839497</v>
      </c>
      <c r="AB14">
        <v>-74.045903241507105</v>
      </c>
      <c r="AD14" t="s">
        <v>58</v>
      </c>
      <c r="AE14">
        <v>1</v>
      </c>
      <c r="AF14" t="s">
        <v>29</v>
      </c>
      <c r="AM14"/>
      <c r="AN14" s="29"/>
    </row>
    <row r="15" spans="1:40" ht="32.1" customHeight="1">
      <c r="A15" s="14">
        <v>3652852</v>
      </c>
      <c r="B15" s="14" t="s">
        <v>16</v>
      </c>
      <c r="C15" s="14" t="s">
        <v>240</v>
      </c>
      <c r="D15" s="14" t="s">
        <v>197</v>
      </c>
      <c r="E15" s="14" t="s">
        <v>197</v>
      </c>
      <c r="F15" s="14" t="s">
        <v>241</v>
      </c>
      <c r="G15" s="14">
        <v>2026</v>
      </c>
      <c r="H15" s="14" t="s">
        <v>137</v>
      </c>
      <c r="I15" s="14" t="s">
        <v>138</v>
      </c>
      <c r="J15" s="14" t="s">
        <v>242</v>
      </c>
      <c r="K15" s="14"/>
      <c r="L15" s="14" t="s">
        <v>4</v>
      </c>
      <c r="M15" s="14" t="s">
        <v>243</v>
      </c>
      <c r="N15" s="14" t="s">
        <v>244</v>
      </c>
      <c r="O15" s="14"/>
      <c r="P15" s="17" t="s">
        <v>245</v>
      </c>
      <c r="Q15" s="14" t="s">
        <v>168</v>
      </c>
      <c r="R15" s="14" t="s">
        <v>144</v>
      </c>
      <c r="S15" s="14" t="s">
        <v>246</v>
      </c>
      <c r="T15" s="18">
        <v>3002661196</v>
      </c>
      <c r="U15" s="21" t="s">
        <v>247</v>
      </c>
      <c r="V15">
        <f t="shared" si="0"/>
        <v>29</v>
      </c>
      <c r="W15">
        <f t="shared" si="1"/>
        <v>7</v>
      </c>
      <c r="X15">
        <f t="shared" si="2"/>
        <v>2026</v>
      </c>
      <c r="Y15" t="str">
        <f t="shared" si="3"/>
        <v>29-2026</v>
      </c>
      <c r="Z15" t="s">
        <v>147</v>
      </c>
      <c r="AA15">
        <v>4.3265115472693196</v>
      </c>
      <c r="AB15">
        <v>-74.396469270556196</v>
      </c>
      <c r="AD15" t="s">
        <v>57</v>
      </c>
      <c r="AE15">
        <v>1</v>
      </c>
      <c r="AG15" t="s">
        <v>28</v>
      </c>
      <c r="AH15" t="s">
        <v>44</v>
      </c>
      <c r="AI15" s="23">
        <v>46233</v>
      </c>
      <c r="AJ15" s="23"/>
      <c r="AM15"/>
      <c r="AN15" s="29"/>
    </row>
    <row r="16" spans="1:40" ht="32.1" customHeight="1">
      <c r="A16" s="14">
        <v>3652942</v>
      </c>
      <c r="B16" s="14" t="s">
        <v>18</v>
      </c>
      <c r="C16" s="14" t="s">
        <v>248</v>
      </c>
      <c r="D16" s="14" t="s">
        <v>197</v>
      </c>
      <c r="E16" s="14" t="s">
        <v>197</v>
      </c>
      <c r="F16" s="14" t="s">
        <v>249</v>
      </c>
      <c r="G16" s="14">
        <v>2026</v>
      </c>
      <c r="H16" s="14" t="s">
        <v>137</v>
      </c>
      <c r="I16" s="14" t="s">
        <v>138</v>
      </c>
      <c r="J16" s="14" t="s">
        <v>250</v>
      </c>
      <c r="K16" s="14"/>
      <c r="L16" s="14" t="s">
        <v>4</v>
      </c>
      <c r="M16" s="14" t="s">
        <v>85</v>
      </c>
      <c r="N16" s="14" t="s">
        <v>251</v>
      </c>
      <c r="O16" s="14"/>
      <c r="P16" s="17" t="s">
        <v>252</v>
      </c>
      <c r="Q16" s="14" t="s">
        <v>143</v>
      </c>
      <c r="R16" s="14" t="s">
        <v>144</v>
      </c>
      <c r="S16" s="14">
        <v>3112914286</v>
      </c>
      <c r="T16" s="18" t="s">
        <v>253</v>
      </c>
      <c r="U16" s="21" t="s">
        <v>254</v>
      </c>
      <c r="V16">
        <f t="shared" si="0"/>
        <v>29</v>
      </c>
      <c r="W16">
        <f t="shared" si="1"/>
        <v>7</v>
      </c>
      <c r="X16">
        <f t="shared" si="2"/>
        <v>2026</v>
      </c>
      <c r="Y16" t="str">
        <f t="shared" si="3"/>
        <v>29-2026</v>
      </c>
      <c r="Z16" t="s">
        <v>255</v>
      </c>
      <c r="AD16" t="s">
        <v>58</v>
      </c>
      <c r="AE16">
        <v>1</v>
      </c>
      <c r="AF16" t="s">
        <v>50</v>
      </c>
      <c r="AM16"/>
      <c r="AN16" s="29"/>
    </row>
    <row r="17" spans="1:40" ht="32.1" customHeight="1">
      <c r="A17" s="14">
        <v>3652948</v>
      </c>
      <c r="B17" s="14" t="s">
        <v>19</v>
      </c>
      <c r="C17" s="14" t="s">
        <v>256</v>
      </c>
      <c r="D17" s="14" t="s">
        <v>197</v>
      </c>
      <c r="E17" s="14" t="s">
        <v>197</v>
      </c>
      <c r="F17" s="14" t="s">
        <v>257</v>
      </c>
      <c r="G17" s="14">
        <v>2026</v>
      </c>
      <c r="H17" s="14" t="s">
        <v>137</v>
      </c>
      <c r="I17" s="14" t="s">
        <v>138</v>
      </c>
      <c r="J17" s="14" t="s">
        <v>258</v>
      </c>
      <c r="K17" s="14"/>
      <c r="L17" s="14" t="s">
        <v>4</v>
      </c>
      <c r="M17" s="14" t="s">
        <v>243</v>
      </c>
      <c r="N17" s="14" t="s">
        <v>259</v>
      </c>
      <c r="O17" s="14"/>
      <c r="P17" s="17" t="s">
        <v>260</v>
      </c>
      <c r="Q17" s="14" t="s">
        <v>168</v>
      </c>
      <c r="R17" s="14" t="s">
        <v>144</v>
      </c>
      <c r="S17" s="14">
        <v>3105652759</v>
      </c>
      <c r="T17" s="18" t="s">
        <v>261</v>
      </c>
      <c r="U17" s="21" t="s">
        <v>262</v>
      </c>
      <c r="V17">
        <f t="shared" si="0"/>
        <v>29</v>
      </c>
      <c r="W17">
        <f t="shared" si="1"/>
        <v>7</v>
      </c>
      <c r="X17">
        <f t="shared" si="2"/>
        <v>2026</v>
      </c>
      <c r="Y17" t="str">
        <f t="shared" si="3"/>
        <v>29-2026</v>
      </c>
      <c r="Z17" t="s">
        <v>147</v>
      </c>
      <c r="AA17">
        <v>4.8180466816630698</v>
      </c>
      <c r="AB17">
        <v>-74.358422879050096</v>
      </c>
      <c r="AD17" t="s">
        <v>57</v>
      </c>
      <c r="AE17">
        <v>1</v>
      </c>
      <c r="AG17" t="s">
        <v>28</v>
      </c>
      <c r="AH17" t="s">
        <v>44</v>
      </c>
      <c r="AI17" s="23">
        <v>46233</v>
      </c>
      <c r="AJ17" s="23"/>
      <c r="AM17"/>
      <c r="AN17" s="29"/>
    </row>
    <row r="18" spans="1:40" ht="32.1" customHeight="1">
      <c r="A18" s="14">
        <v>3652991</v>
      </c>
      <c r="B18" s="14" t="s">
        <v>19</v>
      </c>
      <c r="C18" s="14" t="s">
        <v>256</v>
      </c>
      <c r="D18" s="14" t="s">
        <v>197</v>
      </c>
      <c r="E18" s="14" t="s">
        <v>197</v>
      </c>
      <c r="F18" s="14" t="s">
        <v>263</v>
      </c>
      <c r="G18" s="14">
        <v>2026</v>
      </c>
      <c r="H18" s="14" t="s">
        <v>137</v>
      </c>
      <c r="I18" s="14" t="s">
        <v>138</v>
      </c>
      <c r="J18" s="14" t="s">
        <v>264</v>
      </c>
      <c r="K18" s="14" t="s">
        <v>265</v>
      </c>
      <c r="L18" s="14" t="s">
        <v>4</v>
      </c>
      <c r="M18" s="14" t="s">
        <v>243</v>
      </c>
      <c r="N18" s="14" t="s">
        <v>266</v>
      </c>
      <c r="O18" s="14"/>
      <c r="P18" s="17" t="s">
        <v>267</v>
      </c>
      <c r="Q18" s="14" t="s">
        <v>143</v>
      </c>
      <c r="R18" s="14" t="s">
        <v>176</v>
      </c>
      <c r="S18" s="14">
        <v>3115576168</v>
      </c>
      <c r="T18" s="18" t="s">
        <v>261</v>
      </c>
      <c r="U18" s="21" t="s">
        <v>268</v>
      </c>
      <c r="V18">
        <f t="shared" si="0"/>
        <v>29</v>
      </c>
      <c r="W18">
        <f t="shared" si="1"/>
        <v>7</v>
      </c>
      <c r="X18">
        <f t="shared" si="2"/>
        <v>2026</v>
      </c>
      <c r="Y18" t="str">
        <f t="shared" si="3"/>
        <v>29-2026</v>
      </c>
      <c r="Z18" t="s">
        <v>147</v>
      </c>
      <c r="AA18">
        <v>4.8077699537529099</v>
      </c>
      <c r="AB18">
        <v>-74.3498237283534</v>
      </c>
      <c r="AD18" t="s">
        <v>57</v>
      </c>
      <c r="AE18">
        <v>1</v>
      </c>
      <c r="AG18" t="s">
        <v>28</v>
      </c>
      <c r="AH18" t="s">
        <v>44</v>
      </c>
      <c r="AI18" s="23">
        <v>46233</v>
      </c>
      <c r="AJ18" s="23"/>
      <c r="AM18"/>
      <c r="AN18" s="29"/>
    </row>
    <row r="19" spans="1:40" ht="32.1" customHeight="1">
      <c r="A19" s="14">
        <v>3653000</v>
      </c>
      <c r="B19" s="14" t="s">
        <v>10</v>
      </c>
      <c r="C19" s="14" t="s">
        <v>269</v>
      </c>
      <c r="D19" s="14" t="s">
        <v>197</v>
      </c>
      <c r="E19" s="14" t="s">
        <v>197</v>
      </c>
      <c r="F19" s="14" t="s">
        <v>270</v>
      </c>
      <c r="G19" s="14">
        <v>2026</v>
      </c>
      <c r="H19" s="14" t="s">
        <v>137</v>
      </c>
      <c r="I19" s="14" t="s">
        <v>138</v>
      </c>
      <c r="J19" s="14" t="s">
        <v>271</v>
      </c>
      <c r="K19" s="14" t="s">
        <v>272</v>
      </c>
      <c r="L19" s="14" t="s">
        <v>4</v>
      </c>
      <c r="M19" s="14" t="s">
        <v>85</v>
      </c>
      <c r="N19" s="14" t="s">
        <v>273</v>
      </c>
      <c r="O19" s="14"/>
      <c r="P19" s="17" t="s">
        <v>274</v>
      </c>
      <c r="Q19" s="14" t="s">
        <v>168</v>
      </c>
      <c r="R19" s="14" t="s">
        <v>144</v>
      </c>
      <c r="S19" s="14" t="s">
        <v>275</v>
      </c>
      <c r="T19" s="18" t="s">
        <v>276</v>
      </c>
      <c r="U19" s="21" t="s">
        <v>277</v>
      </c>
      <c r="V19">
        <f t="shared" si="0"/>
        <v>29</v>
      </c>
      <c r="W19">
        <f t="shared" si="1"/>
        <v>7</v>
      </c>
      <c r="X19">
        <f t="shared" si="2"/>
        <v>2026</v>
      </c>
      <c r="Y19" t="str">
        <f t="shared" si="3"/>
        <v>29-2026</v>
      </c>
      <c r="Z19" t="s">
        <v>147</v>
      </c>
      <c r="AA19">
        <v>4.6289799591781398</v>
      </c>
      <c r="AB19">
        <v>-74.114922000028599</v>
      </c>
      <c r="AD19" t="s">
        <v>57</v>
      </c>
      <c r="AE19">
        <v>1</v>
      </c>
      <c r="AG19" t="s">
        <v>28</v>
      </c>
      <c r="AH19" t="s">
        <v>40</v>
      </c>
      <c r="AI19" s="23">
        <v>46232</v>
      </c>
      <c r="AJ19" s="23"/>
      <c r="AM19"/>
      <c r="AN19" s="29" t="s">
        <v>278</v>
      </c>
    </row>
    <row r="20" spans="1:40" ht="32.1" customHeight="1">
      <c r="A20" s="14">
        <v>3653008</v>
      </c>
      <c r="B20" s="14" t="s">
        <v>19</v>
      </c>
      <c r="C20" s="14" t="s">
        <v>256</v>
      </c>
      <c r="D20" s="14" t="s">
        <v>197</v>
      </c>
      <c r="E20" s="14" t="s">
        <v>197</v>
      </c>
      <c r="F20" s="14" t="s">
        <v>279</v>
      </c>
      <c r="G20" s="14">
        <v>2026</v>
      </c>
      <c r="H20" s="14" t="s">
        <v>137</v>
      </c>
      <c r="I20" s="14" t="s">
        <v>138</v>
      </c>
      <c r="J20" s="14" t="s">
        <v>280</v>
      </c>
      <c r="K20" s="14"/>
      <c r="L20" s="14" t="s">
        <v>4</v>
      </c>
      <c r="M20" s="14" t="s">
        <v>243</v>
      </c>
      <c r="N20" s="14" t="s">
        <v>281</v>
      </c>
      <c r="O20" s="14"/>
      <c r="P20" s="17" t="s">
        <v>282</v>
      </c>
      <c r="Q20" s="14" t="s">
        <v>143</v>
      </c>
      <c r="R20" s="14" t="s">
        <v>225</v>
      </c>
      <c r="S20" s="14" t="s">
        <v>283</v>
      </c>
      <c r="T20" s="18" t="s">
        <v>261</v>
      </c>
      <c r="U20" s="21" t="s">
        <v>284</v>
      </c>
      <c r="V20">
        <f t="shared" si="0"/>
        <v>29</v>
      </c>
      <c r="W20">
        <f t="shared" si="1"/>
        <v>7</v>
      </c>
      <c r="X20">
        <f t="shared" si="2"/>
        <v>2026</v>
      </c>
      <c r="Y20" t="str">
        <f t="shared" si="3"/>
        <v>29-2026</v>
      </c>
      <c r="Z20" t="s">
        <v>147</v>
      </c>
      <c r="AA20">
        <v>4.8101169010620399</v>
      </c>
      <c r="AB20">
        <v>-74.350224000008893</v>
      </c>
      <c r="AD20" t="s">
        <v>57</v>
      </c>
      <c r="AE20">
        <v>1</v>
      </c>
      <c r="AG20" t="s">
        <v>28</v>
      </c>
      <c r="AH20" t="s">
        <v>44</v>
      </c>
      <c r="AI20" s="23">
        <v>46233</v>
      </c>
      <c r="AJ20" s="23"/>
      <c r="AM20"/>
      <c r="AN20" s="29"/>
    </row>
    <row r="21" spans="1:40" ht="32.1" customHeight="1">
      <c r="A21" s="14">
        <v>3653140</v>
      </c>
      <c r="B21" s="14" t="s">
        <v>18</v>
      </c>
      <c r="C21" s="14" t="s">
        <v>248</v>
      </c>
      <c r="D21" s="14" t="s">
        <v>197</v>
      </c>
      <c r="E21" s="14" t="s">
        <v>197</v>
      </c>
      <c r="F21" s="14" t="s">
        <v>285</v>
      </c>
      <c r="G21" s="14">
        <v>2026</v>
      </c>
      <c r="H21" s="14" t="s">
        <v>137</v>
      </c>
      <c r="I21" s="14" t="s">
        <v>138</v>
      </c>
      <c r="J21" s="14" t="s">
        <v>286</v>
      </c>
      <c r="K21" s="14"/>
      <c r="L21" s="14" t="s">
        <v>4</v>
      </c>
      <c r="M21" s="14" t="s">
        <v>85</v>
      </c>
      <c r="N21" s="14" t="s">
        <v>287</v>
      </c>
      <c r="O21" s="14"/>
      <c r="P21" s="17" t="s">
        <v>288</v>
      </c>
      <c r="Q21" s="14" t="s">
        <v>143</v>
      </c>
      <c r="R21" s="14" t="s">
        <v>225</v>
      </c>
      <c r="S21" s="14">
        <v>3142406629</v>
      </c>
      <c r="T21" s="18" t="s">
        <v>261</v>
      </c>
      <c r="U21" s="21" t="s">
        <v>289</v>
      </c>
      <c r="V21">
        <f t="shared" si="0"/>
        <v>29</v>
      </c>
      <c r="W21">
        <f t="shared" si="1"/>
        <v>7</v>
      </c>
      <c r="X21">
        <f t="shared" si="2"/>
        <v>2026</v>
      </c>
      <c r="Y21" t="str">
        <f t="shared" si="3"/>
        <v>29-2026</v>
      </c>
      <c r="Z21" t="s">
        <v>147</v>
      </c>
      <c r="AA21">
        <v>4.6710371533935504</v>
      </c>
      <c r="AB21">
        <v>-74.106393869313095</v>
      </c>
      <c r="AD21" t="s">
        <v>57</v>
      </c>
      <c r="AE21">
        <v>1</v>
      </c>
      <c r="AG21" t="s">
        <v>31</v>
      </c>
      <c r="AH21" t="s">
        <v>36</v>
      </c>
      <c r="AI21" s="23">
        <v>46232</v>
      </c>
      <c r="AJ21" s="23"/>
      <c r="AM21"/>
      <c r="AN21" s="29"/>
    </row>
    <row r="22" spans="1:40" ht="32.1" customHeight="1">
      <c r="A22" s="14">
        <v>3653143</v>
      </c>
      <c r="B22" s="14" t="s">
        <v>17</v>
      </c>
      <c r="C22" s="14" t="s">
        <v>290</v>
      </c>
      <c r="D22" s="14" t="s">
        <v>197</v>
      </c>
      <c r="E22" s="14" t="s">
        <v>197</v>
      </c>
      <c r="F22" s="14" t="s">
        <v>291</v>
      </c>
      <c r="G22" s="14">
        <v>2026</v>
      </c>
      <c r="H22" s="14" t="s">
        <v>137</v>
      </c>
      <c r="I22" s="14" t="s">
        <v>138</v>
      </c>
      <c r="J22" s="14" t="s">
        <v>292</v>
      </c>
      <c r="K22" s="14"/>
      <c r="L22" s="14" t="s">
        <v>4</v>
      </c>
      <c r="M22" s="14" t="s">
        <v>85</v>
      </c>
      <c r="N22" s="14" t="s">
        <v>293</v>
      </c>
      <c r="O22" s="14"/>
      <c r="P22" s="17" t="s">
        <v>294</v>
      </c>
      <c r="Q22" s="14" t="s">
        <v>143</v>
      </c>
      <c r="R22" s="14" t="s">
        <v>144</v>
      </c>
      <c r="S22" s="14">
        <v>3114910947</v>
      </c>
      <c r="T22" s="18" t="s">
        <v>295</v>
      </c>
      <c r="U22" s="21" t="s">
        <v>296</v>
      </c>
      <c r="V22">
        <f t="shared" si="0"/>
        <v>29</v>
      </c>
      <c r="W22">
        <f t="shared" si="1"/>
        <v>7</v>
      </c>
      <c r="X22">
        <f t="shared" si="2"/>
        <v>2026</v>
      </c>
      <c r="Y22" t="str">
        <f t="shared" si="3"/>
        <v>29-2026</v>
      </c>
      <c r="Z22" t="s">
        <v>147</v>
      </c>
      <c r="AA22">
        <v>4.6983253464068202</v>
      </c>
      <c r="AB22">
        <v>-74.0433192000106</v>
      </c>
      <c r="AD22" t="s">
        <v>58</v>
      </c>
      <c r="AE22">
        <v>1</v>
      </c>
      <c r="AF22" t="s">
        <v>49</v>
      </c>
      <c r="AM22"/>
      <c r="AN22" s="29"/>
    </row>
    <row r="23" spans="1:40" ht="32.1" customHeight="1">
      <c r="A23" s="14">
        <v>3653092</v>
      </c>
      <c r="B23" s="14" t="s">
        <v>8</v>
      </c>
      <c r="C23" s="14" t="s">
        <v>81</v>
      </c>
      <c r="D23" s="14" t="s">
        <v>197</v>
      </c>
      <c r="E23" s="14" t="s">
        <v>197</v>
      </c>
      <c r="F23" s="14" t="s">
        <v>297</v>
      </c>
      <c r="G23" s="14">
        <v>2026</v>
      </c>
      <c r="H23" s="14" t="s">
        <v>137</v>
      </c>
      <c r="I23" s="14" t="s">
        <v>138</v>
      </c>
      <c r="J23" s="14" t="s">
        <v>298</v>
      </c>
      <c r="K23" s="14"/>
      <c r="L23" s="14" t="s">
        <v>4</v>
      </c>
      <c r="M23" s="14" t="s">
        <v>243</v>
      </c>
      <c r="N23" s="14" t="s">
        <v>299</v>
      </c>
      <c r="O23" s="14"/>
      <c r="P23" s="17" t="s">
        <v>300</v>
      </c>
      <c r="Q23" s="14" t="s">
        <v>224</v>
      </c>
      <c r="R23" s="14" t="s">
        <v>225</v>
      </c>
      <c r="S23" s="14">
        <v>3506549064</v>
      </c>
      <c r="T23" s="18">
        <v>3506549064</v>
      </c>
      <c r="U23" s="21" t="s">
        <v>301</v>
      </c>
      <c r="V23">
        <f t="shared" si="0"/>
        <v>29</v>
      </c>
      <c r="W23">
        <f t="shared" si="1"/>
        <v>7</v>
      </c>
      <c r="X23">
        <f t="shared" si="2"/>
        <v>2026</v>
      </c>
      <c r="Y23" t="str">
        <f t="shared" si="3"/>
        <v>29-2026</v>
      </c>
      <c r="Z23" t="s">
        <v>147</v>
      </c>
      <c r="AA23">
        <v>4.6214150772067697</v>
      </c>
      <c r="AB23">
        <v>-74.068016700000101</v>
      </c>
      <c r="AD23" t="s">
        <v>57</v>
      </c>
      <c r="AE23">
        <v>1</v>
      </c>
      <c r="AG23" t="s">
        <v>31</v>
      </c>
      <c r="AH23" t="s">
        <v>36</v>
      </c>
      <c r="AI23" s="23">
        <v>46232</v>
      </c>
      <c r="AJ23" s="23"/>
      <c r="AL23" t="s">
        <v>58</v>
      </c>
      <c r="AM23"/>
      <c r="AN23" s="29" t="s">
        <v>302</v>
      </c>
    </row>
    <row r="24" spans="1:40" ht="32.1" customHeight="1">
      <c r="A24" s="14">
        <v>3656243</v>
      </c>
      <c r="B24" s="14" t="s">
        <v>16</v>
      </c>
      <c r="C24" s="14" t="s">
        <v>240</v>
      </c>
      <c r="D24" s="14" t="s">
        <v>303</v>
      </c>
      <c r="E24" s="14" t="s">
        <v>303</v>
      </c>
      <c r="F24" s="14" t="s">
        <v>304</v>
      </c>
      <c r="G24" s="14">
        <v>2026</v>
      </c>
      <c r="H24" s="14" t="s">
        <v>137</v>
      </c>
      <c r="I24" s="14" t="s">
        <v>138</v>
      </c>
      <c r="J24" s="14" t="s">
        <v>305</v>
      </c>
      <c r="K24" s="14"/>
      <c r="L24" s="14" t="s">
        <v>4</v>
      </c>
      <c r="M24" s="14" t="s">
        <v>243</v>
      </c>
      <c r="N24" s="14" t="s">
        <v>306</v>
      </c>
      <c r="O24" s="14"/>
      <c r="P24" s="17" t="s">
        <v>307</v>
      </c>
      <c r="Q24" s="14" t="s">
        <v>143</v>
      </c>
      <c r="R24" s="14" t="s">
        <v>144</v>
      </c>
      <c r="S24" s="14" t="s">
        <v>308</v>
      </c>
      <c r="T24" s="18" t="s">
        <v>309</v>
      </c>
      <c r="U24" s="21" t="s">
        <v>310</v>
      </c>
      <c r="V24">
        <f t="shared" si="0"/>
        <v>29</v>
      </c>
      <c r="W24">
        <f t="shared" si="1"/>
        <v>7</v>
      </c>
      <c r="X24">
        <f t="shared" si="2"/>
        <v>2026</v>
      </c>
      <c r="Y24" t="str">
        <f t="shared" si="3"/>
        <v>29-2026</v>
      </c>
      <c r="Z24" t="s">
        <v>147</v>
      </c>
      <c r="AA24">
        <v>4.2976649519973202</v>
      </c>
      <c r="AB24">
        <v>-74.804779644180798</v>
      </c>
      <c r="AD24" t="s">
        <v>57</v>
      </c>
      <c r="AE24">
        <v>1</v>
      </c>
      <c r="AG24" t="s">
        <v>31</v>
      </c>
      <c r="AH24" t="s">
        <v>44</v>
      </c>
      <c r="AI24" s="23">
        <v>46233</v>
      </c>
      <c r="AJ24" s="23"/>
      <c r="AM24"/>
      <c r="AN24" s="29"/>
    </row>
    <row r="25" spans="1:40" ht="32.1" customHeight="1">
      <c r="A25" s="14">
        <v>3656464</v>
      </c>
      <c r="B25" s="14" t="s">
        <v>21</v>
      </c>
      <c r="C25" s="14" t="s">
        <v>149</v>
      </c>
      <c r="D25" s="14" t="s">
        <v>303</v>
      </c>
      <c r="E25" s="14" t="s">
        <v>303</v>
      </c>
      <c r="F25" s="14" t="s">
        <v>311</v>
      </c>
      <c r="G25" s="14">
        <v>2026</v>
      </c>
      <c r="H25" s="14" t="s">
        <v>137</v>
      </c>
      <c r="I25" s="14" t="s">
        <v>138</v>
      </c>
      <c r="J25" s="14" t="s">
        <v>312</v>
      </c>
      <c r="K25" s="14"/>
      <c r="L25" s="14" t="s">
        <v>4</v>
      </c>
      <c r="M25" s="14" t="s">
        <v>85</v>
      </c>
      <c r="N25" s="14" t="s">
        <v>313</v>
      </c>
      <c r="O25" s="14"/>
      <c r="P25" s="17" t="s">
        <v>314</v>
      </c>
      <c r="Q25" s="14" t="s">
        <v>143</v>
      </c>
      <c r="R25" s="14" t="s">
        <v>144</v>
      </c>
      <c r="S25" s="14">
        <v>3123311755</v>
      </c>
      <c r="T25" s="18">
        <v>3208997195</v>
      </c>
      <c r="U25" s="21" t="s">
        <v>315</v>
      </c>
      <c r="V25">
        <f t="shared" si="0"/>
        <v>29</v>
      </c>
      <c r="W25">
        <f t="shared" si="1"/>
        <v>7</v>
      </c>
      <c r="X25">
        <f t="shared" si="2"/>
        <v>2026</v>
      </c>
      <c r="Y25" t="str">
        <f t="shared" si="3"/>
        <v>29-2026</v>
      </c>
      <c r="Z25" t="s">
        <v>147</v>
      </c>
      <c r="AA25">
        <v>4.7423162697336601</v>
      </c>
      <c r="AB25">
        <v>-74.047421626984203</v>
      </c>
      <c r="AD25" t="s">
        <v>57</v>
      </c>
      <c r="AE25">
        <v>1</v>
      </c>
      <c r="AG25" t="s">
        <v>34</v>
      </c>
      <c r="AH25" t="s">
        <v>33</v>
      </c>
      <c r="AI25" s="23">
        <v>46233</v>
      </c>
      <c r="AJ25" s="23"/>
      <c r="AM25"/>
      <c r="AN25" s="29"/>
    </row>
    <row r="26" spans="1:40" ht="32.1" customHeight="1">
      <c r="A26" s="14">
        <v>3656477</v>
      </c>
      <c r="B26" s="14" t="s">
        <v>15</v>
      </c>
      <c r="C26" s="14" t="s">
        <v>219</v>
      </c>
      <c r="D26" s="14" t="s">
        <v>303</v>
      </c>
      <c r="E26" s="14" t="s">
        <v>303</v>
      </c>
      <c r="F26" s="14" t="s">
        <v>316</v>
      </c>
      <c r="G26" s="14">
        <v>2026</v>
      </c>
      <c r="H26" s="14" t="s">
        <v>137</v>
      </c>
      <c r="I26" s="14" t="s">
        <v>138</v>
      </c>
      <c r="J26" s="14" t="s">
        <v>317</v>
      </c>
      <c r="K26" s="14"/>
      <c r="L26" s="14" t="s">
        <v>4</v>
      </c>
      <c r="M26" s="14" t="s">
        <v>85</v>
      </c>
      <c r="N26" s="14" t="s">
        <v>318</v>
      </c>
      <c r="O26" s="14"/>
      <c r="P26" s="17" t="s">
        <v>319</v>
      </c>
      <c r="Q26" s="14" t="s">
        <v>224</v>
      </c>
      <c r="R26" s="14" t="s">
        <v>225</v>
      </c>
      <c r="S26" s="14">
        <v>3205633053</v>
      </c>
      <c r="T26" s="18">
        <v>3205633053</v>
      </c>
      <c r="U26" s="21" t="s">
        <v>320</v>
      </c>
      <c r="V26">
        <f t="shared" si="0"/>
        <v>29</v>
      </c>
      <c r="W26">
        <f t="shared" si="1"/>
        <v>7</v>
      </c>
      <c r="X26">
        <f t="shared" si="2"/>
        <v>2026</v>
      </c>
      <c r="Y26" t="str">
        <f t="shared" si="3"/>
        <v>29-2026</v>
      </c>
      <c r="Z26" t="s">
        <v>147</v>
      </c>
      <c r="AA26">
        <v>4.5235151000670504</v>
      </c>
      <c r="AB26">
        <v>-74.123654575595296</v>
      </c>
      <c r="AD26" t="s">
        <v>57</v>
      </c>
      <c r="AE26">
        <v>1</v>
      </c>
      <c r="AG26" t="s">
        <v>31</v>
      </c>
      <c r="AH26" t="s">
        <v>44</v>
      </c>
      <c r="AI26" s="23">
        <v>46233</v>
      </c>
      <c r="AJ26" s="23"/>
      <c r="AM26"/>
      <c r="AN26" s="29"/>
    </row>
    <row r="27" spans="1:40" ht="32.1" customHeight="1">
      <c r="A27" s="14">
        <v>3656520</v>
      </c>
      <c r="B27" s="14" t="s">
        <v>14</v>
      </c>
      <c r="C27" s="14" t="s">
        <v>180</v>
      </c>
      <c r="D27" s="14" t="s">
        <v>303</v>
      </c>
      <c r="E27" s="14" t="s">
        <v>303</v>
      </c>
      <c r="F27" s="14" t="s">
        <v>321</v>
      </c>
      <c r="G27" s="14">
        <v>2026</v>
      </c>
      <c r="H27" s="14" t="s">
        <v>137</v>
      </c>
      <c r="I27" s="14" t="s">
        <v>138</v>
      </c>
      <c r="J27" s="14" t="s">
        <v>322</v>
      </c>
      <c r="K27" s="14"/>
      <c r="L27" s="14" t="s">
        <v>6</v>
      </c>
      <c r="M27" s="14" t="s">
        <v>165</v>
      </c>
      <c r="N27" s="14" t="s">
        <v>323</v>
      </c>
      <c r="O27" s="14"/>
      <c r="P27" s="17" t="s">
        <v>324</v>
      </c>
      <c r="Q27" s="14" t="s">
        <v>168</v>
      </c>
      <c r="R27" s="14" t="s">
        <v>176</v>
      </c>
      <c r="S27" s="14">
        <v>3104223304</v>
      </c>
      <c r="T27" s="18" t="s">
        <v>325</v>
      </c>
      <c r="U27" s="21" t="s">
        <v>326</v>
      </c>
      <c r="V27">
        <f t="shared" si="0"/>
        <v>29</v>
      </c>
      <c r="W27">
        <f t="shared" si="1"/>
        <v>7</v>
      </c>
      <c r="X27">
        <f t="shared" si="2"/>
        <v>2026</v>
      </c>
      <c r="Y27" t="str">
        <f t="shared" si="3"/>
        <v>29-2026</v>
      </c>
      <c r="Z27" t="s">
        <v>147</v>
      </c>
      <c r="AA27">
        <v>4.8035609814776299</v>
      </c>
      <c r="AB27">
        <v>-75.690927171519505</v>
      </c>
      <c r="AD27" t="s">
        <v>57</v>
      </c>
      <c r="AE27">
        <v>1</v>
      </c>
      <c r="AG27" t="s">
        <v>31</v>
      </c>
      <c r="AH27" t="s">
        <v>38</v>
      </c>
      <c r="AI27" s="23">
        <v>46233</v>
      </c>
      <c r="AJ27" s="23"/>
      <c r="AM27"/>
      <c r="AN27" s="29"/>
    </row>
    <row r="28" spans="1:40" ht="32.1" customHeight="1">
      <c r="A28" s="14">
        <v>3656577</v>
      </c>
      <c r="B28" s="14" t="s">
        <v>20</v>
      </c>
      <c r="C28" s="14" t="s">
        <v>162</v>
      </c>
      <c r="D28" s="14" t="s">
        <v>303</v>
      </c>
      <c r="E28" s="14" t="s">
        <v>303</v>
      </c>
      <c r="F28" s="14" t="s">
        <v>327</v>
      </c>
      <c r="G28" s="14">
        <v>2026</v>
      </c>
      <c r="H28" s="14" t="s">
        <v>137</v>
      </c>
      <c r="I28" s="14" t="s">
        <v>138</v>
      </c>
      <c r="J28" s="14" t="s">
        <v>328</v>
      </c>
      <c r="K28" s="14"/>
      <c r="L28" s="14" t="s">
        <v>6</v>
      </c>
      <c r="M28" s="14" t="s">
        <v>165</v>
      </c>
      <c r="N28" s="14" t="s">
        <v>329</v>
      </c>
      <c r="O28" s="14"/>
      <c r="P28" s="17" t="s">
        <v>330</v>
      </c>
      <c r="Q28" s="14" t="s">
        <v>143</v>
      </c>
      <c r="R28" s="14" t="s">
        <v>225</v>
      </c>
      <c r="S28" s="14" t="s">
        <v>331</v>
      </c>
      <c r="T28" s="18" t="s">
        <v>332</v>
      </c>
      <c r="U28" s="21" t="s">
        <v>333</v>
      </c>
      <c r="V28">
        <f t="shared" si="0"/>
        <v>29</v>
      </c>
      <c r="W28">
        <f t="shared" si="1"/>
        <v>7</v>
      </c>
      <c r="X28">
        <f t="shared" si="2"/>
        <v>2026</v>
      </c>
      <c r="Y28" t="str">
        <f t="shared" si="3"/>
        <v>29-2026</v>
      </c>
      <c r="Z28" t="s">
        <v>147</v>
      </c>
      <c r="AA28">
        <v>4.8014199279788201</v>
      </c>
      <c r="AB28">
        <v>-75.841607628850099</v>
      </c>
      <c r="AD28" t="s">
        <v>58</v>
      </c>
      <c r="AE28">
        <v>1</v>
      </c>
      <c r="AF28" t="s">
        <v>29</v>
      </c>
      <c r="AM28"/>
      <c r="AN28" s="29"/>
    </row>
    <row r="29" spans="1:40" ht="32.1" customHeight="1">
      <c r="A29" s="14">
        <v>3656588</v>
      </c>
      <c r="B29" s="14" t="s">
        <v>17</v>
      </c>
      <c r="C29" s="14" t="s">
        <v>290</v>
      </c>
      <c r="D29" s="14" t="s">
        <v>303</v>
      </c>
      <c r="E29" s="14" t="s">
        <v>303</v>
      </c>
      <c r="F29" s="14" t="s">
        <v>334</v>
      </c>
      <c r="G29" s="14">
        <v>2026</v>
      </c>
      <c r="H29" s="14" t="s">
        <v>137</v>
      </c>
      <c r="I29" s="14" t="s">
        <v>138</v>
      </c>
      <c r="J29" s="14" t="s">
        <v>335</v>
      </c>
      <c r="K29" s="14"/>
      <c r="L29" s="14" t="s">
        <v>4</v>
      </c>
      <c r="M29" s="14" t="s">
        <v>85</v>
      </c>
      <c r="N29" s="14" t="s">
        <v>336</v>
      </c>
      <c r="O29" s="14"/>
      <c r="P29" s="17" t="s">
        <v>337</v>
      </c>
      <c r="Q29" s="14" t="s">
        <v>143</v>
      </c>
      <c r="R29" s="14" t="s">
        <v>144</v>
      </c>
      <c r="S29" s="14" t="s">
        <v>338</v>
      </c>
      <c r="T29" s="18" t="s">
        <v>295</v>
      </c>
      <c r="U29" s="21" t="s">
        <v>339</v>
      </c>
      <c r="V29">
        <f t="shared" si="0"/>
        <v>29</v>
      </c>
      <c r="W29">
        <f t="shared" si="1"/>
        <v>7</v>
      </c>
      <c r="X29">
        <f t="shared" si="2"/>
        <v>2026</v>
      </c>
      <c r="Y29" t="str">
        <f t="shared" si="3"/>
        <v>29-2026</v>
      </c>
      <c r="Z29" t="s">
        <v>147</v>
      </c>
      <c r="AA29">
        <v>4.7032329975330303</v>
      </c>
      <c r="AB29">
        <v>-74.054021598190303</v>
      </c>
      <c r="AD29" t="s">
        <v>57</v>
      </c>
      <c r="AE29">
        <v>1</v>
      </c>
      <c r="AG29" t="s">
        <v>28</v>
      </c>
      <c r="AH29" t="s">
        <v>33</v>
      </c>
      <c r="AI29" s="23">
        <v>46233</v>
      </c>
      <c r="AJ29" s="23"/>
      <c r="AM29"/>
      <c r="AN29" s="29"/>
    </row>
    <row r="30" spans="1:40" ht="32.1" customHeight="1">
      <c r="A30" s="14">
        <v>3656652</v>
      </c>
      <c r="B30" s="14" t="s">
        <v>21</v>
      </c>
      <c r="C30" s="14" t="s">
        <v>149</v>
      </c>
      <c r="D30" s="14" t="s">
        <v>303</v>
      </c>
      <c r="E30" s="14" t="s">
        <v>303</v>
      </c>
      <c r="F30" s="14" t="s">
        <v>340</v>
      </c>
      <c r="G30" s="14">
        <v>2026</v>
      </c>
      <c r="H30" s="14" t="s">
        <v>137</v>
      </c>
      <c r="I30" s="14" t="s">
        <v>138</v>
      </c>
      <c r="J30" s="14" t="s">
        <v>341</v>
      </c>
      <c r="K30" s="14" t="s">
        <v>342</v>
      </c>
      <c r="L30" s="14" t="s">
        <v>4</v>
      </c>
      <c r="M30" s="14" t="s">
        <v>85</v>
      </c>
      <c r="N30" s="20" t="s">
        <v>343</v>
      </c>
      <c r="O30" s="14"/>
      <c r="P30" s="17" t="s">
        <v>344</v>
      </c>
      <c r="Q30" s="14" t="s">
        <v>224</v>
      </c>
      <c r="R30" s="14" t="s">
        <v>225</v>
      </c>
      <c r="S30" s="14">
        <v>3124883281</v>
      </c>
      <c r="T30" s="18">
        <v>3028167161</v>
      </c>
      <c r="U30" s="21" t="s">
        <v>345</v>
      </c>
      <c r="V30">
        <f t="shared" si="0"/>
        <v>29</v>
      </c>
      <c r="W30">
        <f t="shared" si="1"/>
        <v>7</v>
      </c>
      <c r="X30">
        <f t="shared" si="2"/>
        <v>2026</v>
      </c>
      <c r="Y30" t="str">
        <f t="shared" si="3"/>
        <v>29-2026</v>
      </c>
      <c r="Z30" t="s">
        <v>147</v>
      </c>
      <c r="AA30">
        <v>4.7516917299031904</v>
      </c>
      <c r="AB30">
        <v>-74.086346186513794</v>
      </c>
      <c r="AD30" t="s">
        <v>57</v>
      </c>
      <c r="AE30">
        <v>1</v>
      </c>
      <c r="AG30" t="s">
        <v>31</v>
      </c>
      <c r="AH30" t="s">
        <v>27</v>
      </c>
      <c r="AI30" s="23">
        <v>46240</v>
      </c>
      <c r="AM30"/>
      <c r="AN30" s="29"/>
    </row>
    <row r="31" spans="1:40" ht="32.1" customHeight="1">
      <c r="A31" s="14">
        <v>3668119</v>
      </c>
      <c r="B31" s="14" t="s">
        <v>11</v>
      </c>
      <c r="C31" s="14" t="s">
        <v>346</v>
      </c>
      <c r="D31" s="14" t="s">
        <v>347</v>
      </c>
      <c r="E31" s="14" t="s">
        <v>347</v>
      </c>
      <c r="F31" s="14" t="s">
        <v>348</v>
      </c>
      <c r="G31" s="14">
        <v>2026</v>
      </c>
      <c r="H31" s="14" t="s">
        <v>137</v>
      </c>
      <c r="I31" s="14" t="s">
        <v>138</v>
      </c>
      <c r="J31" s="20" t="s">
        <v>349</v>
      </c>
      <c r="K31" s="20" t="s">
        <v>350</v>
      </c>
      <c r="L31" s="14" t="s">
        <v>4</v>
      </c>
      <c r="M31" s="18" t="s">
        <v>92</v>
      </c>
      <c r="N31" s="21" t="s">
        <v>351</v>
      </c>
      <c r="O31" s="19"/>
      <c r="P31" s="17" t="s">
        <v>352</v>
      </c>
      <c r="Q31" s="14" t="s">
        <v>224</v>
      </c>
      <c r="R31" s="14" t="s">
        <v>225</v>
      </c>
      <c r="S31" s="14" t="s">
        <v>353</v>
      </c>
      <c r="T31" s="18">
        <v>3112581902</v>
      </c>
      <c r="U31" s="37" t="s">
        <v>354</v>
      </c>
      <c r="V31">
        <f t="shared" si="0"/>
        <v>30</v>
      </c>
      <c r="W31">
        <f t="shared" si="1"/>
        <v>7</v>
      </c>
      <c r="X31">
        <f t="shared" si="2"/>
        <v>2026</v>
      </c>
      <c r="Y31" t="s">
        <v>355</v>
      </c>
      <c r="Z31" t="s">
        <v>147</v>
      </c>
      <c r="AA31" t="s">
        <v>356</v>
      </c>
      <c r="AD31" t="s">
        <v>58</v>
      </c>
      <c r="AE31">
        <v>1</v>
      </c>
      <c r="AF31" t="s">
        <v>29</v>
      </c>
      <c r="AM31"/>
      <c r="AN31" s="29"/>
    </row>
    <row r="32" spans="1:40" ht="18.95" customHeight="1">
      <c r="A32" s="20">
        <v>3671208</v>
      </c>
      <c r="B32" s="20" t="s">
        <v>63</v>
      </c>
      <c r="C32" s="20" t="s">
        <v>357</v>
      </c>
      <c r="D32" s="20" t="s">
        <v>358</v>
      </c>
      <c r="E32" s="20" t="s">
        <v>358</v>
      </c>
      <c r="F32" s="20" t="s">
        <v>359</v>
      </c>
      <c r="G32" s="20">
        <v>2026</v>
      </c>
      <c r="H32" s="20" t="s">
        <v>137</v>
      </c>
      <c r="I32" s="20" t="s">
        <v>138</v>
      </c>
      <c r="J32" s="20" t="s">
        <v>360</v>
      </c>
      <c r="K32" s="20"/>
      <c r="L32" s="20" t="s">
        <v>4</v>
      </c>
      <c r="M32" s="20" t="s">
        <v>85</v>
      </c>
      <c r="N32" s="14" t="s">
        <v>361</v>
      </c>
      <c r="O32" s="19"/>
      <c r="P32" s="17" t="s">
        <v>362</v>
      </c>
      <c r="Q32" s="14" t="s">
        <v>224</v>
      </c>
      <c r="R32" s="14" t="s">
        <v>225</v>
      </c>
      <c r="S32" s="14">
        <v>3014398395</v>
      </c>
      <c r="T32" s="18" t="s">
        <v>363</v>
      </c>
      <c r="U32" s="37" t="s">
        <v>364</v>
      </c>
      <c r="V32">
        <f t="shared" si="0"/>
        <v>30</v>
      </c>
      <c r="W32">
        <f t="shared" si="1"/>
        <v>7</v>
      </c>
      <c r="X32">
        <f t="shared" si="2"/>
        <v>2026</v>
      </c>
      <c r="Y32" t="str">
        <f t="shared" ref="Y32:Y66" si="4">_xlfn.CONCAT(V32,"-",X32)</f>
        <v>30-2026</v>
      </c>
      <c r="Z32" t="s">
        <v>147</v>
      </c>
      <c r="AA32" t="s">
        <v>365</v>
      </c>
      <c r="AD32" t="s">
        <v>58</v>
      </c>
      <c r="AE32">
        <v>2</v>
      </c>
      <c r="AF32" t="s">
        <v>45</v>
      </c>
      <c r="AG32" t="s">
        <v>28</v>
      </c>
      <c r="AM32"/>
      <c r="AN32" s="29"/>
    </row>
    <row r="33" spans="1:40" ht="18.95" customHeight="1">
      <c r="A33" s="20">
        <v>3671222</v>
      </c>
      <c r="B33" s="20" t="s">
        <v>63</v>
      </c>
      <c r="C33" s="20" t="s">
        <v>357</v>
      </c>
      <c r="D33" s="20" t="s">
        <v>358</v>
      </c>
      <c r="E33" s="20" t="s">
        <v>358</v>
      </c>
      <c r="F33" s="20" t="s">
        <v>366</v>
      </c>
      <c r="G33" s="20">
        <v>2026</v>
      </c>
      <c r="H33" s="20" t="s">
        <v>137</v>
      </c>
      <c r="I33" s="20" t="s">
        <v>138</v>
      </c>
      <c r="J33" s="20" t="s">
        <v>157</v>
      </c>
      <c r="K33" s="20"/>
      <c r="L33" s="20" t="s">
        <v>4</v>
      </c>
      <c r="M33" s="20" t="s">
        <v>85</v>
      </c>
      <c r="N33" s="14" t="s">
        <v>367</v>
      </c>
      <c r="O33" s="19"/>
      <c r="P33" s="17" t="s">
        <v>368</v>
      </c>
      <c r="Q33" s="14" t="s">
        <v>143</v>
      </c>
      <c r="R33" s="14" t="s">
        <v>193</v>
      </c>
      <c r="S33" s="14">
        <v>3004550101</v>
      </c>
      <c r="T33" s="18" t="s">
        <v>363</v>
      </c>
      <c r="U33" s="37" t="s">
        <v>369</v>
      </c>
      <c r="V33">
        <f t="shared" si="0"/>
        <v>30</v>
      </c>
      <c r="W33">
        <f t="shared" si="1"/>
        <v>7</v>
      </c>
      <c r="X33">
        <f t="shared" si="2"/>
        <v>2026</v>
      </c>
      <c r="Y33" t="str">
        <f t="shared" si="4"/>
        <v>30-2026</v>
      </c>
      <c r="Z33" t="s">
        <v>255</v>
      </c>
      <c r="AC33" t="s">
        <v>370</v>
      </c>
      <c r="AD33" t="s">
        <v>58</v>
      </c>
      <c r="AE33">
        <v>2</v>
      </c>
      <c r="AF33" t="s">
        <v>50</v>
      </c>
      <c r="AM33"/>
      <c r="AN33" s="29"/>
    </row>
    <row r="34" spans="1:40" ht="18.95" customHeight="1">
      <c r="A34" s="20">
        <v>3671223</v>
      </c>
      <c r="B34" s="20" t="s">
        <v>63</v>
      </c>
      <c r="C34" s="20" t="s">
        <v>357</v>
      </c>
      <c r="D34" s="20" t="s">
        <v>358</v>
      </c>
      <c r="E34" s="20" t="s">
        <v>358</v>
      </c>
      <c r="F34" s="20" t="s">
        <v>371</v>
      </c>
      <c r="G34" s="20">
        <v>2026</v>
      </c>
      <c r="H34" s="20" t="s">
        <v>137</v>
      </c>
      <c r="I34" s="20" t="s">
        <v>138</v>
      </c>
      <c r="J34" s="20" t="s">
        <v>372</v>
      </c>
      <c r="K34" s="20"/>
      <c r="L34" s="20" t="s">
        <v>4</v>
      </c>
      <c r="M34" s="20" t="s">
        <v>85</v>
      </c>
      <c r="N34" s="14" t="s">
        <v>373</v>
      </c>
      <c r="O34" s="19"/>
      <c r="P34" s="17" t="s">
        <v>374</v>
      </c>
      <c r="Q34" s="14" t="s">
        <v>143</v>
      </c>
      <c r="R34" s="14" t="s">
        <v>144</v>
      </c>
      <c r="S34" s="14">
        <v>3146011459</v>
      </c>
      <c r="T34" s="18" t="s">
        <v>363</v>
      </c>
      <c r="U34" s="37" t="s">
        <v>375</v>
      </c>
      <c r="V34">
        <f t="shared" ref="V34:V65" si="5">WEEKNUM(E34)</f>
        <v>30</v>
      </c>
      <c r="W34">
        <f t="shared" ref="W34:W65" si="6">MONTH(E34)</f>
        <v>7</v>
      </c>
      <c r="X34">
        <f t="shared" ref="X34:X65" si="7">YEAR(E34)</f>
        <v>2026</v>
      </c>
      <c r="Y34" t="str">
        <f t="shared" si="4"/>
        <v>30-2026</v>
      </c>
      <c r="Z34" t="s">
        <v>147</v>
      </c>
      <c r="AA34" t="s">
        <v>376</v>
      </c>
      <c r="AD34" t="s">
        <v>58</v>
      </c>
      <c r="AE34">
        <v>2</v>
      </c>
      <c r="AF34" t="s">
        <v>32</v>
      </c>
      <c r="AM34"/>
      <c r="AN34" s="29"/>
    </row>
    <row r="35" spans="1:40" ht="18.95" customHeight="1">
      <c r="A35" s="20">
        <v>3671230</v>
      </c>
      <c r="B35" s="20" t="s">
        <v>63</v>
      </c>
      <c r="C35" s="20" t="s">
        <v>357</v>
      </c>
      <c r="D35" s="20" t="s">
        <v>358</v>
      </c>
      <c r="E35" s="20" t="s">
        <v>358</v>
      </c>
      <c r="F35" s="20" t="s">
        <v>377</v>
      </c>
      <c r="G35" s="20">
        <v>2026</v>
      </c>
      <c r="H35" s="20" t="s">
        <v>137</v>
      </c>
      <c r="I35" s="20" t="s">
        <v>138</v>
      </c>
      <c r="J35" s="20" t="s">
        <v>378</v>
      </c>
      <c r="K35" s="20"/>
      <c r="L35" s="20" t="s">
        <v>4</v>
      </c>
      <c r="M35" s="20" t="s">
        <v>85</v>
      </c>
      <c r="N35" s="14" t="s">
        <v>379</v>
      </c>
      <c r="O35" s="19"/>
      <c r="P35" s="17" t="s">
        <v>380</v>
      </c>
      <c r="Q35" s="14" t="s">
        <v>224</v>
      </c>
      <c r="R35" s="14" t="s">
        <v>225</v>
      </c>
      <c r="S35" s="14" t="s">
        <v>381</v>
      </c>
      <c r="T35" s="18" t="s">
        <v>363</v>
      </c>
      <c r="U35" s="37" t="s">
        <v>382</v>
      </c>
      <c r="V35">
        <f t="shared" si="5"/>
        <v>30</v>
      </c>
      <c r="W35">
        <f t="shared" si="6"/>
        <v>7</v>
      </c>
      <c r="X35">
        <f t="shared" si="7"/>
        <v>2026</v>
      </c>
      <c r="Y35" t="str">
        <f t="shared" si="4"/>
        <v>30-2026</v>
      </c>
      <c r="Z35" t="s">
        <v>147</v>
      </c>
      <c r="AA35" t="s">
        <v>383</v>
      </c>
      <c r="AD35" t="s">
        <v>57</v>
      </c>
      <c r="AE35">
        <v>2</v>
      </c>
      <c r="AG35" t="s">
        <v>31</v>
      </c>
      <c r="AH35" t="s">
        <v>44</v>
      </c>
      <c r="AI35" s="23">
        <v>46232</v>
      </c>
      <c r="AJ35" s="23"/>
      <c r="AM35"/>
      <c r="AN35" s="29"/>
    </row>
    <row r="36" spans="1:40" ht="18.95" customHeight="1">
      <c r="A36" s="20">
        <v>3671239</v>
      </c>
      <c r="B36" s="14" t="s">
        <v>8</v>
      </c>
      <c r="C36" s="20" t="s">
        <v>81</v>
      </c>
      <c r="D36" s="20" t="s">
        <v>358</v>
      </c>
      <c r="E36" s="20" t="s">
        <v>358</v>
      </c>
      <c r="F36" s="20" t="s">
        <v>384</v>
      </c>
      <c r="G36" s="20">
        <v>2026</v>
      </c>
      <c r="H36" s="20" t="s">
        <v>137</v>
      </c>
      <c r="I36" s="20" t="s">
        <v>138</v>
      </c>
      <c r="J36" s="20" t="s">
        <v>385</v>
      </c>
      <c r="K36" s="20" t="s">
        <v>386</v>
      </c>
      <c r="L36" s="20" t="s">
        <v>4</v>
      </c>
      <c r="M36" s="20" t="s">
        <v>85</v>
      </c>
      <c r="N36" s="14" t="s">
        <v>387</v>
      </c>
      <c r="O36" s="19"/>
      <c r="P36" s="17" t="s">
        <v>388</v>
      </c>
      <c r="Q36" s="14" t="s">
        <v>224</v>
      </c>
      <c r="R36" s="14" t="s">
        <v>225</v>
      </c>
      <c r="S36" s="14">
        <v>3124174552</v>
      </c>
      <c r="T36" s="18">
        <v>3124174552</v>
      </c>
      <c r="U36" s="37" t="s">
        <v>389</v>
      </c>
      <c r="V36">
        <f t="shared" si="5"/>
        <v>30</v>
      </c>
      <c r="W36">
        <f t="shared" si="6"/>
        <v>7</v>
      </c>
      <c r="X36">
        <f t="shared" si="7"/>
        <v>2026</v>
      </c>
      <c r="Y36" t="str">
        <f t="shared" si="4"/>
        <v>30-2026</v>
      </c>
      <c r="Z36" t="s">
        <v>147</v>
      </c>
      <c r="AD36" t="s">
        <v>57</v>
      </c>
      <c r="AE36">
        <v>2</v>
      </c>
      <c r="AG36" t="s">
        <v>28</v>
      </c>
      <c r="AH36" t="s">
        <v>46</v>
      </c>
      <c r="AI36" s="23">
        <v>46233</v>
      </c>
      <c r="AJ36" s="23"/>
      <c r="AM36"/>
      <c r="AN36" s="29"/>
    </row>
    <row r="37" spans="1:40" ht="18.95" customHeight="1">
      <c r="A37" s="20">
        <v>3671241</v>
      </c>
      <c r="B37" s="14" t="s">
        <v>8</v>
      </c>
      <c r="C37" s="20" t="s">
        <v>81</v>
      </c>
      <c r="D37" s="20" t="s">
        <v>358</v>
      </c>
      <c r="E37" s="20" t="s">
        <v>358</v>
      </c>
      <c r="F37" s="20" t="s">
        <v>390</v>
      </c>
      <c r="G37" s="20">
        <v>2026</v>
      </c>
      <c r="H37" s="20" t="s">
        <v>137</v>
      </c>
      <c r="I37" s="20" t="s">
        <v>138</v>
      </c>
      <c r="J37" s="20" t="s">
        <v>391</v>
      </c>
      <c r="K37" s="20"/>
      <c r="L37" s="20" t="s">
        <v>4</v>
      </c>
      <c r="M37" s="20" t="s">
        <v>85</v>
      </c>
      <c r="N37" s="14" t="s">
        <v>392</v>
      </c>
      <c r="O37" s="19"/>
      <c r="P37" s="17" t="s">
        <v>393</v>
      </c>
      <c r="Q37" s="14" t="s">
        <v>224</v>
      </c>
      <c r="R37" s="14" t="s">
        <v>225</v>
      </c>
      <c r="S37" s="14">
        <v>3151587722</v>
      </c>
      <c r="T37" s="18">
        <v>3114408944</v>
      </c>
      <c r="U37" s="37" t="s">
        <v>394</v>
      </c>
      <c r="V37">
        <f t="shared" si="5"/>
        <v>30</v>
      </c>
      <c r="W37">
        <f t="shared" si="6"/>
        <v>7</v>
      </c>
      <c r="X37">
        <f t="shared" si="7"/>
        <v>2026</v>
      </c>
      <c r="Y37" t="str">
        <f t="shared" si="4"/>
        <v>30-2026</v>
      </c>
      <c r="Z37" t="s">
        <v>147</v>
      </c>
      <c r="AD37" t="s">
        <v>58</v>
      </c>
      <c r="AE37">
        <v>2</v>
      </c>
      <c r="AF37" t="s">
        <v>45</v>
      </c>
      <c r="AM37"/>
      <c r="AN37" s="29"/>
    </row>
    <row r="38" spans="1:40" ht="18.95" customHeight="1">
      <c r="A38" s="20">
        <v>3671242</v>
      </c>
      <c r="B38" s="14" t="s">
        <v>8</v>
      </c>
      <c r="C38" s="20" t="s">
        <v>81</v>
      </c>
      <c r="D38" s="20" t="s">
        <v>358</v>
      </c>
      <c r="E38" s="20" t="s">
        <v>358</v>
      </c>
      <c r="F38" s="20" t="s">
        <v>395</v>
      </c>
      <c r="G38" s="20">
        <v>2026</v>
      </c>
      <c r="H38" s="20" t="s">
        <v>137</v>
      </c>
      <c r="I38" s="20" t="s">
        <v>138</v>
      </c>
      <c r="J38" s="20" t="s">
        <v>396</v>
      </c>
      <c r="K38" s="20"/>
      <c r="L38" s="20" t="s">
        <v>4</v>
      </c>
      <c r="M38" s="20" t="s">
        <v>85</v>
      </c>
      <c r="N38" s="14" t="s">
        <v>397</v>
      </c>
      <c r="O38" s="19"/>
      <c r="P38" s="17" t="s">
        <v>398</v>
      </c>
      <c r="Q38" s="14" t="s">
        <v>143</v>
      </c>
      <c r="R38" s="14" t="s">
        <v>225</v>
      </c>
      <c r="S38" s="14">
        <v>3123849628</v>
      </c>
      <c r="T38" s="18">
        <v>3213048268</v>
      </c>
      <c r="U38" s="37" t="s">
        <v>399</v>
      </c>
      <c r="V38">
        <f t="shared" si="5"/>
        <v>30</v>
      </c>
      <c r="W38">
        <f t="shared" si="6"/>
        <v>7</v>
      </c>
      <c r="X38">
        <f t="shared" si="7"/>
        <v>2026</v>
      </c>
      <c r="Y38" t="str">
        <f t="shared" si="4"/>
        <v>30-2026</v>
      </c>
      <c r="Z38" t="s">
        <v>147</v>
      </c>
      <c r="AD38" t="s">
        <v>58</v>
      </c>
      <c r="AE38">
        <v>2</v>
      </c>
      <c r="AF38" t="s">
        <v>45</v>
      </c>
      <c r="AM38"/>
      <c r="AN38" s="29"/>
    </row>
    <row r="39" spans="1:40" ht="18.95" customHeight="1">
      <c r="A39" s="20">
        <v>3671243</v>
      </c>
      <c r="B39" s="14" t="s">
        <v>8</v>
      </c>
      <c r="C39" s="20" t="s">
        <v>81</v>
      </c>
      <c r="D39" s="20" t="s">
        <v>358</v>
      </c>
      <c r="E39" s="20" t="s">
        <v>358</v>
      </c>
      <c r="F39" s="20" t="s">
        <v>400</v>
      </c>
      <c r="G39" s="20">
        <v>2026</v>
      </c>
      <c r="H39" s="20" t="s">
        <v>137</v>
      </c>
      <c r="I39" s="20" t="s">
        <v>138</v>
      </c>
      <c r="J39" s="20" t="s">
        <v>401</v>
      </c>
      <c r="K39" s="20"/>
      <c r="L39" s="20" t="s">
        <v>4</v>
      </c>
      <c r="M39" s="20" t="s">
        <v>85</v>
      </c>
      <c r="N39" s="14" t="s">
        <v>402</v>
      </c>
      <c r="O39" s="19"/>
      <c r="P39" s="17" t="s">
        <v>403</v>
      </c>
      <c r="Q39" s="14" t="s">
        <v>224</v>
      </c>
      <c r="R39" s="14" t="s">
        <v>144</v>
      </c>
      <c r="S39" s="14">
        <v>3144802665</v>
      </c>
      <c r="T39" s="18">
        <v>3144802665</v>
      </c>
      <c r="U39" s="37" t="s">
        <v>404</v>
      </c>
      <c r="V39">
        <f t="shared" si="5"/>
        <v>30</v>
      </c>
      <c r="W39">
        <f t="shared" si="6"/>
        <v>7</v>
      </c>
      <c r="X39">
        <f t="shared" si="7"/>
        <v>2026</v>
      </c>
      <c r="Y39" t="str">
        <f t="shared" si="4"/>
        <v>30-2026</v>
      </c>
      <c r="Z39" t="s">
        <v>147</v>
      </c>
      <c r="AD39" t="s">
        <v>57</v>
      </c>
      <c r="AE39">
        <v>2</v>
      </c>
      <c r="AG39" t="s">
        <v>31</v>
      </c>
      <c r="AH39" t="s">
        <v>40</v>
      </c>
      <c r="AI39" s="23">
        <v>46232</v>
      </c>
      <c r="AJ39" s="23"/>
      <c r="AL39" t="s">
        <v>57</v>
      </c>
      <c r="AM39"/>
      <c r="AN39" s="47" t="s">
        <v>405</v>
      </c>
    </row>
    <row r="40" spans="1:40" ht="18.95" customHeight="1">
      <c r="A40" s="20">
        <v>3671245</v>
      </c>
      <c r="B40" s="14" t="s">
        <v>8</v>
      </c>
      <c r="C40" s="20" t="s">
        <v>81</v>
      </c>
      <c r="D40" s="20" t="s">
        <v>358</v>
      </c>
      <c r="E40" s="20" t="s">
        <v>358</v>
      </c>
      <c r="F40" s="20" t="s">
        <v>406</v>
      </c>
      <c r="G40" s="20">
        <v>2026</v>
      </c>
      <c r="H40" s="20" t="s">
        <v>137</v>
      </c>
      <c r="I40" s="20" t="s">
        <v>138</v>
      </c>
      <c r="J40" s="20" t="s">
        <v>407</v>
      </c>
      <c r="K40" s="20"/>
      <c r="L40" s="20" t="s">
        <v>4</v>
      </c>
      <c r="M40" s="20" t="s">
        <v>85</v>
      </c>
      <c r="N40" s="14" t="s">
        <v>408</v>
      </c>
      <c r="O40" s="19"/>
      <c r="P40" s="17" t="s">
        <v>409</v>
      </c>
      <c r="Q40" s="14" t="s">
        <v>168</v>
      </c>
      <c r="R40" s="14" t="s">
        <v>144</v>
      </c>
      <c r="S40" s="14">
        <v>3168329200</v>
      </c>
      <c r="T40" s="18">
        <v>3168329200</v>
      </c>
      <c r="U40" s="37" t="s">
        <v>410</v>
      </c>
      <c r="V40">
        <f t="shared" si="5"/>
        <v>30</v>
      </c>
      <c r="W40">
        <f t="shared" si="6"/>
        <v>7</v>
      </c>
      <c r="X40">
        <f t="shared" si="7"/>
        <v>2026</v>
      </c>
      <c r="Y40" t="str">
        <f t="shared" si="4"/>
        <v>30-2026</v>
      </c>
      <c r="Z40" t="s">
        <v>147</v>
      </c>
      <c r="AD40" t="s">
        <v>58</v>
      </c>
      <c r="AE40">
        <v>2</v>
      </c>
      <c r="AF40" t="s">
        <v>45</v>
      </c>
      <c r="AM40"/>
      <c r="AN40" s="29"/>
    </row>
    <row r="41" spans="1:40" ht="18.95" customHeight="1">
      <c r="A41" s="20">
        <v>3671253</v>
      </c>
      <c r="B41" s="14" t="s">
        <v>8</v>
      </c>
      <c r="C41" s="20" t="s">
        <v>81</v>
      </c>
      <c r="D41" s="20" t="s">
        <v>358</v>
      </c>
      <c r="E41" s="20" t="s">
        <v>358</v>
      </c>
      <c r="F41" s="20" t="s">
        <v>411</v>
      </c>
      <c r="G41" s="20">
        <v>2026</v>
      </c>
      <c r="H41" s="20" t="s">
        <v>137</v>
      </c>
      <c r="I41" s="20" t="s">
        <v>138</v>
      </c>
      <c r="J41" s="20" t="s">
        <v>412</v>
      </c>
      <c r="K41" s="20"/>
      <c r="L41" s="20" t="s">
        <v>4</v>
      </c>
      <c r="M41" s="20" t="s">
        <v>85</v>
      </c>
      <c r="N41" s="14" t="s">
        <v>413</v>
      </c>
      <c r="O41" s="19"/>
      <c r="P41" s="17" t="s">
        <v>414</v>
      </c>
      <c r="Q41" s="14" t="s">
        <v>224</v>
      </c>
      <c r="R41" s="14" t="s">
        <v>144</v>
      </c>
      <c r="S41" s="14">
        <v>3105726862</v>
      </c>
      <c r="T41" s="18">
        <v>3105726862</v>
      </c>
      <c r="U41" s="37" t="s">
        <v>415</v>
      </c>
      <c r="V41">
        <f t="shared" si="5"/>
        <v>30</v>
      </c>
      <c r="W41">
        <f t="shared" si="6"/>
        <v>7</v>
      </c>
      <c r="X41">
        <f t="shared" si="7"/>
        <v>2026</v>
      </c>
      <c r="Y41" t="str">
        <f t="shared" si="4"/>
        <v>30-2026</v>
      </c>
      <c r="Z41" t="s">
        <v>255</v>
      </c>
      <c r="AC41" t="s">
        <v>416</v>
      </c>
      <c r="AD41" t="s">
        <v>58</v>
      </c>
      <c r="AE41">
        <v>2</v>
      </c>
      <c r="AF41" t="s">
        <v>50</v>
      </c>
      <c r="AM41"/>
      <c r="AN41" s="29"/>
    </row>
    <row r="42" spans="1:40" ht="18.95" customHeight="1">
      <c r="A42" s="20">
        <v>3676125</v>
      </c>
      <c r="B42" s="20" t="s">
        <v>66</v>
      </c>
      <c r="C42" s="20" t="s">
        <v>417</v>
      </c>
      <c r="D42" s="20" t="s">
        <v>418</v>
      </c>
      <c r="E42" s="20" t="s">
        <v>418</v>
      </c>
      <c r="F42" s="20" t="s">
        <v>419</v>
      </c>
      <c r="G42" s="20">
        <v>2026</v>
      </c>
      <c r="H42" s="20" t="s">
        <v>137</v>
      </c>
      <c r="I42" s="20" t="s">
        <v>138</v>
      </c>
      <c r="J42" s="20" t="s">
        <v>420</v>
      </c>
      <c r="K42" s="20"/>
      <c r="L42" s="20" t="s">
        <v>5</v>
      </c>
      <c r="M42" s="20" t="s">
        <v>140</v>
      </c>
      <c r="N42" s="14" t="s">
        <v>421</v>
      </c>
      <c r="O42" s="19"/>
      <c r="P42" s="17" t="s">
        <v>422</v>
      </c>
      <c r="Q42" s="14" t="s">
        <v>224</v>
      </c>
      <c r="R42" s="14" t="s">
        <v>225</v>
      </c>
      <c r="S42" s="14">
        <v>3160181684</v>
      </c>
      <c r="T42" s="18" t="s">
        <v>423</v>
      </c>
      <c r="U42" s="37" t="s">
        <v>424</v>
      </c>
      <c r="V42">
        <f t="shared" si="5"/>
        <v>30</v>
      </c>
      <c r="W42">
        <f t="shared" si="6"/>
        <v>7</v>
      </c>
      <c r="X42">
        <f t="shared" si="7"/>
        <v>2026</v>
      </c>
      <c r="Y42" t="str">
        <f t="shared" si="4"/>
        <v>30-2026</v>
      </c>
      <c r="Z42" t="s">
        <v>147</v>
      </c>
      <c r="AD42" t="s">
        <v>58</v>
      </c>
      <c r="AE42">
        <v>2</v>
      </c>
      <c r="AF42" t="s">
        <v>29</v>
      </c>
      <c r="AM42"/>
      <c r="AN42" s="29"/>
    </row>
    <row r="43" spans="1:40" ht="18.95" customHeight="1">
      <c r="A43" s="20">
        <v>3676210</v>
      </c>
      <c r="B43" s="20" t="s">
        <v>65</v>
      </c>
      <c r="C43" s="20" t="s">
        <v>425</v>
      </c>
      <c r="D43" s="20" t="s">
        <v>418</v>
      </c>
      <c r="E43" s="20" t="s">
        <v>418</v>
      </c>
      <c r="F43" s="20" t="s">
        <v>426</v>
      </c>
      <c r="G43" s="20">
        <v>2026</v>
      </c>
      <c r="H43" s="20" t="s">
        <v>137</v>
      </c>
      <c r="I43" s="20" t="s">
        <v>138</v>
      </c>
      <c r="J43" s="20" t="s">
        <v>427</v>
      </c>
      <c r="K43" s="20"/>
      <c r="L43" s="20" t="s">
        <v>4</v>
      </c>
      <c r="M43" s="20" t="s">
        <v>85</v>
      </c>
      <c r="N43" s="14" t="s">
        <v>428</v>
      </c>
      <c r="O43" s="19"/>
      <c r="P43" s="17" t="s">
        <v>429</v>
      </c>
      <c r="Q43" s="14" t="s">
        <v>143</v>
      </c>
      <c r="R43" s="14" t="s">
        <v>144</v>
      </c>
      <c r="S43" s="14" t="s">
        <v>430</v>
      </c>
      <c r="T43" s="18" t="s">
        <v>431</v>
      </c>
      <c r="U43" s="37" t="s">
        <v>432</v>
      </c>
      <c r="V43">
        <f t="shared" si="5"/>
        <v>30</v>
      </c>
      <c r="W43">
        <f t="shared" si="6"/>
        <v>7</v>
      </c>
      <c r="X43">
        <f t="shared" si="7"/>
        <v>2026</v>
      </c>
      <c r="Y43" t="str">
        <f t="shared" si="4"/>
        <v>30-2026</v>
      </c>
      <c r="Z43" t="s">
        <v>147</v>
      </c>
      <c r="AD43" t="s">
        <v>58</v>
      </c>
      <c r="AE43">
        <v>2</v>
      </c>
      <c r="AF43" t="s">
        <v>29</v>
      </c>
      <c r="AG43" t="s">
        <v>28</v>
      </c>
      <c r="AM43"/>
      <c r="AN43" s="29"/>
    </row>
    <row r="44" spans="1:40" ht="18.95" customHeight="1">
      <c r="A44" s="20">
        <v>3676236</v>
      </c>
      <c r="B44" s="20" t="s">
        <v>67</v>
      </c>
      <c r="C44" s="20" t="s">
        <v>433</v>
      </c>
      <c r="D44" s="20" t="s">
        <v>418</v>
      </c>
      <c r="E44" s="20" t="s">
        <v>418</v>
      </c>
      <c r="F44" s="20" t="s">
        <v>434</v>
      </c>
      <c r="G44" s="20">
        <v>2026</v>
      </c>
      <c r="H44" s="20" t="s">
        <v>137</v>
      </c>
      <c r="I44" s="20" t="s">
        <v>138</v>
      </c>
      <c r="J44" s="20" t="s">
        <v>435</v>
      </c>
      <c r="K44" s="20"/>
      <c r="L44" s="20" t="s">
        <v>4</v>
      </c>
      <c r="M44" s="20" t="s">
        <v>85</v>
      </c>
      <c r="N44" s="14" t="s">
        <v>436</v>
      </c>
      <c r="O44" s="19"/>
      <c r="P44" s="17" t="s">
        <v>437</v>
      </c>
      <c r="Q44" s="14" t="s">
        <v>224</v>
      </c>
      <c r="R44" s="14" t="s">
        <v>144</v>
      </c>
      <c r="S44" s="14">
        <v>3102267246</v>
      </c>
      <c r="T44" s="18" t="s">
        <v>203</v>
      </c>
      <c r="U44" s="37" t="s">
        <v>438</v>
      </c>
      <c r="V44">
        <f t="shared" si="5"/>
        <v>30</v>
      </c>
      <c r="W44">
        <f t="shared" si="6"/>
        <v>7</v>
      </c>
      <c r="X44">
        <f t="shared" si="7"/>
        <v>2026</v>
      </c>
      <c r="Y44" t="str">
        <f t="shared" si="4"/>
        <v>30-2026</v>
      </c>
      <c r="Z44" t="s">
        <v>147</v>
      </c>
      <c r="AD44" t="s">
        <v>57</v>
      </c>
      <c r="AE44">
        <v>2</v>
      </c>
      <c r="AG44" t="s">
        <v>28</v>
      </c>
      <c r="AH44" t="s">
        <v>46</v>
      </c>
      <c r="AI44" s="23">
        <v>46232</v>
      </c>
      <c r="AJ44" s="23"/>
      <c r="AM44"/>
      <c r="AN44" s="29" t="s">
        <v>439</v>
      </c>
    </row>
    <row r="45" spans="1:40" ht="18.95" customHeight="1">
      <c r="A45" s="20">
        <v>3676247</v>
      </c>
      <c r="B45" s="20" t="s">
        <v>13</v>
      </c>
      <c r="C45" s="20" t="s">
        <v>134</v>
      </c>
      <c r="D45" s="20" t="s">
        <v>418</v>
      </c>
      <c r="E45" s="20" t="s">
        <v>418</v>
      </c>
      <c r="F45" s="20" t="s">
        <v>440</v>
      </c>
      <c r="G45" s="20">
        <v>2026</v>
      </c>
      <c r="H45" s="20" t="s">
        <v>137</v>
      </c>
      <c r="I45" s="20" t="s">
        <v>138</v>
      </c>
      <c r="J45" s="20" t="s">
        <v>441</v>
      </c>
      <c r="K45" s="20" t="s">
        <v>442</v>
      </c>
      <c r="L45" s="20" t="s">
        <v>5</v>
      </c>
      <c r="M45" s="20" t="s">
        <v>140</v>
      </c>
      <c r="N45" s="14" t="s">
        <v>443</v>
      </c>
      <c r="O45" s="19"/>
      <c r="P45" s="17" t="s">
        <v>444</v>
      </c>
      <c r="Q45" s="14" t="s">
        <v>143</v>
      </c>
      <c r="R45" s="14" t="s">
        <v>193</v>
      </c>
      <c r="S45" s="14">
        <v>3209500506</v>
      </c>
      <c r="T45" s="18" t="s">
        <v>445</v>
      </c>
      <c r="U45" s="37" t="s">
        <v>446</v>
      </c>
      <c r="V45">
        <f t="shared" si="5"/>
        <v>30</v>
      </c>
      <c r="W45">
        <f t="shared" si="6"/>
        <v>7</v>
      </c>
      <c r="X45">
        <f t="shared" si="7"/>
        <v>2026</v>
      </c>
      <c r="Y45" t="str">
        <f t="shared" si="4"/>
        <v>30-2026</v>
      </c>
      <c r="Z45" t="s">
        <v>147</v>
      </c>
      <c r="AD45" t="s">
        <v>58</v>
      </c>
      <c r="AE45">
        <v>2</v>
      </c>
      <c r="AF45" t="s">
        <v>29</v>
      </c>
      <c r="AM45"/>
      <c r="AN45" s="29"/>
    </row>
    <row r="46" spans="1:40" ht="18.95" customHeight="1">
      <c r="A46" s="20">
        <v>3676328</v>
      </c>
      <c r="B46" s="20" t="s">
        <v>80</v>
      </c>
      <c r="C46" s="20" t="s">
        <v>447</v>
      </c>
      <c r="D46" s="20" t="s">
        <v>418</v>
      </c>
      <c r="E46" s="20" t="s">
        <v>418</v>
      </c>
      <c r="F46" s="20" t="s">
        <v>448</v>
      </c>
      <c r="G46" s="20">
        <v>2026</v>
      </c>
      <c r="H46" s="20" t="s">
        <v>137</v>
      </c>
      <c r="I46" s="20" t="s">
        <v>138</v>
      </c>
      <c r="J46" s="20" t="s">
        <v>449</v>
      </c>
      <c r="K46" s="20"/>
      <c r="L46" s="20" t="s">
        <v>5</v>
      </c>
      <c r="M46" s="20" t="s">
        <v>140</v>
      </c>
      <c r="N46" s="14" t="s">
        <v>450</v>
      </c>
      <c r="O46" s="19"/>
      <c r="P46" s="17" t="s">
        <v>451</v>
      </c>
      <c r="Q46" s="14" t="s">
        <v>168</v>
      </c>
      <c r="R46" s="14" t="s">
        <v>176</v>
      </c>
      <c r="S46" s="14" t="s">
        <v>452</v>
      </c>
      <c r="T46" s="18" t="s">
        <v>453</v>
      </c>
      <c r="U46" s="37" t="s">
        <v>454</v>
      </c>
      <c r="V46">
        <f t="shared" si="5"/>
        <v>30</v>
      </c>
      <c r="W46">
        <f t="shared" si="6"/>
        <v>7</v>
      </c>
      <c r="X46">
        <f t="shared" si="7"/>
        <v>2026</v>
      </c>
      <c r="Y46" t="str">
        <f t="shared" si="4"/>
        <v>30-2026</v>
      </c>
      <c r="Z46" t="s">
        <v>147</v>
      </c>
      <c r="AD46" t="s">
        <v>58</v>
      </c>
      <c r="AE46">
        <v>2</v>
      </c>
      <c r="AF46" t="s">
        <v>49</v>
      </c>
      <c r="AM46"/>
      <c r="AN46" s="29"/>
    </row>
    <row r="47" spans="1:40" ht="18.95" customHeight="1">
      <c r="A47" s="20">
        <v>3676345</v>
      </c>
      <c r="B47" s="20" t="s">
        <v>80</v>
      </c>
      <c r="C47" s="20" t="s">
        <v>447</v>
      </c>
      <c r="D47" s="20" t="s">
        <v>418</v>
      </c>
      <c r="E47" s="20" t="s">
        <v>418</v>
      </c>
      <c r="F47" s="20" t="s">
        <v>455</v>
      </c>
      <c r="G47" s="20">
        <v>2026</v>
      </c>
      <c r="H47" s="20" t="s">
        <v>137</v>
      </c>
      <c r="I47" s="20" t="s">
        <v>138</v>
      </c>
      <c r="J47" s="20" t="s">
        <v>456</v>
      </c>
      <c r="K47" s="20"/>
      <c r="L47" s="20" t="s">
        <v>5</v>
      </c>
      <c r="M47" s="20" t="s">
        <v>140</v>
      </c>
      <c r="N47" s="14" t="s">
        <v>457</v>
      </c>
      <c r="O47" s="19"/>
      <c r="P47" s="14" t="s">
        <v>458</v>
      </c>
      <c r="Q47" s="14" t="s">
        <v>143</v>
      </c>
      <c r="R47" s="14" t="s">
        <v>225</v>
      </c>
      <c r="S47" s="14" t="s">
        <v>459</v>
      </c>
      <c r="T47" s="18" t="s">
        <v>460</v>
      </c>
      <c r="U47" s="37" t="s">
        <v>461</v>
      </c>
      <c r="V47">
        <f t="shared" si="5"/>
        <v>30</v>
      </c>
      <c r="W47">
        <f t="shared" si="6"/>
        <v>7</v>
      </c>
      <c r="X47">
        <f t="shared" si="7"/>
        <v>2026</v>
      </c>
      <c r="Y47" t="str">
        <f t="shared" si="4"/>
        <v>30-2026</v>
      </c>
      <c r="Z47" t="s">
        <v>147</v>
      </c>
      <c r="AD47" t="s">
        <v>57</v>
      </c>
      <c r="AE47">
        <v>2</v>
      </c>
      <c r="AG47" t="s">
        <v>31</v>
      </c>
      <c r="AH47" t="s">
        <v>38</v>
      </c>
      <c r="AI47" s="23">
        <v>46233</v>
      </c>
      <c r="AJ47" s="23"/>
      <c r="AM47"/>
      <c r="AN47" s="29"/>
    </row>
    <row r="48" spans="1:40" ht="18.95" customHeight="1">
      <c r="A48" s="20">
        <v>3676323</v>
      </c>
      <c r="B48" s="20" t="s">
        <v>66</v>
      </c>
      <c r="C48" s="20" t="s">
        <v>417</v>
      </c>
      <c r="D48" s="20" t="s">
        <v>418</v>
      </c>
      <c r="E48" s="20" t="s">
        <v>418</v>
      </c>
      <c r="F48" s="20" t="s">
        <v>462</v>
      </c>
      <c r="G48" s="20">
        <v>2026</v>
      </c>
      <c r="H48" s="20" t="s">
        <v>137</v>
      </c>
      <c r="I48" s="20" t="s">
        <v>138</v>
      </c>
      <c r="J48" s="20" t="s">
        <v>463</v>
      </c>
      <c r="K48" s="20"/>
      <c r="L48" s="20" t="s">
        <v>5</v>
      </c>
      <c r="M48" s="20" t="s">
        <v>140</v>
      </c>
      <c r="N48" s="14" t="s">
        <v>464</v>
      </c>
      <c r="O48" s="19"/>
      <c r="P48" s="14" t="s">
        <v>465</v>
      </c>
      <c r="Q48" s="14" t="s">
        <v>143</v>
      </c>
      <c r="R48" s="14" t="s">
        <v>144</v>
      </c>
      <c r="S48" s="14" t="s">
        <v>466</v>
      </c>
      <c r="T48" s="18" t="s">
        <v>467</v>
      </c>
      <c r="U48" s="37" t="s">
        <v>468</v>
      </c>
      <c r="V48">
        <f t="shared" si="5"/>
        <v>30</v>
      </c>
      <c r="W48">
        <f t="shared" si="6"/>
        <v>7</v>
      </c>
      <c r="X48">
        <f t="shared" si="7"/>
        <v>2026</v>
      </c>
      <c r="Y48" t="str">
        <f t="shared" si="4"/>
        <v>30-2026</v>
      </c>
      <c r="Z48" t="s">
        <v>147</v>
      </c>
      <c r="AD48" t="s">
        <v>58</v>
      </c>
      <c r="AE48">
        <v>2</v>
      </c>
      <c r="AF48" t="s">
        <v>29</v>
      </c>
      <c r="AM48"/>
      <c r="AN48" s="29"/>
    </row>
    <row r="49" spans="1:40" ht="18.95" customHeight="1">
      <c r="A49" s="20">
        <v>3679961</v>
      </c>
      <c r="B49" s="20" t="s">
        <v>71</v>
      </c>
      <c r="C49" s="20"/>
      <c r="D49" s="20" t="s">
        <v>469</v>
      </c>
      <c r="E49" s="20" t="s">
        <v>469</v>
      </c>
      <c r="F49" s="20" t="s">
        <v>470</v>
      </c>
      <c r="G49" s="20">
        <v>2026</v>
      </c>
      <c r="H49" s="20" t="s">
        <v>137</v>
      </c>
      <c r="I49" s="20" t="s">
        <v>138</v>
      </c>
      <c r="J49" s="20" t="s">
        <v>471</v>
      </c>
      <c r="K49" s="20"/>
      <c r="L49" s="20" t="s">
        <v>4</v>
      </c>
      <c r="M49" s="20" t="s">
        <v>85</v>
      </c>
      <c r="N49" s="22" t="s">
        <v>472</v>
      </c>
      <c r="O49" s="19" t="s">
        <v>473</v>
      </c>
      <c r="P49" s="17" t="s">
        <v>474</v>
      </c>
      <c r="Q49" s="14" t="s">
        <v>224</v>
      </c>
      <c r="R49" s="14" t="s">
        <v>225</v>
      </c>
      <c r="S49" s="14">
        <v>3212818265</v>
      </c>
      <c r="T49" s="18">
        <v>3214550461</v>
      </c>
      <c r="U49" s="37" t="s">
        <v>475</v>
      </c>
      <c r="V49">
        <f t="shared" si="5"/>
        <v>30</v>
      </c>
      <c r="W49">
        <f t="shared" si="6"/>
        <v>7</v>
      </c>
      <c r="X49">
        <f t="shared" si="7"/>
        <v>2026</v>
      </c>
      <c r="Y49" t="str">
        <f t="shared" si="4"/>
        <v>30-2026</v>
      </c>
      <c r="Z49" t="s">
        <v>147</v>
      </c>
      <c r="AD49" t="s">
        <v>58</v>
      </c>
      <c r="AE49">
        <v>2</v>
      </c>
      <c r="AF49" t="s">
        <v>29</v>
      </c>
      <c r="AM49"/>
      <c r="AN49" s="29"/>
    </row>
    <row r="50" spans="1:40" ht="18.95" customHeight="1">
      <c r="A50" s="20">
        <v>3679980</v>
      </c>
      <c r="B50" s="20" t="s">
        <v>71</v>
      </c>
      <c r="C50" s="20"/>
      <c r="D50" s="20" t="s">
        <v>469</v>
      </c>
      <c r="E50" s="20" t="s">
        <v>469</v>
      </c>
      <c r="F50" s="20" t="s">
        <v>476</v>
      </c>
      <c r="G50" s="20">
        <v>2026</v>
      </c>
      <c r="H50" s="20" t="s">
        <v>137</v>
      </c>
      <c r="I50" s="20" t="s">
        <v>138</v>
      </c>
      <c r="J50" s="20" t="s">
        <v>477</v>
      </c>
      <c r="K50" s="20"/>
      <c r="L50" s="20" t="s">
        <v>4</v>
      </c>
      <c r="M50" s="20" t="s">
        <v>85</v>
      </c>
      <c r="N50" s="22" t="s">
        <v>478</v>
      </c>
      <c r="O50" s="19" t="s">
        <v>473</v>
      </c>
      <c r="P50" s="17" t="s">
        <v>479</v>
      </c>
      <c r="Q50" s="14" t="s">
        <v>168</v>
      </c>
      <c r="R50" s="14" t="s">
        <v>480</v>
      </c>
      <c r="S50" s="14">
        <v>3144553626</v>
      </c>
      <c r="T50" s="18" t="s">
        <v>481</v>
      </c>
      <c r="U50" s="37" t="s">
        <v>482</v>
      </c>
      <c r="V50">
        <f t="shared" si="5"/>
        <v>30</v>
      </c>
      <c r="W50">
        <f t="shared" si="6"/>
        <v>7</v>
      </c>
      <c r="X50">
        <f t="shared" si="7"/>
        <v>2026</v>
      </c>
      <c r="Y50" t="str">
        <f t="shared" si="4"/>
        <v>30-2026</v>
      </c>
      <c r="Z50" t="s">
        <v>147</v>
      </c>
      <c r="AD50" t="s">
        <v>58</v>
      </c>
      <c r="AE50">
        <v>2</v>
      </c>
      <c r="AF50" t="s">
        <v>29</v>
      </c>
      <c r="AM50"/>
      <c r="AN50" s="29"/>
    </row>
    <row r="51" spans="1:40" ht="18.95" customHeight="1">
      <c r="A51" s="20">
        <v>3679984</v>
      </c>
      <c r="B51" s="20" t="s">
        <v>71</v>
      </c>
      <c r="C51" s="20"/>
      <c r="D51" s="20" t="s">
        <v>469</v>
      </c>
      <c r="E51" s="20" t="s">
        <v>469</v>
      </c>
      <c r="F51" s="20" t="s">
        <v>483</v>
      </c>
      <c r="G51" s="20">
        <v>2026</v>
      </c>
      <c r="H51" s="20" t="s">
        <v>137</v>
      </c>
      <c r="I51" s="20" t="s">
        <v>138</v>
      </c>
      <c r="J51" s="20" t="s">
        <v>484</v>
      </c>
      <c r="K51" s="20"/>
      <c r="L51" s="20" t="s">
        <v>4</v>
      </c>
      <c r="M51" s="20" t="s">
        <v>85</v>
      </c>
      <c r="N51" s="22" t="s">
        <v>485</v>
      </c>
      <c r="O51" s="19" t="s">
        <v>473</v>
      </c>
      <c r="P51" s="17" t="s">
        <v>486</v>
      </c>
      <c r="Q51" s="14" t="s">
        <v>168</v>
      </c>
      <c r="R51" s="14" t="s">
        <v>480</v>
      </c>
      <c r="S51" s="14">
        <v>3118109385</v>
      </c>
      <c r="T51" s="18" t="s">
        <v>487</v>
      </c>
      <c r="U51" s="37" t="s">
        <v>488</v>
      </c>
      <c r="V51">
        <f t="shared" si="5"/>
        <v>30</v>
      </c>
      <c r="W51">
        <f t="shared" si="6"/>
        <v>7</v>
      </c>
      <c r="X51">
        <f t="shared" si="7"/>
        <v>2026</v>
      </c>
      <c r="Y51" t="str">
        <f t="shared" si="4"/>
        <v>30-2026</v>
      </c>
      <c r="Z51" t="s">
        <v>147</v>
      </c>
      <c r="AD51" t="s">
        <v>57</v>
      </c>
      <c r="AE51">
        <v>2</v>
      </c>
      <c r="AG51" t="s">
        <v>31</v>
      </c>
      <c r="AH51" t="s">
        <v>40</v>
      </c>
      <c r="AI51" s="23">
        <v>46232</v>
      </c>
      <c r="AJ51" s="23"/>
      <c r="AM51"/>
      <c r="AN51" s="29"/>
    </row>
    <row r="52" spans="1:40" ht="18.95" customHeight="1">
      <c r="A52" s="20">
        <v>3680011</v>
      </c>
      <c r="B52" s="20" t="s">
        <v>61</v>
      </c>
      <c r="C52" s="20" t="s">
        <v>489</v>
      </c>
      <c r="D52" s="20" t="s">
        <v>469</v>
      </c>
      <c r="E52" s="20" t="s">
        <v>469</v>
      </c>
      <c r="F52" s="20" t="s">
        <v>490</v>
      </c>
      <c r="G52" s="20">
        <v>2026</v>
      </c>
      <c r="H52" s="20" t="s">
        <v>137</v>
      </c>
      <c r="I52" s="20" t="s">
        <v>138</v>
      </c>
      <c r="J52" s="20" t="s">
        <v>491</v>
      </c>
      <c r="K52" s="20"/>
      <c r="L52" s="20" t="s">
        <v>4</v>
      </c>
      <c r="M52" s="20" t="s">
        <v>85</v>
      </c>
      <c r="N52" s="22"/>
      <c r="O52" s="19" t="s">
        <v>473</v>
      </c>
      <c r="P52" s="17" t="s">
        <v>492</v>
      </c>
      <c r="Q52" s="14" t="s">
        <v>143</v>
      </c>
      <c r="R52" s="14" t="s">
        <v>144</v>
      </c>
      <c r="S52" s="14" t="s">
        <v>493</v>
      </c>
      <c r="T52" s="18" t="s">
        <v>494</v>
      </c>
      <c r="U52" s="37" t="s">
        <v>495</v>
      </c>
      <c r="V52">
        <f t="shared" si="5"/>
        <v>30</v>
      </c>
      <c r="W52">
        <f t="shared" si="6"/>
        <v>7</v>
      </c>
      <c r="X52">
        <f t="shared" si="7"/>
        <v>2026</v>
      </c>
      <c r="Y52" t="str">
        <f t="shared" si="4"/>
        <v>30-2026</v>
      </c>
      <c r="Z52" t="s">
        <v>147</v>
      </c>
      <c r="AD52" t="s">
        <v>57</v>
      </c>
      <c r="AE52">
        <v>2</v>
      </c>
      <c r="AG52" t="s">
        <v>31</v>
      </c>
      <c r="AH52" t="s">
        <v>33</v>
      </c>
      <c r="AI52" s="23">
        <v>46237</v>
      </c>
      <c r="AM52"/>
      <c r="AN52" s="29"/>
    </row>
    <row r="53" spans="1:40" ht="18.95" customHeight="1">
      <c r="A53" s="20">
        <v>3680024</v>
      </c>
      <c r="B53" s="20" t="s">
        <v>14</v>
      </c>
      <c r="C53" s="20" t="s">
        <v>180</v>
      </c>
      <c r="D53" s="20" t="s">
        <v>469</v>
      </c>
      <c r="E53" s="20" t="s">
        <v>469</v>
      </c>
      <c r="F53" s="20" t="s">
        <v>496</v>
      </c>
      <c r="G53" s="20">
        <v>2026</v>
      </c>
      <c r="H53" s="20" t="s">
        <v>137</v>
      </c>
      <c r="I53" s="20" t="s">
        <v>138</v>
      </c>
      <c r="J53" s="20" t="s">
        <v>497</v>
      </c>
      <c r="K53" s="20"/>
      <c r="L53" s="20" t="s">
        <v>6</v>
      </c>
      <c r="M53" s="20" t="s">
        <v>165</v>
      </c>
      <c r="N53" s="22" t="s">
        <v>498</v>
      </c>
      <c r="O53" s="19" t="s">
        <v>499</v>
      </c>
      <c r="P53" s="17" t="s">
        <v>500</v>
      </c>
      <c r="Q53" s="14" t="s">
        <v>143</v>
      </c>
      <c r="R53" s="14" t="s">
        <v>501</v>
      </c>
      <c r="S53" s="14">
        <v>3137456421</v>
      </c>
      <c r="T53" s="18" t="s">
        <v>325</v>
      </c>
      <c r="U53" s="37" t="s">
        <v>502</v>
      </c>
      <c r="V53">
        <f t="shared" si="5"/>
        <v>30</v>
      </c>
      <c r="W53">
        <f t="shared" si="6"/>
        <v>7</v>
      </c>
      <c r="X53">
        <f t="shared" si="7"/>
        <v>2026</v>
      </c>
      <c r="Y53" t="str">
        <f t="shared" si="4"/>
        <v>30-2026</v>
      </c>
      <c r="Z53" t="s">
        <v>147</v>
      </c>
      <c r="AD53" t="s">
        <v>58</v>
      </c>
      <c r="AE53">
        <v>2</v>
      </c>
      <c r="AF53" t="s">
        <v>29</v>
      </c>
      <c r="AG53" t="s">
        <v>34</v>
      </c>
      <c r="AM53"/>
      <c r="AN53" s="29"/>
    </row>
    <row r="54" spans="1:40" ht="18.95" customHeight="1">
      <c r="A54" s="20">
        <v>3680050</v>
      </c>
      <c r="B54" s="20" t="s">
        <v>61</v>
      </c>
      <c r="C54" s="20" t="s">
        <v>489</v>
      </c>
      <c r="D54" s="20" t="s">
        <v>469</v>
      </c>
      <c r="E54" s="20" t="s">
        <v>469</v>
      </c>
      <c r="F54" s="20" t="s">
        <v>503</v>
      </c>
      <c r="G54" s="20">
        <v>2026</v>
      </c>
      <c r="H54" s="20" t="s">
        <v>137</v>
      </c>
      <c r="I54" s="20" t="s">
        <v>138</v>
      </c>
      <c r="J54" s="20" t="s">
        <v>504</v>
      </c>
      <c r="K54" s="20"/>
      <c r="L54" s="20" t="s">
        <v>4</v>
      </c>
      <c r="M54" s="20" t="s">
        <v>85</v>
      </c>
      <c r="N54" s="22" t="s">
        <v>505</v>
      </c>
      <c r="O54" s="19" t="s">
        <v>473</v>
      </c>
      <c r="P54" s="17" t="s">
        <v>506</v>
      </c>
      <c r="Q54" s="14" t="s">
        <v>143</v>
      </c>
      <c r="R54" s="14" t="s">
        <v>144</v>
      </c>
      <c r="S54" s="14">
        <v>3213475722</v>
      </c>
      <c r="T54" s="18">
        <v>3057995626</v>
      </c>
      <c r="U54" s="37" t="s">
        <v>507</v>
      </c>
      <c r="V54">
        <f t="shared" si="5"/>
        <v>30</v>
      </c>
      <c r="W54">
        <f t="shared" si="6"/>
        <v>7</v>
      </c>
      <c r="X54">
        <f t="shared" si="7"/>
        <v>2026</v>
      </c>
      <c r="Y54" t="str">
        <f t="shared" si="4"/>
        <v>30-2026</v>
      </c>
      <c r="Z54" t="s">
        <v>147</v>
      </c>
      <c r="AA54" t="s">
        <v>508</v>
      </c>
      <c r="AD54" t="s">
        <v>57</v>
      </c>
      <c r="AE54">
        <v>2</v>
      </c>
      <c r="AG54" t="s">
        <v>28</v>
      </c>
      <c r="AH54" t="s">
        <v>27</v>
      </c>
      <c r="AI54" s="23">
        <v>46234</v>
      </c>
      <c r="AJ54" s="23"/>
      <c r="AM54"/>
      <c r="AN54" s="29"/>
    </row>
    <row r="55" spans="1:40" ht="18.95" customHeight="1">
      <c r="A55" s="20">
        <v>3680054</v>
      </c>
      <c r="B55" s="20" t="s">
        <v>61</v>
      </c>
      <c r="C55" s="20" t="s">
        <v>489</v>
      </c>
      <c r="D55" s="20" t="s">
        <v>469</v>
      </c>
      <c r="E55" s="20" t="s">
        <v>469</v>
      </c>
      <c r="F55" s="20" t="s">
        <v>509</v>
      </c>
      <c r="G55" s="20">
        <v>2026</v>
      </c>
      <c r="H55" s="20" t="s">
        <v>137</v>
      </c>
      <c r="I55" s="20" t="s">
        <v>138</v>
      </c>
      <c r="J55" s="20" t="s">
        <v>510</v>
      </c>
      <c r="K55" s="20"/>
      <c r="L55" s="20" t="s">
        <v>4</v>
      </c>
      <c r="M55" s="20" t="s">
        <v>85</v>
      </c>
      <c r="N55" s="22" t="s">
        <v>511</v>
      </c>
      <c r="O55" s="19" t="s">
        <v>473</v>
      </c>
      <c r="P55" s="17" t="s">
        <v>512</v>
      </c>
      <c r="Q55" s="14" t="s">
        <v>224</v>
      </c>
      <c r="R55" s="14" t="s">
        <v>225</v>
      </c>
      <c r="S55" s="14">
        <v>3143704135</v>
      </c>
      <c r="T55" s="18" t="s">
        <v>513</v>
      </c>
      <c r="U55" s="37" t="s">
        <v>514</v>
      </c>
      <c r="V55">
        <f t="shared" si="5"/>
        <v>30</v>
      </c>
      <c r="W55">
        <f t="shared" si="6"/>
        <v>7</v>
      </c>
      <c r="X55">
        <f t="shared" si="7"/>
        <v>2026</v>
      </c>
      <c r="Y55" t="str">
        <f t="shared" si="4"/>
        <v>30-2026</v>
      </c>
      <c r="Z55" t="s">
        <v>147</v>
      </c>
      <c r="AA55" t="s">
        <v>515</v>
      </c>
      <c r="AD55" t="s">
        <v>58</v>
      </c>
      <c r="AE55">
        <v>2</v>
      </c>
      <c r="AF55" t="s">
        <v>29</v>
      </c>
      <c r="AG55" t="s">
        <v>28</v>
      </c>
      <c r="AM55"/>
      <c r="AN55" s="29"/>
    </row>
    <row r="56" spans="1:40" ht="18.95" customHeight="1">
      <c r="A56" s="20">
        <v>3680055</v>
      </c>
      <c r="B56" s="20" t="s">
        <v>61</v>
      </c>
      <c r="C56" s="20" t="s">
        <v>489</v>
      </c>
      <c r="D56" s="20" t="s">
        <v>469</v>
      </c>
      <c r="E56" s="20" t="s">
        <v>469</v>
      </c>
      <c r="F56" s="20" t="s">
        <v>516</v>
      </c>
      <c r="G56" s="20">
        <v>2026</v>
      </c>
      <c r="H56" s="20" t="s">
        <v>137</v>
      </c>
      <c r="I56" s="20" t="s">
        <v>138</v>
      </c>
      <c r="J56" s="20" t="s">
        <v>517</v>
      </c>
      <c r="K56" s="20"/>
      <c r="L56" s="20" t="s">
        <v>4</v>
      </c>
      <c r="M56" s="20" t="s">
        <v>85</v>
      </c>
      <c r="N56" s="22" t="s">
        <v>518</v>
      </c>
      <c r="O56" s="19" t="s">
        <v>519</v>
      </c>
      <c r="P56" s="17" t="s">
        <v>520</v>
      </c>
      <c r="Q56" s="14" t="s">
        <v>224</v>
      </c>
      <c r="R56" s="14" t="s">
        <v>225</v>
      </c>
      <c r="S56" s="14">
        <v>3154965337</v>
      </c>
      <c r="T56" s="18" t="s">
        <v>513</v>
      </c>
      <c r="U56" s="37" t="s">
        <v>521</v>
      </c>
      <c r="V56">
        <f t="shared" si="5"/>
        <v>30</v>
      </c>
      <c r="W56">
        <f t="shared" si="6"/>
        <v>7</v>
      </c>
      <c r="X56">
        <f t="shared" si="7"/>
        <v>2026</v>
      </c>
      <c r="Y56" t="str">
        <f t="shared" si="4"/>
        <v>30-2026</v>
      </c>
      <c r="Z56" t="s">
        <v>147</v>
      </c>
      <c r="AA56" t="s">
        <v>522</v>
      </c>
      <c r="AD56" t="s">
        <v>57</v>
      </c>
      <c r="AE56">
        <v>2</v>
      </c>
      <c r="AG56" t="s">
        <v>31</v>
      </c>
      <c r="AH56" t="s">
        <v>40</v>
      </c>
      <c r="AI56" s="23">
        <v>46237</v>
      </c>
      <c r="AM56"/>
      <c r="AN56" s="29"/>
    </row>
    <row r="57" spans="1:40" ht="18.95" customHeight="1">
      <c r="A57" s="20">
        <v>3679995</v>
      </c>
      <c r="B57" s="20" t="s">
        <v>71</v>
      </c>
      <c r="C57" s="20"/>
      <c r="D57" s="20" t="s">
        <v>469</v>
      </c>
      <c r="E57" s="20" t="s">
        <v>469</v>
      </c>
      <c r="F57" s="20" t="s">
        <v>523</v>
      </c>
      <c r="G57" s="20">
        <v>2026</v>
      </c>
      <c r="H57" s="20" t="s">
        <v>137</v>
      </c>
      <c r="I57" s="20" t="s">
        <v>138</v>
      </c>
      <c r="J57" s="20" t="s">
        <v>524</v>
      </c>
      <c r="K57" s="20"/>
      <c r="L57" s="20" t="s">
        <v>4</v>
      </c>
      <c r="M57" s="20" t="s">
        <v>85</v>
      </c>
      <c r="N57" s="22" t="s">
        <v>525</v>
      </c>
      <c r="O57" s="19" t="s">
        <v>473</v>
      </c>
      <c r="P57" s="17" t="s">
        <v>526</v>
      </c>
      <c r="Q57" s="14" t="s">
        <v>224</v>
      </c>
      <c r="R57" s="14" t="s">
        <v>225</v>
      </c>
      <c r="S57" s="14">
        <v>3132969330</v>
      </c>
      <c r="T57" s="18" t="s">
        <v>527</v>
      </c>
      <c r="U57" s="37" t="s">
        <v>528</v>
      </c>
      <c r="V57">
        <f t="shared" si="5"/>
        <v>30</v>
      </c>
      <c r="W57">
        <f t="shared" si="6"/>
        <v>7</v>
      </c>
      <c r="X57">
        <f t="shared" si="7"/>
        <v>2026</v>
      </c>
      <c r="Y57" t="str">
        <f t="shared" si="4"/>
        <v>30-2026</v>
      </c>
      <c r="Z57" t="s">
        <v>147</v>
      </c>
      <c r="AA57" t="s">
        <v>529</v>
      </c>
      <c r="AE57">
        <v>2</v>
      </c>
      <c r="AG57" t="s">
        <v>28</v>
      </c>
      <c r="AM57"/>
      <c r="AN57" s="29"/>
    </row>
    <row r="58" spans="1:40" ht="18.95" customHeight="1">
      <c r="A58" s="20">
        <v>3683298</v>
      </c>
      <c r="B58" s="20" t="s">
        <v>20</v>
      </c>
      <c r="C58" s="20" t="s">
        <v>162</v>
      </c>
      <c r="D58" s="20" t="s">
        <v>530</v>
      </c>
      <c r="E58" s="20" t="s">
        <v>530</v>
      </c>
      <c r="F58" s="20" t="s">
        <v>531</v>
      </c>
      <c r="G58" s="20">
        <v>2026</v>
      </c>
      <c r="H58" s="20" t="s">
        <v>137</v>
      </c>
      <c r="I58" s="20" t="s">
        <v>138</v>
      </c>
      <c r="J58" s="20" t="s">
        <v>532</v>
      </c>
      <c r="K58" s="20"/>
      <c r="L58" s="20" t="s">
        <v>6</v>
      </c>
      <c r="M58" s="20" t="s">
        <v>165</v>
      </c>
      <c r="N58" s="22" t="s">
        <v>533</v>
      </c>
      <c r="O58" s="19" t="s">
        <v>499</v>
      </c>
      <c r="P58" s="17" t="s">
        <v>534</v>
      </c>
      <c r="Q58" s="14" t="s">
        <v>168</v>
      </c>
      <c r="R58" s="14" t="s">
        <v>535</v>
      </c>
      <c r="S58" s="14" t="s">
        <v>536</v>
      </c>
      <c r="T58" s="18" t="s">
        <v>537</v>
      </c>
      <c r="U58" s="37" t="s">
        <v>538</v>
      </c>
      <c r="V58">
        <f t="shared" si="5"/>
        <v>30</v>
      </c>
      <c r="W58">
        <f t="shared" si="6"/>
        <v>7</v>
      </c>
      <c r="X58">
        <f t="shared" si="7"/>
        <v>2026</v>
      </c>
      <c r="Y58" t="str">
        <f t="shared" si="4"/>
        <v>30-2026</v>
      </c>
      <c r="Z58" t="s">
        <v>255</v>
      </c>
      <c r="AA58" t="s">
        <v>539</v>
      </c>
      <c r="AC58" t="s">
        <v>540</v>
      </c>
      <c r="AD58" t="s">
        <v>58</v>
      </c>
      <c r="AE58">
        <v>2</v>
      </c>
      <c r="AF58" t="s">
        <v>50</v>
      </c>
      <c r="AM58"/>
      <c r="AN58" s="29"/>
    </row>
    <row r="59" spans="1:40" ht="18.95" customHeight="1">
      <c r="A59" s="20">
        <v>3683348</v>
      </c>
      <c r="B59" s="20" t="s">
        <v>68</v>
      </c>
      <c r="C59" s="20" t="s">
        <v>541</v>
      </c>
      <c r="D59" s="20" t="s">
        <v>530</v>
      </c>
      <c r="E59" s="20" t="s">
        <v>530</v>
      </c>
      <c r="F59" s="20" t="s">
        <v>542</v>
      </c>
      <c r="G59" s="20">
        <v>2026</v>
      </c>
      <c r="H59" s="20" t="s">
        <v>137</v>
      </c>
      <c r="I59" s="20" t="s">
        <v>138</v>
      </c>
      <c r="J59" s="20" t="s">
        <v>543</v>
      </c>
      <c r="K59" s="20" t="s">
        <v>544</v>
      </c>
      <c r="L59" s="20" t="s">
        <v>4</v>
      </c>
      <c r="M59" s="20" t="s">
        <v>85</v>
      </c>
      <c r="N59" s="22" t="s">
        <v>545</v>
      </c>
      <c r="O59" s="19" t="s">
        <v>473</v>
      </c>
      <c r="P59" s="17" t="s">
        <v>546</v>
      </c>
      <c r="Q59" s="14" t="s">
        <v>168</v>
      </c>
      <c r="R59" s="14" t="s">
        <v>480</v>
      </c>
      <c r="S59" s="14">
        <v>3214903514</v>
      </c>
      <c r="T59" s="18" t="s">
        <v>547</v>
      </c>
      <c r="U59" s="37" t="s">
        <v>548</v>
      </c>
      <c r="V59">
        <f t="shared" si="5"/>
        <v>30</v>
      </c>
      <c r="W59">
        <f t="shared" si="6"/>
        <v>7</v>
      </c>
      <c r="X59">
        <f t="shared" si="7"/>
        <v>2026</v>
      </c>
      <c r="Y59" t="str">
        <f t="shared" si="4"/>
        <v>30-2026</v>
      </c>
      <c r="Z59" t="s">
        <v>147</v>
      </c>
      <c r="AA59" t="s">
        <v>549</v>
      </c>
      <c r="AD59" t="s">
        <v>58</v>
      </c>
      <c r="AE59">
        <v>2</v>
      </c>
      <c r="AF59" t="s">
        <v>45</v>
      </c>
      <c r="AM59"/>
      <c r="AN59" s="29"/>
    </row>
    <row r="60" spans="1:40" ht="18.95" customHeight="1">
      <c r="A60" s="20">
        <v>3683607</v>
      </c>
      <c r="B60" s="14" t="s">
        <v>8</v>
      </c>
      <c r="C60" s="20" t="s">
        <v>81</v>
      </c>
      <c r="D60" s="20" t="s">
        <v>530</v>
      </c>
      <c r="E60" s="20" t="s">
        <v>530</v>
      </c>
      <c r="F60" s="20" t="s">
        <v>550</v>
      </c>
      <c r="G60" s="20">
        <v>2026</v>
      </c>
      <c r="H60" s="20" t="s">
        <v>137</v>
      </c>
      <c r="I60" s="20" t="s">
        <v>138</v>
      </c>
      <c r="J60" s="20" t="s">
        <v>551</v>
      </c>
      <c r="K60" s="20"/>
      <c r="L60" s="20" t="s">
        <v>4</v>
      </c>
      <c r="M60" s="20" t="s">
        <v>85</v>
      </c>
      <c r="N60" s="22"/>
      <c r="O60" s="19" t="s">
        <v>519</v>
      </c>
      <c r="P60" s="17" t="s">
        <v>552</v>
      </c>
      <c r="Q60" s="14" t="s">
        <v>168</v>
      </c>
      <c r="R60" s="14" t="s">
        <v>193</v>
      </c>
      <c r="S60" s="14">
        <v>3175022222</v>
      </c>
      <c r="T60" s="18">
        <v>3153522582</v>
      </c>
      <c r="U60" s="37" t="s">
        <v>553</v>
      </c>
      <c r="V60">
        <f t="shared" si="5"/>
        <v>30</v>
      </c>
      <c r="W60">
        <f t="shared" si="6"/>
        <v>7</v>
      </c>
      <c r="X60">
        <f t="shared" si="7"/>
        <v>2026</v>
      </c>
      <c r="Y60" t="str">
        <f t="shared" si="4"/>
        <v>30-2026</v>
      </c>
      <c r="Z60" t="s">
        <v>147</v>
      </c>
      <c r="AD60" t="s">
        <v>57</v>
      </c>
      <c r="AE60">
        <v>2</v>
      </c>
      <c r="AG60" t="s">
        <v>31</v>
      </c>
      <c r="AH60" t="s">
        <v>44</v>
      </c>
      <c r="AI60" s="23">
        <v>46232</v>
      </c>
      <c r="AJ60" s="23"/>
      <c r="AM60"/>
      <c r="AN60" s="29"/>
    </row>
    <row r="61" spans="1:40" ht="18.95" customHeight="1">
      <c r="A61" s="20">
        <v>3683610</v>
      </c>
      <c r="B61" s="20" t="s">
        <v>70</v>
      </c>
      <c r="C61" s="20" t="s">
        <v>554</v>
      </c>
      <c r="D61" s="20" t="s">
        <v>530</v>
      </c>
      <c r="E61" s="20" t="s">
        <v>530</v>
      </c>
      <c r="F61" s="20" t="s">
        <v>555</v>
      </c>
      <c r="G61" s="20">
        <v>2026</v>
      </c>
      <c r="H61" s="20" t="s">
        <v>137</v>
      </c>
      <c r="I61" s="20" t="s">
        <v>138</v>
      </c>
      <c r="J61" s="20" t="s">
        <v>556</v>
      </c>
      <c r="K61" s="20" t="s">
        <v>557</v>
      </c>
      <c r="L61" s="20" t="s">
        <v>4</v>
      </c>
      <c r="M61" s="20" t="s">
        <v>85</v>
      </c>
      <c r="N61" s="22" t="s">
        <v>558</v>
      </c>
      <c r="O61" s="19" t="s">
        <v>519</v>
      </c>
      <c r="P61" s="17" t="s">
        <v>559</v>
      </c>
      <c r="Q61" s="14" t="s">
        <v>143</v>
      </c>
      <c r="R61" s="14" t="s">
        <v>144</v>
      </c>
      <c r="S61" s="14">
        <v>3186280302</v>
      </c>
      <c r="T61" s="18" t="s">
        <v>560</v>
      </c>
      <c r="U61" s="37" t="s">
        <v>561</v>
      </c>
      <c r="V61">
        <f t="shared" si="5"/>
        <v>30</v>
      </c>
      <c r="W61">
        <f t="shared" si="6"/>
        <v>7</v>
      </c>
      <c r="X61">
        <f t="shared" si="7"/>
        <v>2026</v>
      </c>
      <c r="Y61" t="str">
        <f t="shared" si="4"/>
        <v>30-2026</v>
      </c>
      <c r="Z61" t="s">
        <v>147</v>
      </c>
      <c r="AA61" t="s">
        <v>562</v>
      </c>
      <c r="AD61" t="s">
        <v>57</v>
      </c>
      <c r="AE61">
        <v>2</v>
      </c>
      <c r="AG61" t="s">
        <v>28</v>
      </c>
      <c r="AH61" t="s">
        <v>36</v>
      </c>
      <c r="AI61" s="23">
        <v>46233</v>
      </c>
      <c r="AJ61" s="23"/>
      <c r="AM61"/>
      <c r="AN61" s="29"/>
    </row>
    <row r="62" spans="1:40" ht="18.95" customHeight="1">
      <c r="A62" s="20">
        <v>3683591</v>
      </c>
      <c r="B62" s="20" t="s">
        <v>13</v>
      </c>
      <c r="C62" s="20" t="s">
        <v>134</v>
      </c>
      <c r="D62" s="20" t="s">
        <v>530</v>
      </c>
      <c r="E62" s="20" t="s">
        <v>530</v>
      </c>
      <c r="F62" s="20" t="s">
        <v>563</v>
      </c>
      <c r="G62" s="20">
        <v>2026</v>
      </c>
      <c r="H62" s="20" t="s">
        <v>137</v>
      </c>
      <c r="I62" s="20" t="s">
        <v>138</v>
      </c>
      <c r="J62" s="20" t="s">
        <v>139</v>
      </c>
      <c r="K62" s="20" t="s">
        <v>564</v>
      </c>
      <c r="L62" s="20" t="s">
        <v>5</v>
      </c>
      <c r="M62" s="20" t="s">
        <v>140</v>
      </c>
      <c r="N62" s="22" t="s">
        <v>565</v>
      </c>
      <c r="O62" s="19" t="s">
        <v>566</v>
      </c>
      <c r="P62" s="17" t="s">
        <v>567</v>
      </c>
      <c r="Q62" s="14" t="s">
        <v>143</v>
      </c>
      <c r="R62" s="14" t="s">
        <v>144</v>
      </c>
      <c r="S62" s="14">
        <v>3202129355</v>
      </c>
      <c r="T62" s="18">
        <v>3202129355</v>
      </c>
      <c r="U62" s="37" t="s">
        <v>568</v>
      </c>
      <c r="V62">
        <f t="shared" si="5"/>
        <v>30</v>
      </c>
      <c r="W62">
        <f t="shared" si="6"/>
        <v>7</v>
      </c>
      <c r="X62">
        <f t="shared" si="7"/>
        <v>2026</v>
      </c>
      <c r="Y62" t="str">
        <f t="shared" si="4"/>
        <v>30-2026</v>
      </c>
      <c r="Z62" t="s">
        <v>147</v>
      </c>
      <c r="AA62" t="s">
        <v>569</v>
      </c>
      <c r="AD62" t="s">
        <v>57</v>
      </c>
      <c r="AE62">
        <v>2</v>
      </c>
      <c r="AF62" t="s">
        <v>35</v>
      </c>
      <c r="AG62" t="s">
        <v>28</v>
      </c>
      <c r="AH62" t="s">
        <v>38</v>
      </c>
      <c r="AI62" s="23">
        <v>46237</v>
      </c>
      <c r="AJ62" s="23"/>
      <c r="AL62" t="s">
        <v>58</v>
      </c>
      <c r="AM62"/>
      <c r="AN62" s="29" t="s">
        <v>570</v>
      </c>
    </row>
    <row r="63" spans="1:40" ht="18.95" customHeight="1">
      <c r="A63" s="20">
        <v>3683612</v>
      </c>
      <c r="B63" s="14" t="s">
        <v>8</v>
      </c>
      <c r="C63" s="20" t="s">
        <v>81</v>
      </c>
      <c r="D63" s="20" t="s">
        <v>530</v>
      </c>
      <c r="E63" s="20" t="s">
        <v>530</v>
      </c>
      <c r="F63" s="20" t="s">
        <v>571</v>
      </c>
      <c r="G63" s="20">
        <v>2026</v>
      </c>
      <c r="H63" s="20" t="s">
        <v>137</v>
      </c>
      <c r="I63" s="20" t="s">
        <v>138</v>
      </c>
      <c r="J63" s="20" t="s">
        <v>572</v>
      </c>
      <c r="K63" s="20"/>
      <c r="L63" s="20" t="s">
        <v>4</v>
      </c>
      <c r="M63" s="20" t="s">
        <v>85</v>
      </c>
      <c r="N63" s="22"/>
      <c r="O63" s="19" t="s">
        <v>519</v>
      </c>
      <c r="P63" s="17" t="s">
        <v>573</v>
      </c>
      <c r="Q63" s="14" t="s">
        <v>224</v>
      </c>
      <c r="R63" s="14" t="s">
        <v>225</v>
      </c>
      <c r="S63" s="14">
        <v>3503394887</v>
      </c>
      <c r="T63" s="18">
        <v>3503394887</v>
      </c>
      <c r="U63" s="37" t="s">
        <v>574</v>
      </c>
      <c r="V63">
        <f t="shared" si="5"/>
        <v>30</v>
      </c>
      <c r="W63">
        <f t="shared" si="6"/>
        <v>7</v>
      </c>
      <c r="X63">
        <f t="shared" si="7"/>
        <v>2026</v>
      </c>
      <c r="Y63" t="str">
        <f t="shared" si="4"/>
        <v>30-2026</v>
      </c>
      <c r="Z63" t="s">
        <v>147</v>
      </c>
      <c r="AD63" t="s">
        <v>57</v>
      </c>
      <c r="AE63">
        <v>2</v>
      </c>
      <c r="AG63" t="s">
        <v>34</v>
      </c>
      <c r="AM63"/>
      <c r="AN63" s="29"/>
    </row>
    <row r="64" spans="1:40" ht="18.95" customHeight="1">
      <c r="A64" s="20">
        <v>3686736</v>
      </c>
      <c r="B64" s="20" t="s">
        <v>67</v>
      </c>
      <c r="C64" s="20" t="s">
        <v>433</v>
      </c>
      <c r="D64" s="20" t="s">
        <v>575</v>
      </c>
      <c r="E64" s="20" t="s">
        <v>575</v>
      </c>
      <c r="F64" s="20" t="s">
        <v>576</v>
      </c>
      <c r="G64" s="20">
        <v>2026</v>
      </c>
      <c r="H64" s="20" t="s">
        <v>137</v>
      </c>
      <c r="I64" s="20" t="s">
        <v>138</v>
      </c>
      <c r="J64" s="20" t="s">
        <v>577</v>
      </c>
      <c r="K64" s="20"/>
      <c r="L64" s="20" t="s">
        <v>4</v>
      </c>
      <c r="M64" s="20" t="s">
        <v>85</v>
      </c>
      <c r="N64" s="22" t="s">
        <v>578</v>
      </c>
      <c r="O64" s="19" t="s">
        <v>519</v>
      </c>
      <c r="P64" s="17" t="s">
        <v>579</v>
      </c>
      <c r="Q64" s="14" t="s">
        <v>143</v>
      </c>
      <c r="R64" s="14" t="s">
        <v>144</v>
      </c>
      <c r="S64" s="14" t="s">
        <v>580</v>
      </c>
      <c r="T64" s="18" t="s">
        <v>363</v>
      </c>
      <c r="U64" s="37" t="s">
        <v>581</v>
      </c>
      <c r="V64">
        <f t="shared" si="5"/>
        <v>30</v>
      </c>
      <c r="W64">
        <f t="shared" si="6"/>
        <v>7</v>
      </c>
      <c r="X64">
        <f t="shared" si="7"/>
        <v>2026</v>
      </c>
      <c r="Y64" t="str">
        <f t="shared" si="4"/>
        <v>30-2026</v>
      </c>
      <c r="Z64" t="s">
        <v>147</v>
      </c>
      <c r="AA64" t="s">
        <v>582</v>
      </c>
      <c r="AD64" t="s">
        <v>57</v>
      </c>
      <c r="AE64">
        <v>2</v>
      </c>
      <c r="AG64" t="s">
        <v>28</v>
      </c>
      <c r="AH64" t="s">
        <v>36</v>
      </c>
      <c r="AI64" s="23">
        <v>46233</v>
      </c>
      <c r="AJ64" s="23"/>
      <c r="AM64"/>
      <c r="AN64" s="29"/>
    </row>
    <row r="65" spans="1:40" ht="18.95" customHeight="1">
      <c r="A65" s="20">
        <v>3687074</v>
      </c>
      <c r="B65" s="20" t="s">
        <v>73</v>
      </c>
      <c r="C65" s="20" t="s">
        <v>583</v>
      </c>
      <c r="D65" s="20" t="s">
        <v>575</v>
      </c>
      <c r="E65" s="20" t="s">
        <v>575</v>
      </c>
      <c r="F65" s="20" t="s">
        <v>584</v>
      </c>
      <c r="G65" s="20">
        <v>2026</v>
      </c>
      <c r="H65" s="20" t="s">
        <v>137</v>
      </c>
      <c r="I65" s="20" t="s">
        <v>138</v>
      </c>
      <c r="J65" s="20" t="s">
        <v>585</v>
      </c>
      <c r="K65" s="20" t="s">
        <v>586</v>
      </c>
      <c r="L65" s="20" t="s">
        <v>6</v>
      </c>
      <c r="M65" s="20" t="s">
        <v>83</v>
      </c>
      <c r="N65" s="22"/>
      <c r="O65" s="19" t="s">
        <v>499</v>
      </c>
      <c r="P65" s="17" t="s">
        <v>587</v>
      </c>
      <c r="Q65" s="14" t="s">
        <v>143</v>
      </c>
      <c r="R65" s="14" t="s">
        <v>144</v>
      </c>
      <c r="S65" s="14">
        <v>3133263867</v>
      </c>
      <c r="T65" s="18" t="s">
        <v>460</v>
      </c>
      <c r="U65" s="37" t="s">
        <v>588</v>
      </c>
      <c r="V65">
        <f t="shared" si="5"/>
        <v>30</v>
      </c>
      <c r="W65">
        <f t="shared" si="6"/>
        <v>7</v>
      </c>
      <c r="X65">
        <f t="shared" si="7"/>
        <v>2026</v>
      </c>
      <c r="Y65" t="str">
        <f t="shared" si="4"/>
        <v>30-2026</v>
      </c>
      <c r="Z65" t="s">
        <v>147</v>
      </c>
      <c r="AD65" t="s">
        <v>57</v>
      </c>
      <c r="AE65">
        <v>2</v>
      </c>
      <c r="AG65" t="s">
        <v>31</v>
      </c>
      <c r="AH65" t="s">
        <v>42</v>
      </c>
      <c r="AI65" s="23">
        <v>46233</v>
      </c>
      <c r="AJ65" s="23"/>
      <c r="AM65"/>
      <c r="AN65" s="29"/>
    </row>
    <row r="66" spans="1:40" ht="18.95" customHeight="1">
      <c r="A66" s="20">
        <v>3687128</v>
      </c>
      <c r="B66" s="20" t="s">
        <v>68</v>
      </c>
      <c r="C66" s="20" t="s">
        <v>541</v>
      </c>
      <c r="D66" s="20" t="s">
        <v>575</v>
      </c>
      <c r="E66" s="20" t="s">
        <v>575</v>
      </c>
      <c r="F66" s="20" t="s">
        <v>589</v>
      </c>
      <c r="G66" s="20">
        <v>2026</v>
      </c>
      <c r="H66" s="20" t="s">
        <v>137</v>
      </c>
      <c r="I66" s="20" t="s">
        <v>138</v>
      </c>
      <c r="J66" s="20" t="s">
        <v>590</v>
      </c>
      <c r="K66" s="20"/>
      <c r="L66" s="20" t="s">
        <v>4</v>
      </c>
      <c r="M66" s="20" t="s">
        <v>85</v>
      </c>
      <c r="N66" s="22" t="s">
        <v>591</v>
      </c>
      <c r="O66" s="19" t="s">
        <v>473</v>
      </c>
      <c r="P66" s="17" t="s">
        <v>592</v>
      </c>
      <c r="Q66" s="14" t="s">
        <v>224</v>
      </c>
      <c r="R66" s="14" t="s">
        <v>225</v>
      </c>
      <c r="S66" s="14" t="s">
        <v>593</v>
      </c>
      <c r="T66" s="18" t="s">
        <v>594</v>
      </c>
      <c r="U66" s="37" t="s">
        <v>595</v>
      </c>
      <c r="V66">
        <f t="shared" ref="V66:V97" si="8">WEEKNUM(E66)</f>
        <v>30</v>
      </c>
      <c r="W66">
        <f t="shared" ref="W66:W97" si="9">MONTH(E66)</f>
        <v>7</v>
      </c>
      <c r="X66">
        <f t="shared" ref="X66:X97" si="10">YEAR(E66)</f>
        <v>2026</v>
      </c>
      <c r="Y66" t="str">
        <f t="shared" si="4"/>
        <v>30-2026</v>
      </c>
      <c r="Z66" t="s">
        <v>147</v>
      </c>
      <c r="AA66" t="s">
        <v>596</v>
      </c>
      <c r="AD66" t="s">
        <v>57</v>
      </c>
      <c r="AE66">
        <v>2</v>
      </c>
      <c r="AG66" t="s">
        <v>28</v>
      </c>
      <c r="AH66" t="s">
        <v>44</v>
      </c>
      <c r="AI66" s="23">
        <v>46231</v>
      </c>
      <c r="AJ66" s="23"/>
      <c r="AM66"/>
      <c r="AN66" s="29"/>
    </row>
    <row r="67" spans="1:40" ht="29.1">
      <c r="A67" s="14">
        <v>3687196</v>
      </c>
      <c r="B67" s="14" t="s">
        <v>76</v>
      </c>
      <c r="C67" s="14" t="s">
        <v>597</v>
      </c>
      <c r="D67" s="27">
        <v>46227</v>
      </c>
      <c r="E67" s="24">
        <v>46227</v>
      </c>
      <c r="F67" s="25">
        <v>0.65347222222222223</v>
      </c>
      <c r="G67" s="14">
        <v>2026</v>
      </c>
      <c r="H67" s="14" t="s">
        <v>137</v>
      </c>
      <c r="I67" s="18" t="s">
        <v>138</v>
      </c>
      <c r="J67" s="21" t="s">
        <v>598</v>
      </c>
      <c r="K67" s="22"/>
      <c r="L67" s="19" t="s">
        <v>6</v>
      </c>
      <c r="M67" s="18" t="s">
        <v>165</v>
      </c>
      <c r="N67" s="22" t="s">
        <v>599</v>
      </c>
      <c r="O67" s="22" t="s">
        <v>499</v>
      </c>
      <c r="P67" s="17" t="s">
        <v>600</v>
      </c>
      <c r="Q67" s="22" t="s">
        <v>143</v>
      </c>
      <c r="R67" s="14" t="s">
        <v>144</v>
      </c>
      <c r="S67" s="26">
        <v>3024234177</v>
      </c>
      <c r="T67" s="34">
        <v>3024234177</v>
      </c>
      <c r="U67" s="37" t="s">
        <v>601</v>
      </c>
      <c r="V67">
        <f t="shared" si="8"/>
        <v>30</v>
      </c>
      <c r="W67">
        <f t="shared" si="9"/>
        <v>7</v>
      </c>
      <c r="X67">
        <f t="shared" si="10"/>
        <v>2026</v>
      </c>
      <c r="Y67" t="str">
        <f t="shared" ref="Y67:Y108" si="11">_xlfn.CONCAT(V67,"-",X67)</f>
        <v>30-2026</v>
      </c>
      <c r="Z67" t="s">
        <v>147</v>
      </c>
      <c r="AD67" t="s">
        <v>58</v>
      </c>
      <c r="AE67">
        <v>2</v>
      </c>
      <c r="AF67" t="s">
        <v>29</v>
      </c>
      <c r="AG67" t="s">
        <v>34</v>
      </c>
      <c r="AM67"/>
      <c r="AN67" s="29"/>
    </row>
    <row r="68" spans="1:40" ht="29.1">
      <c r="A68" s="14">
        <v>3687205</v>
      </c>
      <c r="B68" s="14" t="s">
        <v>72</v>
      </c>
      <c r="C68" s="14" t="s">
        <v>602</v>
      </c>
      <c r="D68" s="27">
        <v>46227</v>
      </c>
      <c r="E68" s="24">
        <v>46227</v>
      </c>
      <c r="F68" s="25">
        <v>0.66388888888888886</v>
      </c>
      <c r="G68" s="14">
        <v>2026</v>
      </c>
      <c r="H68" s="14" t="s">
        <v>137</v>
      </c>
      <c r="I68" s="18" t="s">
        <v>138</v>
      </c>
      <c r="J68" s="21" t="s">
        <v>603</v>
      </c>
      <c r="K68" s="22"/>
      <c r="L68" s="19" t="s">
        <v>6</v>
      </c>
      <c r="M68" s="18" t="s">
        <v>165</v>
      </c>
      <c r="N68" s="22"/>
      <c r="O68" s="22" t="s">
        <v>499</v>
      </c>
      <c r="P68" s="17" t="s">
        <v>604</v>
      </c>
      <c r="Q68" s="22" t="s">
        <v>605</v>
      </c>
      <c r="R68" s="14" t="s">
        <v>480</v>
      </c>
      <c r="S68" s="26" t="s">
        <v>606</v>
      </c>
      <c r="T68" s="34" t="s">
        <v>607</v>
      </c>
      <c r="U68" s="37" t="s">
        <v>608</v>
      </c>
      <c r="V68">
        <f t="shared" si="8"/>
        <v>30</v>
      </c>
      <c r="W68">
        <f t="shared" si="9"/>
        <v>7</v>
      </c>
      <c r="X68">
        <f t="shared" si="10"/>
        <v>2026</v>
      </c>
      <c r="Y68" t="str">
        <f t="shared" si="11"/>
        <v>30-2026</v>
      </c>
      <c r="Z68" t="s">
        <v>147</v>
      </c>
      <c r="AD68" t="s">
        <v>57</v>
      </c>
      <c r="AE68">
        <v>2</v>
      </c>
      <c r="AG68" t="s">
        <v>31</v>
      </c>
      <c r="AH68" t="s">
        <v>38</v>
      </c>
      <c r="AI68" s="23">
        <v>46233</v>
      </c>
      <c r="AJ68" s="23"/>
      <c r="AM68"/>
      <c r="AN68" s="29"/>
    </row>
    <row r="69" spans="1:40" ht="29.1">
      <c r="A69" s="14">
        <v>3687227</v>
      </c>
      <c r="B69" s="14" t="s">
        <v>67</v>
      </c>
      <c r="C69" s="14" t="s">
        <v>433</v>
      </c>
      <c r="D69" s="27">
        <v>46227</v>
      </c>
      <c r="E69" s="24">
        <v>46227</v>
      </c>
      <c r="F69" s="25">
        <v>0.7104166666666667</v>
      </c>
      <c r="G69" s="14">
        <v>2026</v>
      </c>
      <c r="H69" s="14" t="s">
        <v>137</v>
      </c>
      <c r="I69" s="18" t="s">
        <v>138</v>
      </c>
      <c r="J69" s="21" t="s">
        <v>609</v>
      </c>
      <c r="K69" s="22"/>
      <c r="L69" s="19" t="s">
        <v>4</v>
      </c>
      <c r="M69" s="18" t="s">
        <v>85</v>
      </c>
      <c r="N69" s="22"/>
      <c r="O69" s="22" t="s">
        <v>519</v>
      </c>
      <c r="P69" s="17" t="s">
        <v>610</v>
      </c>
      <c r="Q69" s="22" t="s">
        <v>224</v>
      </c>
      <c r="R69" s="14" t="s">
        <v>225</v>
      </c>
      <c r="S69" s="26">
        <v>3024817872</v>
      </c>
      <c r="T69" s="34" t="s">
        <v>487</v>
      </c>
      <c r="U69" s="37" t="s">
        <v>611</v>
      </c>
      <c r="V69">
        <f t="shared" si="8"/>
        <v>30</v>
      </c>
      <c r="W69">
        <f t="shared" si="9"/>
        <v>7</v>
      </c>
      <c r="X69">
        <f t="shared" si="10"/>
        <v>2026</v>
      </c>
      <c r="Y69" t="str">
        <f t="shared" si="11"/>
        <v>30-2026</v>
      </c>
      <c r="Z69" t="s">
        <v>147</v>
      </c>
      <c r="AD69" t="s">
        <v>58</v>
      </c>
      <c r="AE69">
        <v>2</v>
      </c>
      <c r="AF69" t="s">
        <v>37</v>
      </c>
      <c r="AG69" t="s">
        <v>28</v>
      </c>
      <c r="AM69"/>
      <c r="AN69" s="29"/>
    </row>
    <row r="70" spans="1:40" ht="29.1">
      <c r="A70" s="14">
        <v>3687230</v>
      </c>
      <c r="B70" s="14" t="s">
        <v>78</v>
      </c>
      <c r="C70" s="14" t="s">
        <v>612</v>
      </c>
      <c r="D70" s="27">
        <v>46227</v>
      </c>
      <c r="E70" s="24">
        <v>46227</v>
      </c>
      <c r="F70" s="25">
        <v>0.72291666666666665</v>
      </c>
      <c r="G70" s="14">
        <v>2026</v>
      </c>
      <c r="H70" s="14" t="s">
        <v>137</v>
      </c>
      <c r="I70" s="18" t="s">
        <v>138</v>
      </c>
      <c r="J70" s="21" t="s">
        <v>613</v>
      </c>
      <c r="K70" s="22"/>
      <c r="L70" s="19" t="s">
        <v>4</v>
      </c>
      <c r="M70" s="18" t="s">
        <v>85</v>
      </c>
      <c r="N70" s="22"/>
      <c r="O70" s="22" t="s">
        <v>473</v>
      </c>
      <c r="P70" s="17" t="s">
        <v>614</v>
      </c>
      <c r="Q70" s="22" t="s">
        <v>143</v>
      </c>
      <c r="R70" s="14" t="s">
        <v>144</v>
      </c>
      <c r="S70" s="26">
        <v>3114910947</v>
      </c>
      <c r="T70" s="34" t="s">
        <v>453</v>
      </c>
      <c r="U70" s="37" t="s">
        <v>615</v>
      </c>
      <c r="V70">
        <f t="shared" si="8"/>
        <v>30</v>
      </c>
      <c r="W70">
        <f t="shared" si="9"/>
        <v>7</v>
      </c>
      <c r="X70">
        <f t="shared" si="10"/>
        <v>2026</v>
      </c>
      <c r="Y70" t="str">
        <f t="shared" si="11"/>
        <v>30-2026</v>
      </c>
      <c r="Z70" t="s">
        <v>255</v>
      </c>
      <c r="AC70" t="s">
        <v>616</v>
      </c>
      <c r="AD70" t="s">
        <v>58</v>
      </c>
      <c r="AE70">
        <v>2</v>
      </c>
      <c r="AF70" t="s">
        <v>50</v>
      </c>
      <c r="AM70"/>
      <c r="AN70" s="29"/>
    </row>
    <row r="71" spans="1:40" ht="22.5" customHeight="1">
      <c r="A71" s="14">
        <v>3687232</v>
      </c>
      <c r="B71" s="14" t="s">
        <v>71</v>
      </c>
      <c r="C71" s="14"/>
      <c r="D71" s="27">
        <v>46227</v>
      </c>
      <c r="E71" s="24">
        <v>46227</v>
      </c>
      <c r="F71" s="25">
        <v>0.72361111111111109</v>
      </c>
      <c r="G71" s="14">
        <v>2026</v>
      </c>
      <c r="H71" s="14" t="s">
        <v>137</v>
      </c>
      <c r="I71" s="18" t="s">
        <v>138</v>
      </c>
      <c r="J71" s="21" t="s">
        <v>617</v>
      </c>
      <c r="K71" s="22"/>
      <c r="L71" s="19" t="s">
        <v>4</v>
      </c>
      <c r="M71" s="18" t="s">
        <v>85</v>
      </c>
      <c r="N71" s="22" t="s">
        <v>618</v>
      </c>
      <c r="O71" s="22" t="s">
        <v>473</v>
      </c>
      <c r="P71" s="17" t="s">
        <v>619</v>
      </c>
      <c r="Q71" s="22" t="s">
        <v>224</v>
      </c>
      <c r="R71" s="14" t="s">
        <v>144</v>
      </c>
      <c r="S71" s="26">
        <v>3142715094</v>
      </c>
      <c r="T71" s="34" t="s">
        <v>453</v>
      </c>
      <c r="U71" s="37" t="s">
        <v>620</v>
      </c>
      <c r="V71">
        <f t="shared" si="8"/>
        <v>30</v>
      </c>
      <c r="W71">
        <f t="shared" si="9"/>
        <v>7</v>
      </c>
      <c r="X71">
        <f t="shared" si="10"/>
        <v>2026</v>
      </c>
      <c r="Y71" t="str">
        <f t="shared" si="11"/>
        <v>30-2026</v>
      </c>
      <c r="Z71" t="s">
        <v>147</v>
      </c>
      <c r="AD71" t="s">
        <v>58</v>
      </c>
      <c r="AE71">
        <v>2</v>
      </c>
      <c r="AF71" t="s">
        <v>29</v>
      </c>
      <c r="AG71" t="s">
        <v>34</v>
      </c>
      <c r="AM71"/>
      <c r="AN71" s="29"/>
    </row>
    <row r="72" spans="1:40" ht="29.1">
      <c r="A72" s="14">
        <v>3687233</v>
      </c>
      <c r="B72" s="14" t="s">
        <v>78</v>
      </c>
      <c r="C72" s="14" t="s">
        <v>612</v>
      </c>
      <c r="D72" s="27">
        <v>46227</v>
      </c>
      <c r="E72" s="24">
        <v>46227</v>
      </c>
      <c r="F72" s="25">
        <v>0.72777777777777775</v>
      </c>
      <c r="G72" s="14">
        <v>2026</v>
      </c>
      <c r="H72" s="14" t="s">
        <v>137</v>
      </c>
      <c r="I72" s="18" t="s">
        <v>138</v>
      </c>
      <c r="J72" s="21" t="s">
        <v>621</v>
      </c>
      <c r="K72" s="22"/>
      <c r="L72" s="19" t="s">
        <v>4</v>
      </c>
      <c r="M72" s="18" t="s">
        <v>85</v>
      </c>
      <c r="N72" s="22"/>
      <c r="O72" s="22" t="s">
        <v>473</v>
      </c>
      <c r="P72" s="17" t="s">
        <v>622</v>
      </c>
      <c r="Q72" s="22" t="s">
        <v>143</v>
      </c>
      <c r="R72" s="14" t="s">
        <v>144</v>
      </c>
      <c r="S72" s="26" t="s">
        <v>623</v>
      </c>
      <c r="T72" s="34" t="s">
        <v>453</v>
      </c>
      <c r="U72" s="37" t="s">
        <v>624</v>
      </c>
      <c r="V72">
        <f t="shared" si="8"/>
        <v>30</v>
      </c>
      <c r="W72">
        <f t="shared" si="9"/>
        <v>7</v>
      </c>
      <c r="X72">
        <f t="shared" si="10"/>
        <v>2026</v>
      </c>
      <c r="Y72" t="str">
        <f t="shared" si="11"/>
        <v>30-2026</v>
      </c>
      <c r="Z72" t="s">
        <v>147</v>
      </c>
      <c r="AD72" t="s">
        <v>57</v>
      </c>
      <c r="AE72">
        <v>2</v>
      </c>
      <c r="AG72" t="s">
        <v>31</v>
      </c>
      <c r="AH72" t="s">
        <v>33</v>
      </c>
      <c r="AI72" s="23">
        <v>46237</v>
      </c>
      <c r="AM72"/>
      <c r="AN72" s="29"/>
    </row>
    <row r="73" spans="1:40" ht="22.5" customHeight="1">
      <c r="A73" s="14">
        <v>3687238</v>
      </c>
      <c r="B73" s="14" t="s">
        <v>71</v>
      </c>
      <c r="C73" s="14"/>
      <c r="D73" s="27">
        <v>46227</v>
      </c>
      <c r="E73" s="24">
        <v>46227</v>
      </c>
      <c r="F73" s="25">
        <v>0.7319444444444444</v>
      </c>
      <c r="G73" s="14">
        <v>2026</v>
      </c>
      <c r="H73" s="14" t="s">
        <v>137</v>
      </c>
      <c r="I73" s="18" t="s">
        <v>138</v>
      </c>
      <c r="J73" s="21" t="s">
        <v>625</v>
      </c>
      <c r="K73" s="22"/>
      <c r="L73" s="19" t="s">
        <v>4</v>
      </c>
      <c r="M73" s="18" t="s">
        <v>85</v>
      </c>
      <c r="N73" s="22"/>
      <c r="O73" s="22" t="s">
        <v>473</v>
      </c>
      <c r="P73" s="17" t="s">
        <v>626</v>
      </c>
      <c r="Q73" s="22" t="s">
        <v>224</v>
      </c>
      <c r="R73" s="14" t="s">
        <v>225</v>
      </c>
      <c r="S73" s="26" t="s">
        <v>627</v>
      </c>
      <c r="T73" s="34" t="s">
        <v>628</v>
      </c>
      <c r="U73" s="37" t="s">
        <v>629</v>
      </c>
      <c r="V73">
        <f t="shared" si="8"/>
        <v>30</v>
      </c>
      <c r="W73">
        <f t="shared" si="9"/>
        <v>7</v>
      </c>
      <c r="X73">
        <f t="shared" si="10"/>
        <v>2026</v>
      </c>
      <c r="Y73" t="str">
        <f t="shared" si="11"/>
        <v>30-2026</v>
      </c>
      <c r="Z73" t="s">
        <v>147</v>
      </c>
      <c r="AD73" t="s">
        <v>57</v>
      </c>
      <c r="AE73">
        <v>2</v>
      </c>
      <c r="AG73" t="s">
        <v>28</v>
      </c>
      <c r="AH73" t="s">
        <v>33</v>
      </c>
      <c r="AI73" s="23">
        <v>46234</v>
      </c>
      <c r="AJ73" s="23"/>
      <c r="AM73"/>
      <c r="AN73" s="29"/>
    </row>
    <row r="74" spans="1:40" ht="29.1">
      <c r="A74" s="14">
        <v>3687240</v>
      </c>
      <c r="B74" s="14" t="s">
        <v>79</v>
      </c>
      <c r="C74" s="14" t="s">
        <v>630</v>
      </c>
      <c r="D74" s="27">
        <v>46227</v>
      </c>
      <c r="E74" s="24">
        <v>46227</v>
      </c>
      <c r="F74" s="25">
        <v>0.73263888888888884</v>
      </c>
      <c r="G74" s="14">
        <v>2026</v>
      </c>
      <c r="H74" s="14" t="s">
        <v>137</v>
      </c>
      <c r="I74" s="18" t="s">
        <v>138</v>
      </c>
      <c r="J74" s="21" t="s">
        <v>631</v>
      </c>
      <c r="K74" s="22"/>
      <c r="L74" s="19" t="s">
        <v>4</v>
      </c>
      <c r="M74" s="18" t="s">
        <v>85</v>
      </c>
      <c r="N74" s="22"/>
      <c r="O74" s="22" t="s">
        <v>519</v>
      </c>
      <c r="P74" s="17" t="s">
        <v>632</v>
      </c>
      <c r="Q74" s="22" t="s">
        <v>224</v>
      </c>
      <c r="R74" s="14" t="s">
        <v>193</v>
      </c>
      <c r="S74" s="26" t="s">
        <v>633</v>
      </c>
      <c r="T74" s="34" t="s">
        <v>634</v>
      </c>
      <c r="U74" s="37" t="s">
        <v>635</v>
      </c>
      <c r="V74">
        <f t="shared" si="8"/>
        <v>30</v>
      </c>
      <c r="W74">
        <f t="shared" si="9"/>
        <v>7</v>
      </c>
      <c r="X74">
        <f t="shared" si="10"/>
        <v>2026</v>
      </c>
      <c r="Y74" t="str">
        <f t="shared" si="11"/>
        <v>30-2026</v>
      </c>
      <c r="Z74" t="s">
        <v>147</v>
      </c>
      <c r="AD74" t="s">
        <v>57</v>
      </c>
      <c r="AE74">
        <v>2</v>
      </c>
      <c r="AG74" t="s">
        <v>31</v>
      </c>
      <c r="AH74" t="s">
        <v>36</v>
      </c>
      <c r="AI74" s="23">
        <v>46233</v>
      </c>
      <c r="AJ74" s="23"/>
      <c r="AM74"/>
      <c r="AN74" s="29"/>
    </row>
    <row r="75" spans="1:40" ht="29.1">
      <c r="A75" s="14">
        <v>3687244</v>
      </c>
      <c r="B75" s="14" t="s">
        <v>78</v>
      </c>
      <c r="C75" s="14" t="s">
        <v>612</v>
      </c>
      <c r="D75" s="27">
        <v>46227</v>
      </c>
      <c r="E75" s="24">
        <v>46227</v>
      </c>
      <c r="F75" s="25">
        <v>0.73958333333333337</v>
      </c>
      <c r="G75" s="14">
        <v>2026</v>
      </c>
      <c r="H75" s="14" t="s">
        <v>137</v>
      </c>
      <c r="I75" s="18" t="s">
        <v>138</v>
      </c>
      <c r="J75" s="21" t="s">
        <v>636</v>
      </c>
      <c r="K75" s="22"/>
      <c r="L75" s="19" t="s">
        <v>4</v>
      </c>
      <c r="M75" s="18" t="s">
        <v>85</v>
      </c>
      <c r="N75" s="22"/>
      <c r="O75" s="22" t="s">
        <v>473</v>
      </c>
      <c r="P75" s="17" t="s">
        <v>637</v>
      </c>
      <c r="Q75" s="22" t="s">
        <v>143</v>
      </c>
      <c r="R75" s="14" t="s">
        <v>144</v>
      </c>
      <c r="S75" s="26">
        <v>3105726862</v>
      </c>
      <c r="T75" s="34" t="s">
        <v>453</v>
      </c>
      <c r="U75" s="37" t="s">
        <v>638</v>
      </c>
      <c r="V75">
        <f t="shared" si="8"/>
        <v>30</v>
      </c>
      <c r="W75">
        <f t="shared" si="9"/>
        <v>7</v>
      </c>
      <c r="X75">
        <f t="shared" si="10"/>
        <v>2026</v>
      </c>
      <c r="Y75" t="str">
        <f t="shared" si="11"/>
        <v>30-2026</v>
      </c>
      <c r="Z75" t="s">
        <v>147</v>
      </c>
      <c r="AD75" t="s">
        <v>58</v>
      </c>
      <c r="AE75">
        <v>2</v>
      </c>
      <c r="AF75" t="s">
        <v>32</v>
      </c>
      <c r="AM75"/>
      <c r="AN75" s="29"/>
    </row>
    <row r="76" spans="1:40" ht="29.1">
      <c r="A76" s="14">
        <v>3687254</v>
      </c>
      <c r="B76" s="14" t="s">
        <v>67</v>
      </c>
      <c r="C76" s="14" t="s">
        <v>433</v>
      </c>
      <c r="D76" s="27">
        <v>46227</v>
      </c>
      <c r="E76" s="24">
        <v>46227</v>
      </c>
      <c r="F76" s="25">
        <v>0.7416666666666667</v>
      </c>
      <c r="G76" s="14">
        <v>2026</v>
      </c>
      <c r="H76" s="14" t="s">
        <v>137</v>
      </c>
      <c r="I76" s="18" t="s">
        <v>138</v>
      </c>
      <c r="J76" s="21" t="s">
        <v>639</v>
      </c>
      <c r="K76" s="22" t="s">
        <v>640</v>
      </c>
      <c r="L76" s="19" t="s">
        <v>4</v>
      </c>
      <c r="M76" s="18" t="s">
        <v>85</v>
      </c>
      <c r="N76" s="22" t="s">
        <v>641</v>
      </c>
      <c r="O76" s="22" t="s">
        <v>519</v>
      </c>
      <c r="P76" s="17" t="s">
        <v>642</v>
      </c>
      <c r="Q76" s="22" t="s">
        <v>143</v>
      </c>
      <c r="R76" s="14" t="s">
        <v>144</v>
      </c>
      <c r="S76" s="26">
        <v>3154720372</v>
      </c>
      <c r="T76" s="34" t="s">
        <v>643</v>
      </c>
      <c r="U76" s="37" t="s">
        <v>644</v>
      </c>
      <c r="V76">
        <f t="shared" si="8"/>
        <v>30</v>
      </c>
      <c r="W76">
        <f t="shared" si="9"/>
        <v>7</v>
      </c>
      <c r="X76">
        <f t="shared" si="10"/>
        <v>2026</v>
      </c>
      <c r="Y76" t="str">
        <f t="shared" si="11"/>
        <v>30-2026</v>
      </c>
      <c r="Z76" t="s">
        <v>147</v>
      </c>
      <c r="AD76" t="s">
        <v>58</v>
      </c>
      <c r="AE76">
        <v>2</v>
      </c>
      <c r="AF76" t="s">
        <v>29</v>
      </c>
      <c r="AM76"/>
      <c r="AN76" s="29"/>
    </row>
    <row r="77" spans="1:40" ht="29.1">
      <c r="A77" s="14">
        <v>3687255</v>
      </c>
      <c r="B77" s="14" t="s">
        <v>67</v>
      </c>
      <c r="C77" s="14" t="s">
        <v>433</v>
      </c>
      <c r="D77" s="27">
        <v>46227</v>
      </c>
      <c r="E77" s="24">
        <v>46227</v>
      </c>
      <c r="F77" s="25">
        <v>0.74444444444444446</v>
      </c>
      <c r="G77" s="14">
        <v>2026</v>
      </c>
      <c r="H77" s="14" t="s">
        <v>137</v>
      </c>
      <c r="I77" s="18" t="s">
        <v>138</v>
      </c>
      <c r="J77" s="21" t="s">
        <v>645</v>
      </c>
      <c r="K77" s="22"/>
      <c r="L77" s="19" t="s">
        <v>4</v>
      </c>
      <c r="M77" s="18" t="s">
        <v>85</v>
      </c>
      <c r="N77" s="22" t="s">
        <v>646</v>
      </c>
      <c r="O77" s="22" t="s">
        <v>519</v>
      </c>
      <c r="P77" s="17" t="s">
        <v>647</v>
      </c>
      <c r="Q77" s="22" t="s">
        <v>224</v>
      </c>
      <c r="R77" s="14" t="s">
        <v>501</v>
      </c>
      <c r="S77" s="26">
        <v>3142935162</v>
      </c>
      <c r="T77" s="34" t="s">
        <v>363</v>
      </c>
      <c r="U77" s="37" t="s">
        <v>648</v>
      </c>
      <c r="V77">
        <f t="shared" si="8"/>
        <v>30</v>
      </c>
      <c r="W77">
        <f t="shared" si="9"/>
        <v>7</v>
      </c>
      <c r="X77">
        <f t="shared" si="10"/>
        <v>2026</v>
      </c>
      <c r="Y77" t="str">
        <f t="shared" si="11"/>
        <v>30-2026</v>
      </c>
      <c r="Z77" t="s">
        <v>147</v>
      </c>
      <c r="AD77" t="s">
        <v>58</v>
      </c>
      <c r="AE77">
        <v>2</v>
      </c>
      <c r="AF77" t="s">
        <v>29</v>
      </c>
      <c r="AM77"/>
      <c r="AN77" s="29"/>
    </row>
    <row r="78" spans="1:40" ht="29.1">
      <c r="A78" s="14">
        <v>3687264</v>
      </c>
      <c r="B78" s="14" t="s">
        <v>8</v>
      </c>
      <c r="C78" s="14" t="s">
        <v>81</v>
      </c>
      <c r="D78" s="27">
        <v>46227</v>
      </c>
      <c r="E78" s="24">
        <v>46227</v>
      </c>
      <c r="F78" s="25">
        <v>0.75763888888888886</v>
      </c>
      <c r="G78" s="14">
        <v>2026</v>
      </c>
      <c r="H78" s="14" t="s">
        <v>137</v>
      </c>
      <c r="I78" s="18" t="s">
        <v>138</v>
      </c>
      <c r="J78" s="21" t="s">
        <v>649</v>
      </c>
      <c r="K78" s="22"/>
      <c r="L78" s="19" t="s">
        <v>4</v>
      </c>
      <c r="M78" s="18" t="s">
        <v>85</v>
      </c>
      <c r="N78" s="22"/>
      <c r="O78" s="22" t="s">
        <v>519</v>
      </c>
      <c r="P78" s="17" t="s">
        <v>650</v>
      </c>
      <c r="Q78" s="22" t="s">
        <v>224</v>
      </c>
      <c r="R78" s="14" t="s">
        <v>144</v>
      </c>
      <c r="S78" s="26">
        <v>3115734621</v>
      </c>
      <c r="T78" s="34">
        <v>3115734621</v>
      </c>
      <c r="U78" s="37" t="s">
        <v>651</v>
      </c>
      <c r="V78">
        <f t="shared" si="8"/>
        <v>30</v>
      </c>
      <c r="W78">
        <f t="shared" si="9"/>
        <v>7</v>
      </c>
      <c r="X78">
        <f t="shared" si="10"/>
        <v>2026</v>
      </c>
      <c r="Y78" t="str">
        <f t="shared" si="11"/>
        <v>30-2026</v>
      </c>
      <c r="Z78" t="s">
        <v>147</v>
      </c>
      <c r="AD78" t="s">
        <v>58</v>
      </c>
      <c r="AE78">
        <v>2</v>
      </c>
      <c r="AF78" t="s">
        <v>29</v>
      </c>
      <c r="AM78"/>
      <c r="AN78" s="29"/>
    </row>
    <row r="79" spans="1:40" ht="29.1">
      <c r="A79" s="14">
        <v>3690383</v>
      </c>
      <c r="B79" s="14" t="s">
        <v>78</v>
      </c>
      <c r="C79" s="14" t="s">
        <v>612</v>
      </c>
      <c r="D79" s="27">
        <v>46228</v>
      </c>
      <c r="E79" s="24">
        <v>46228</v>
      </c>
      <c r="F79" s="25">
        <v>0.38124999999999998</v>
      </c>
      <c r="G79" s="14">
        <v>2026</v>
      </c>
      <c r="H79" s="14" t="s">
        <v>137</v>
      </c>
      <c r="I79" s="18" t="s">
        <v>138</v>
      </c>
      <c r="J79" s="21" t="s">
        <v>652</v>
      </c>
      <c r="K79" s="22"/>
      <c r="L79" s="19" t="s">
        <v>5</v>
      </c>
      <c r="M79" s="18" t="s">
        <v>96</v>
      </c>
      <c r="N79" s="22" t="s">
        <v>653</v>
      </c>
      <c r="O79" s="22" t="s">
        <v>499</v>
      </c>
      <c r="P79" s="17" t="s">
        <v>654</v>
      </c>
      <c r="Q79" s="22" t="s">
        <v>605</v>
      </c>
      <c r="R79" s="14" t="s">
        <v>176</v>
      </c>
      <c r="S79" s="26">
        <v>3184196150</v>
      </c>
      <c r="T79" s="34" t="s">
        <v>453</v>
      </c>
      <c r="U79" s="37" t="s">
        <v>655</v>
      </c>
      <c r="V79">
        <f t="shared" si="8"/>
        <v>30</v>
      </c>
      <c r="W79">
        <f t="shared" si="9"/>
        <v>7</v>
      </c>
      <c r="X79">
        <f t="shared" si="10"/>
        <v>2026</v>
      </c>
      <c r="Y79" t="str">
        <f t="shared" si="11"/>
        <v>30-2026</v>
      </c>
      <c r="Z79" t="s">
        <v>147</v>
      </c>
      <c r="AD79" t="s">
        <v>59</v>
      </c>
      <c r="AE79">
        <v>2</v>
      </c>
      <c r="AG79" t="s">
        <v>34</v>
      </c>
      <c r="AM79"/>
      <c r="AN79" s="29"/>
    </row>
    <row r="80" spans="1:40" ht="26.1" customHeight="1">
      <c r="A80" s="14">
        <v>3690504</v>
      </c>
      <c r="B80" s="14" t="s">
        <v>64</v>
      </c>
      <c r="C80" s="14" t="s">
        <v>656</v>
      </c>
      <c r="D80" s="27">
        <v>46228</v>
      </c>
      <c r="E80" s="24">
        <v>46228</v>
      </c>
      <c r="F80" s="25">
        <v>0.56319444444444444</v>
      </c>
      <c r="G80" s="14">
        <v>2026</v>
      </c>
      <c r="H80" s="14" t="s">
        <v>137</v>
      </c>
      <c r="I80" s="18" t="s">
        <v>138</v>
      </c>
      <c r="J80" s="21" t="s">
        <v>657</v>
      </c>
      <c r="K80" s="22" t="s">
        <v>658</v>
      </c>
      <c r="L80" s="19" t="s">
        <v>4</v>
      </c>
      <c r="M80" s="18" t="s">
        <v>85</v>
      </c>
      <c r="N80" s="22" t="s">
        <v>659</v>
      </c>
      <c r="O80" s="22" t="s">
        <v>519</v>
      </c>
      <c r="P80" s="17" t="s">
        <v>660</v>
      </c>
      <c r="Q80" s="22" t="s">
        <v>143</v>
      </c>
      <c r="R80" s="14" t="s">
        <v>144</v>
      </c>
      <c r="S80" s="26">
        <v>3142980570</v>
      </c>
      <c r="T80" s="34" t="s">
        <v>453</v>
      </c>
      <c r="U80" s="37" t="s">
        <v>661</v>
      </c>
      <c r="V80">
        <f t="shared" si="8"/>
        <v>30</v>
      </c>
      <c r="W80">
        <f t="shared" si="9"/>
        <v>7</v>
      </c>
      <c r="X80">
        <f t="shared" si="10"/>
        <v>2026</v>
      </c>
      <c r="Y80" t="str">
        <f t="shared" si="11"/>
        <v>30-2026</v>
      </c>
      <c r="Z80" t="s">
        <v>147</v>
      </c>
      <c r="AD80" t="s">
        <v>57</v>
      </c>
      <c r="AE80">
        <v>2</v>
      </c>
      <c r="AG80" t="s">
        <v>31</v>
      </c>
      <c r="AH80" t="s">
        <v>38</v>
      </c>
      <c r="AI80" s="23">
        <v>46233</v>
      </c>
      <c r="AJ80" s="23"/>
      <c r="AM80"/>
      <c r="AN80" s="29"/>
    </row>
    <row r="81" spans="1:40" ht="29.1">
      <c r="A81" s="14">
        <v>3690509</v>
      </c>
      <c r="B81" s="14" t="s">
        <v>69</v>
      </c>
      <c r="C81" s="14" t="s">
        <v>662</v>
      </c>
      <c r="D81" s="27">
        <v>46228</v>
      </c>
      <c r="E81" s="24">
        <v>46228</v>
      </c>
      <c r="F81" s="25">
        <v>0.57777777777777772</v>
      </c>
      <c r="G81" s="14">
        <v>2026</v>
      </c>
      <c r="H81" s="14" t="s">
        <v>137</v>
      </c>
      <c r="I81" s="18" t="s">
        <v>138</v>
      </c>
      <c r="J81" s="21" t="s">
        <v>663</v>
      </c>
      <c r="K81" s="22"/>
      <c r="L81" s="19" t="s">
        <v>6</v>
      </c>
      <c r="M81" s="18" t="s">
        <v>96</v>
      </c>
      <c r="N81" s="22" t="s">
        <v>664</v>
      </c>
      <c r="O81" s="22" t="s">
        <v>499</v>
      </c>
      <c r="P81" s="17" t="s">
        <v>665</v>
      </c>
      <c r="Q81" s="22" t="s">
        <v>143</v>
      </c>
      <c r="R81" s="14" t="s">
        <v>225</v>
      </c>
      <c r="S81" s="26">
        <v>3214953993</v>
      </c>
      <c r="T81" s="34"/>
      <c r="U81" s="37" t="s">
        <v>666</v>
      </c>
      <c r="V81">
        <f t="shared" si="8"/>
        <v>30</v>
      </c>
      <c r="W81">
        <f t="shared" si="9"/>
        <v>7</v>
      </c>
      <c r="X81">
        <f t="shared" si="10"/>
        <v>2026</v>
      </c>
      <c r="Y81" t="str">
        <f t="shared" si="11"/>
        <v>30-2026</v>
      </c>
      <c r="Z81" t="s">
        <v>147</v>
      </c>
      <c r="AD81" t="s">
        <v>57</v>
      </c>
      <c r="AE81">
        <v>2</v>
      </c>
      <c r="AG81" t="s">
        <v>31</v>
      </c>
      <c r="AH81" t="s">
        <v>38</v>
      </c>
      <c r="AI81" s="23">
        <v>46240</v>
      </c>
      <c r="AM81"/>
      <c r="AN81" s="29"/>
    </row>
    <row r="82" spans="1:40" ht="29.1">
      <c r="A82" s="14">
        <v>3690581</v>
      </c>
      <c r="B82" s="14" t="s">
        <v>67</v>
      </c>
      <c r="C82" s="14" t="s">
        <v>433</v>
      </c>
      <c r="D82" s="27">
        <v>46228</v>
      </c>
      <c r="E82" s="24">
        <v>46228</v>
      </c>
      <c r="F82" s="25">
        <v>0.75416666666666665</v>
      </c>
      <c r="G82" s="14">
        <v>2026</v>
      </c>
      <c r="H82" s="14" t="s">
        <v>137</v>
      </c>
      <c r="I82" s="18" t="s">
        <v>138</v>
      </c>
      <c r="J82" s="21" t="s">
        <v>667</v>
      </c>
      <c r="K82" s="22"/>
      <c r="L82" s="19" t="s">
        <v>4</v>
      </c>
      <c r="M82" s="18" t="s">
        <v>85</v>
      </c>
      <c r="N82" s="22" t="s">
        <v>668</v>
      </c>
      <c r="O82" s="22" t="s">
        <v>519</v>
      </c>
      <c r="P82" s="17" t="s">
        <v>669</v>
      </c>
      <c r="Q82" s="22" t="s">
        <v>605</v>
      </c>
      <c r="R82" s="14" t="s">
        <v>480</v>
      </c>
      <c r="S82" s="26">
        <v>3176427845</v>
      </c>
      <c r="T82" s="34" t="s">
        <v>487</v>
      </c>
      <c r="U82" s="37" t="s">
        <v>670</v>
      </c>
      <c r="V82">
        <f t="shared" si="8"/>
        <v>30</v>
      </c>
      <c r="W82">
        <f t="shared" si="9"/>
        <v>7</v>
      </c>
      <c r="X82">
        <f t="shared" si="10"/>
        <v>2026</v>
      </c>
      <c r="Y82" t="str">
        <f t="shared" si="11"/>
        <v>30-2026</v>
      </c>
      <c r="Z82" t="s">
        <v>147</v>
      </c>
      <c r="AD82" t="s">
        <v>57</v>
      </c>
      <c r="AE82">
        <v>2</v>
      </c>
      <c r="AG82" t="s">
        <v>28</v>
      </c>
      <c r="AH82" t="s">
        <v>44</v>
      </c>
      <c r="AI82" s="23">
        <v>46234</v>
      </c>
      <c r="AJ82" s="23"/>
      <c r="AM82"/>
      <c r="AN82" s="29" t="s">
        <v>671</v>
      </c>
    </row>
    <row r="83" spans="1:40" ht="29.1">
      <c r="A83" s="14">
        <v>3690583</v>
      </c>
      <c r="B83" s="14" t="s">
        <v>67</v>
      </c>
      <c r="C83" s="14" t="s">
        <v>433</v>
      </c>
      <c r="D83" s="27">
        <v>46228</v>
      </c>
      <c r="E83" s="24">
        <v>46228</v>
      </c>
      <c r="F83" s="25">
        <v>0.75902777777777775</v>
      </c>
      <c r="G83" s="14">
        <v>2026</v>
      </c>
      <c r="H83" s="14" t="s">
        <v>137</v>
      </c>
      <c r="I83" s="18" t="s">
        <v>138</v>
      </c>
      <c r="J83" s="21" t="s">
        <v>672</v>
      </c>
      <c r="K83" s="22"/>
      <c r="L83" s="19" t="s">
        <v>4</v>
      </c>
      <c r="M83" s="18" t="s">
        <v>85</v>
      </c>
      <c r="N83" s="22" t="s">
        <v>673</v>
      </c>
      <c r="O83" s="22" t="s">
        <v>519</v>
      </c>
      <c r="P83" s="17" t="s">
        <v>674</v>
      </c>
      <c r="Q83" s="22" t="s">
        <v>143</v>
      </c>
      <c r="R83" s="14" t="s">
        <v>144</v>
      </c>
      <c r="S83" s="26">
        <v>3125357136</v>
      </c>
      <c r="T83" s="34" t="s">
        <v>487</v>
      </c>
      <c r="U83" s="37" t="s">
        <v>675</v>
      </c>
      <c r="V83">
        <f t="shared" si="8"/>
        <v>30</v>
      </c>
      <c r="W83">
        <f t="shared" si="9"/>
        <v>7</v>
      </c>
      <c r="X83">
        <f t="shared" si="10"/>
        <v>2026</v>
      </c>
      <c r="Y83" t="str">
        <f t="shared" si="11"/>
        <v>30-2026</v>
      </c>
      <c r="Z83" t="s">
        <v>147</v>
      </c>
      <c r="AD83" t="s">
        <v>57</v>
      </c>
      <c r="AE83">
        <v>2</v>
      </c>
      <c r="AG83" t="s">
        <v>28</v>
      </c>
      <c r="AH83" t="s">
        <v>30</v>
      </c>
      <c r="AI83" s="23">
        <v>46233</v>
      </c>
      <c r="AJ83" s="23"/>
      <c r="AM83"/>
      <c r="AN83" s="29"/>
    </row>
    <row r="84" spans="1:40" ht="29.1">
      <c r="A84" s="14">
        <v>3690591</v>
      </c>
      <c r="B84" s="14" t="s">
        <v>67</v>
      </c>
      <c r="C84" s="14" t="s">
        <v>433</v>
      </c>
      <c r="D84" s="27">
        <v>46228</v>
      </c>
      <c r="E84" s="24">
        <v>46228</v>
      </c>
      <c r="F84" s="25">
        <v>0.76527777777777772</v>
      </c>
      <c r="G84" s="14">
        <v>2026</v>
      </c>
      <c r="H84" s="14" t="s">
        <v>137</v>
      </c>
      <c r="I84" s="18" t="s">
        <v>138</v>
      </c>
      <c r="J84" s="21" t="s">
        <v>676</v>
      </c>
      <c r="K84" s="22"/>
      <c r="L84" s="19" t="s">
        <v>4</v>
      </c>
      <c r="M84" s="18" t="s">
        <v>85</v>
      </c>
      <c r="N84" s="22" t="s">
        <v>677</v>
      </c>
      <c r="O84" s="22" t="s">
        <v>519</v>
      </c>
      <c r="P84" s="17" t="s">
        <v>678</v>
      </c>
      <c r="Q84" s="22" t="s">
        <v>224</v>
      </c>
      <c r="R84" s="14" t="s">
        <v>225</v>
      </c>
      <c r="S84" s="26">
        <v>3118918691</v>
      </c>
      <c r="T84" s="34" t="s">
        <v>487</v>
      </c>
      <c r="U84" s="37" t="s">
        <v>679</v>
      </c>
      <c r="V84">
        <f t="shared" si="8"/>
        <v>30</v>
      </c>
      <c r="W84">
        <f t="shared" si="9"/>
        <v>7</v>
      </c>
      <c r="X84">
        <f t="shared" si="10"/>
        <v>2026</v>
      </c>
      <c r="Y84" t="str">
        <f t="shared" si="11"/>
        <v>30-2026</v>
      </c>
      <c r="Z84" t="s">
        <v>147</v>
      </c>
      <c r="AD84" t="s">
        <v>58</v>
      </c>
      <c r="AE84">
        <v>2</v>
      </c>
      <c r="AF84" t="s">
        <v>29</v>
      </c>
      <c r="AG84" t="s">
        <v>28</v>
      </c>
      <c r="AM84"/>
      <c r="AN84" s="29"/>
    </row>
    <row r="85" spans="1:40" ht="29.1">
      <c r="A85" s="14">
        <v>3690617</v>
      </c>
      <c r="B85" s="14" t="s">
        <v>65</v>
      </c>
      <c r="C85" s="14" t="s">
        <v>425</v>
      </c>
      <c r="D85" s="27">
        <v>46228</v>
      </c>
      <c r="E85" s="24">
        <v>46228</v>
      </c>
      <c r="F85" s="25">
        <v>0.81041666666666667</v>
      </c>
      <c r="G85" s="14">
        <v>2026</v>
      </c>
      <c r="H85" s="14" t="s">
        <v>137</v>
      </c>
      <c r="I85" s="18" t="s">
        <v>138</v>
      </c>
      <c r="J85" s="21" t="s">
        <v>680</v>
      </c>
      <c r="K85" s="22"/>
      <c r="L85" s="19" t="s">
        <v>6</v>
      </c>
      <c r="M85" s="18" t="s">
        <v>96</v>
      </c>
      <c r="N85" s="22" t="s">
        <v>681</v>
      </c>
      <c r="O85" s="22" t="s">
        <v>499</v>
      </c>
      <c r="P85" s="17" t="s">
        <v>682</v>
      </c>
      <c r="Q85" s="22" t="s">
        <v>143</v>
      </c>
      <c r="R85" s="14" t="s">
        <v>144</v>
      </c>
      <c r="S85" s="26">
        <v>3178928902</v>
      </c>
      <c r="T85" s="34" t="s">
        <v>683</v>
      </c>
      <c r="U85" s="37" t="s">
        <v>684</v>
      </c>
      <c r="V85">
        <f t="shared" si="8"/>
        <v>30</v>
      </c>
      <c r="W85">
        <f t="shared" si="9"/>
        <v>7</v>
      </c>
      <c r="X85">
        <f t="shared" si="10"/>
        <v>2026</v>
      </c>
      <c r="Y85" t="str">
        <f t="shared" si="11"/>
        <v>30-2026</v>
      </c>
      <c r="Z85" t="s">
        <v>147</v>
      </c>
      <c r="AD85" t="s">
        <v>59</v>
      </c>
      <c r="AE85">
        <v>2</v>
      </c>
      <c r="AG85" t="s">
        <v>31</v>
      </c>
      <c r="AM85"/>
      <c r="AN85" s="29"/>
    </row>
    <row r="86" spans="1:40" ht="29.1">
      <c r="A86" s="14">
        <v>3690627</v>
      </c>
      <c r="B86" s="14" t="s">
        <v>65</v>
      </c>
      <c r="C86" s="14" t="s">
        <v>425</v>
      </c>
      <c r="D86" s="27">
        <v>46228</v>
      </c>
      <c r="E86" s="24">
        <v>46228</v>
      </c>
      <c r="F86" s="25">
        <v>0.87291666666666667</v>
      </c>
      <c r="G86" s="14">
        <v>2026</v>
      </c>
      <c r="H86" s="14" t="s">
        <v>137</v>
      </c>
      <c r="I86" s="18" t="s">
        <v>138</v>
      </c>
      <c r="J86" s="21" t="s">
        <v>685</v>
      </c>
      <c r="K86" s="22"/>
      <c r="L86" s="19" t="s">
        <v>6</v>
      </c>
      <c r="M86" s="18" t="s">
        <v>96</v>
      </c>
      <c r="N86" s="22" t="s">
        <v>686</v>
      </c>
      <c r="O86" s="22" t="s">
        <v>499</v>
      </c>
      <c r="P86" s="17" t="s">
        <v>687</v>
      </c>
      <c r="Q86" s="22" t="s">
        <v>224</v>
      </c>
      <c r="R86" s="14" t="s">
        <v>225</v>
      </c>
      <c r="S86" s="26" t="s">
        <v>688</v>
      </c>
      <c r="T86" s="34" t="s">
        <v>689</v>
      </c>
      <c r="U86" s="37" t="s">
        <v>690</v>
      </c>
      <c r="V86">
        <f t="shared" si="8"/>
        <v>30</v>
      </c>
      <c r="W86">
        <f t="shared" si="9"/>
        <v>7</v>
      </c>
      <c r="X86">
        <f t="shared" si="10"/>
        <v>2026</v>
      </c>
      <c r="Y86" t="str">
        <f t="shared" si="11"/>
        <v>30-2026</v>
      </c>
      <c r="Z86" t="s">
        <v>147</v>
      </c>
      <c r="AD86" t="s">
        <v>59</v>
      </c>
      <c r="AE86">
        <v>2</v>
      </c>
      <c r="AG86" t="s">
        <v>28</v>
      </c>
      <c r="AM86"/>
      <c r="AN86" s="29"/>
    </row>
    <row r="87" spans="1:40" ht="29.1">
      <c r="A87" s="14">
        <v>3690630</v>
      </c>
      <c r="B87" s="14" t="s">
        <v>65</v>
      </c>
      <c r="C87" s="14" t="s">
        <v>425</v>
      </c>
      <c r="D87" s="27">
        <v>46228</v>
      </c>
      <c r="E87" s="24">
        <v>46228</v>
      </c>
      <c r="F87" s="25">
        <v>0.87777777777777777</v>
      </c>
      <c r="G87" s="14">
        <v>2026</v>
      </c>
      <c r="H87" s="14" t="s">
        <v>137</v>
      </c>
      <c r="I87" s="18" t="s">
        <v>138</v>
      </c>
      <c r="J87" s="21" t="s">
        <v>691</v>
      </c>
      <c r="K87" s="22"/>
      <c r="L87" s="19" t="s">
        <v>6</v>
      </c>
      <c r="M87" s="18" t="s">
        <v>96</v>
      </c>
      <c r="N87" s="22" t="s">
        <v>692</v>
      </c>
      <c r="O87" s="22" t="s">
        <v>499</v>
      </c>
      <c r="P87" s="17" t="s">
        <v>693</v>
      </c>
      <c r="Q87" s="22" t="s">
        <v>224</v>
      </c>
      <c r="R87" s="14" t="s">
        <v>225</v>
      </c>
      <c r="S87" s="26" t="s">
        <v>694</v>
      </c>
      <c r="T87" s="34" t="s">
        <v>487</v>
      </c>
      <c r="U87" s="37" t="s">
        <v>695</v>
      </c>
      <c r="V87">
        <f t="shared" si="8"/>
        <v>30</v>
      </c>
      <c r="W87">
        <f t="shared" si="9"/>
        <v>7</v>
      </c>
      <c r="X87">
        <f t="shared" si="10"/>
        <v>2026</v>
      </c>
      <c r="Y87" t="str">
        <f t="shared" si="11"/>
        <v>30-2026</v>
      </c>
      <c r="Z87" t="s">
        <v>147</v>
      </c>
      <c r="AD87" t="s">
        <v>59</v>
      </c>
      <c r="AE87">
        <v>2</v>
      </c>
      <c r="AG87" t="s">
        <v>28</v>
      </c>
      <c r="AM87"/>
      <c r="AN87" s="29"/>
    </row>
    <row r="88" spans="1:40" ht="29.1">
      <c r="A88" s="14">
        <v>3690631</v>
      </c>
      <c r="B88" s="14" t="s">
        <v>65</v>
      </c>
      <c r="C88" s="14" t="s">
        <v>425</v>
      </c>
      <c r="D88" s="27">
        <v>46228</v>
      </c>
      <c r="E88" s="24">
        <v>46228</v>
      </c>
      <c r="F88" s="25">
        <v>0.8881944444444444</v>
      </c>
      <c r="G88" s="14">
        <v>2026</v>
      </c>
      <c r="H88" s="14" t="s">
        <v>137</v>
      </c>
      <c r="I88" s="18" t="s">
        <v>138</v>
      </c>
      <c r="J88" s="21" t="s">
        <v>696</v>
      </c>
      <c r="K88" s="22"/>
      <c r="L88" s="19" t="s">
        <v>6</v>
      </c>
      <c r="M88" s="18" t="s">
        <v>165</v>
      </c>
      <c r="N88" s="22" t="s">
        <v>697</v>
      </c>
      <c r="O88" s="22" t="s">
        <v>499</v>
      </c>
      <c r="P88" s="17" t="s">
        <v>698</v>
      </c>
      <c r="Q88" s="22" t="s">
        <v>143</v>
      </c>
      <c r="R88" s="14" t="s">
        <v>144</v>
      </c>
      <c r="S88" s="26">
        <v>3105050992</v>
      </c>
      <c r="T88" s="34" t="s">
        <v>487</v>
      </c>
      <c r="U88" s="37" t="s">
        <v>699</v>
      </c>
      <c r="V88">
        <f t="shared" si="8"/>
        <v>30</v>
      </c>
      <c r="W88">
        <f t="shared" si="9"/>
        <v>7</v>
      </c>
      <c r="X88">
        <f t="shared" si="10"/>
        <v>2026</v>
      </c>
      <c r="Y88" t="str">
        <f t="shared" si="11"/>
        <v>30-2026</v>
      </c>
      <c r="Z88" t="s">
        <v>147</v>
      </c>
      <c r="AD88" t="s">
        <v>59</v>
      </c>
      <c r="AE88">
        <v>2</v>
      </c>
      <c r="AG88" t="s">
        <v>34</v>
      </c>
      <c r="AM88"/>
      <c r="AN88" s="29"/>
    </row>
    <row r="89" spans="1:40" ht="29.1">
      <c r="A89" s="14">
        <v>3693642</v>
      </c>
      <c r="B89" s="14" t="s">
        <v>76</v>
      </c>
      <c r="C89" s="14" t="s">
        <v>597</v>
      </c>
      <c r="D89" s="27">
        <v>46229</v>
      </c>
      <c r="E89" s="24">
        <v>46229</v>
      </c>
      <c r="F89" s="25">
        <v>0.71527777777777779</v>
      </c>
      <c r="G89" s="14">
        <v>2026</v>
      </c>
      <c r="H89" s="14" t="s">
        <v>137</v>
      </c>
      <c r="I89" s="18" t="s">
        <v>138</v>
      </c>
      <c r="J89" s="21" t="s">
        <v>700</v>
      </c>
      <c r="K89" s="22"/>
      <c r="L89" s="19" t="s">
        <v>6</v>
      </c>
      <c r="M89" s="18" t="s">
        <v>165</v>
      </c>
      <c r="N89" s="22" t="s">
        <v>701</v>
      </c>
      <c r="O89" s="22" t="s">
        <v>499</v>
      </c>
      <c r="P89" s="17" t="s">
        <v>702</v>
      </c>
      <c r="Q89" s="22" t="s">
        <v>143</v>
      </c>
      <c r="R89" s="14" t="s">
        <v>144</v>
      </c>
      <c r="S89" s="26">
        <v>3122972656</v>
      </c>
      <c r="T89" s="34">
        <v>3122972656</v>
      </c>
      <c r="U89" s="37" t="s">
        <v>703</v>
      </c>
      <c r="V89">
        <f t="shared" si="8"/>
        <v>31</v>
      </c>
      <c r="W89">
        <f t="shared" si="9"/>
        <v>7</v>
      </c>
      <c r="X89">
        <f t="shared" si="10"/>
        <v>2026</v>
      </c>
      <c r="Y89" t="str">
        <f t="shared" si="11"/>
        <v>31-2026</v>
      </c>
      <c r="Z89" t="s">
        <v>147</v>
      </c>
      <c r="AD89" t="s">
        <v>58</v>
      </c>
      <c r="AE89">
        <v>3</v>
      </c>
      <c r="AF89" t="s">
        <v>29</v>
      </c>
      <c r="AG89" t="s">
        <v>28</v>
      </c>
      <c r="AM89"/>
      <c r="AN89" s="29"/>
    </row>
    <row r="90" spans="1:40" ht="33" customHeight="1">
      <c r="A90" s="14">
        <v>3696824</v>
      </c>
      <c r="B90" s="14" t="s">
        <v>17</v>
      </c>
      <c r="C90" s="14" t="s">
        <v>290</v>
      </c>
      <c r="D90" s="27">
        <v>46230</v>
      </c>
      <c r="E90" s="24">
        <v>46230</v>
      </c>
      <c r="F90" s="25">
        <v>0.41805555555555557</v>
      </c>
      <c r="G90" s="14">
        <v>2026</v>
      </c>
      <c r="H90" s="14" t="s">
        <v>137</v>
      </c>
      <c r="I90" s="18" t="s">
        <v>138</v>
      </c>
      <c r="J90" s="21" t="s">
        <v>704</v>
      </c>
      <c r="K90" s="22"/>
      <c r="L90" s="19" t="s">
        <v>4</v>
      </c>
      <c r="M90" s="18" t="s">
        <v>85</v>
      </c>
      <c r="N90" s="22" t="s">
        <v>705</v>
      </c>
      <c r="O90" s="22" t="s">
        <v>473</v>
      </c>
      <c r="P90" s="17" t="s">
        <v>706</v>
      </c>
      <c r="Q90" s="22" t="s">
        <v>605</v>
      </c>
      <c r="R90" s="14" t="s">
        <v>144</v>
      </c>
      <c r="S90" s="26" t="s">
        <v>707</v>
      </c>
      <c r="T90" s="34" t="s">
        <v>295</v>
      </c>
      <c r="U90" s="37" t="s">
        <v>708</v>
      </c>
      <c r="V90">
        <f t="shared" si="8"/>
        <v>31</v>
      </c>
      <c r="W90">
        <f t="shared" si="9"/>
        <v>7</v>
      </c>
      <c r="X90">
        <f t="shared" si="10"/>
        <v>2026</v>
      </c>
      <c r="Y90" t="str">
        <f t="shared" si="11"/>
        <v>31-2026</v>
      </c>
      <c r="Z90" t="s">
        <v>147</v>
      </c>
      <c r="AD90" t="s">
        <v>57</v>
      </c>
      <c r="AE90">
        <v>3</v>
      </c>
      <c r="AG90" t="s">
        <v>28</v>
      </c>
      <c r="AH90" t="s">
        <v>40</v>
      </c>
      <c r="AI90" s="23">
        <v>46233</v>
      </c>
      <c r="AJ90" s="23"/>
      <c r="AM90"/>
      <c r="AN90" s="29"/>
    </row>
    <row r="91" spans="1:40" ht="29.1">
      <c r="A91" s="14">
        <v>3696844</v>
      </c>
      <c r="B91" s="14" t="s">
        <v>17</v>
      </c>
      <c r="C91" s="14" t="s">
        <v>290</v>
      </c>
      <c r="D91" s="27">
        <v>46230</v>
      </c>
      <c r="E91" s="24">
        <v>46230</v>
      </c>
      <c r="F91" s="25">
        <v>0.42569444444444443</v>
      </c>
      <c r="G91" s="14">
        <v>2026</v>
      </c>
      <c r="H91" s="14" t="s">
        <v>137</v>
      </c>
      <c r="I91" s="18" t="s">
        <v>138</v>
      </c>
      <c r="J91" s="21" t="s">
        <v>709</v>
      </c>
      <c r="K91" s="22"/>
      <c r="L91" s="19" t="s">
        <v>4</v>
      </c>
      <c r="M91" s="18" t="s">
        <v>85</v>
      </c>
      <c r="N91" s="22" t="s">
        <v>710</v>
      </c>
      <c r="O91" s="22" t="s">
        <v>473</v>
      </c>
      <c r="P91" s="17" t="s">
        <v>711</v>
      </c>
      <c r="Q91" s="22" t="s">
        <v>605</v>
      </c>
      <c r="R91" s="14" t="s">
        <v>144</v>
      </c>
      <c r="S91" s="26" t="s">
        <v>712</v>
      </c>
      <c r="T91" s="34" t="s">
        <v>295</v>
      </c>
      <c r="U91" s="37" t="s">
        <v>713</v>
      </c>
      <c r="V91">
        <f t="shared" si="8"/>
        <v>31</v>
      </c>
      <c r="W91">
        <f t="shared" si="9"/>
        <v>7</v>
      </c>
      <c r="X91">
        <f t="shared" si="10"/>
        <v>2026</v>
      </c>
      <c r="Y91" t="str">
        <f t="shared" si="11"/>
        <v>31-2026</v>
      </c>
      <c r="Z91" t="s">
        <v>147</v>
      </c>
      <c r="AD91" t="s">
        <v>58</v>
      </c>
      <c r="AE91">
        <v>3</v>
      </c>
      <c r="AF91" t="s">
        <v>29</v>
      </c>
      <c r="AG91" t="s">
        <v>28</v>
      </c>
      <c r="AM91"/>
      <c r="AN91" s="29"/>
    </row>
    <row r="92" spans="1:40" ht="29.1">
      <c r="A92" s="14">
        <v>3696848</v>
      </c>
      <c r="B92" s="14" t="s">
        <v>17</v>
      </c>
      <c r="C92" s="14" t="s">
        <v>290</v>
      </c>
      <c r="D92" s="27">
        <v>46230</v>
      </c>
      <c r="E92" s="24">
        <v>46230</v>
      </c>
      <c r="F92" s="25">
        <v>0.43055555555555558</v>
      </c>
      <c r="G92" s="14">
        <v>2026</v>
      </c>
      <c r="H92" s="14" t="s">
        <v>137</v>
      </c>
      <c r="I92" s="18" t="s">
        <v>138</v>
      </c>
      <c r="J92" s="21" t="s">
        <v>714</v>
      </c>
      <c r="K92" s="22" t="s">
        <v>715</v>
      </c>
      <c r="L92" s="19" t="s">
        <v>4</v>
      </c>
      <c r="M92" s="18" t="s">
        <v>85</v>
      </c>
      <c r="N92" s="22" t="s">
        <v>716</v>
      </c>
      <c r="O92" s="22" t="s">
        <v>473</v>
      </c>
      <c r="P92" s="17" t="s">
        <v>717</v>
      </c>
      <c r="Q92" s="22" t="s">
        <v>143</v>
      </c>
      <c r="R92" s="14" t="s">
        <v>225</v>
      </c>
      <c r="S92" s="26" t="s">
        <v>718</v>
      </c>
      <c r="T92" s="34" t="s">
        <v>295</v>
      </c>
      <c r="U92" s="37" t="s">
        <v>719</v>
      </c>
      <c r="V92">
        <f t="shared" si="8"/>
        <v>31</v>
      </c>
      <c r="W92">
        <f t="shared" si="9"/>
        <v>7</v>
      </c>
      <c r="X92">
        <f t="shared" si="10"/>
        <v>2026</v>
      </c>
      <c r="Y92" t="str">
        <f t="shared" si="11"/>
        <v>31-2026</v>
      </c>
      <c r="Z92" t="s">
        <v>147</v>
      </c>
      <c r="AD92" t="s">
        <v>58</v>
      </c>
      <c r="AE92">
        <v>3</v>
      </c>
      <c r="AF92" t="s">
        <v>45</v>
      </c>
      <c r="AG92" t="s">
        <v>31</v>
      </c>
      <c r="AM92"/>
      <c r="AN92" s="29"/>
    </row>
    <row r="93" spans="1:40" ht="29.1">
      <c r="A93" s="14">
        <v>3696850</v>
      </c>
      <c r="B93" s="14" t="s">
        <v>17</v>
      </c>
      <c r="C93" s="14" t="s">
        <v>290</v>
      </c>
      <c r="D93" s="27">
        <v>46230</v>
      </c>
      <c r="E93" s="24">
        <v>46230</v>
      </c>
      <c r="F93" s="25">
        <v>0.43402777777777779</v>
      </c>
      <c r="G93" s="14">
        <v>2026</v>
      </c>
      <c r="H93" s="14" t="s">
        <v>137</v>
      </c>
      <c r="I93" s="18" t="s">
        <v>138</v>
      </c>
      <c r="J93" s="21" t="s">
        <v>720</v>
      </c>
      <c r="K93" s="22"/>
      <c r="L93" s="19" t="s">
        <v>4</v>
      </c>
      <c r="M93" s="18" t="s">
        <v>85</v>
      </c>
      <c r="N93" s="22" t="s">
        <v>721</v>
      </c>
      <c r="O93" s="22" t="s">
        <v>473</v>
      </c>
      <c r="P93" s="17" t="s">
        <v>722</v>
      </c>
      <c r="Q93" s="22" t="s">
        <v>143</v>
      </c>
      <c r="R93" s="14" t="s">
        <v>144</v>
      </c>
      <c r="S93" s="26">
        <v>3105726862</v>
      </c>
      <c r="T93" s="34" t="s">
        <v>295</v>
      </c>
      <c r="U93" s="37" t="s">
        <v>723</v>
      </c>
      <c r="V93">
        <f t="shared" si="8"/>
        <v>31</v>
      </c>
      <c r="W93">
        <f t="shared" si="9"/>
        <v>7</v>
      </c>
      <c r="X93">
        <f t="shared" si="10"/>
        <v>2026</v>
      </c>
      <c r="Y93" t="str">
        <f t="shared" si="11"/>
        <v>31-2026</v>
      </c>
      <c r="Z93" t="s">
        <v>255</v>
      </c>
      <c r="AC93" t="s">
        <v>724</v>
      </c>
      <c r="AD93" t="s">
        <v>58</v>
      </c>
      <c r="AE93">
        <v>3</v>
      </c>
      <c r="AF93" t="s">
        <v>50</v>
      </c>
      <c r="AG93" t="s">
        <v>34</v>
      </c>
      <c r="AM93"/>
      <c r="AN93" s="29"/>
    </row>
    <row r="94" spans="1:40" ht="28.5" customHeight="1">
      <c r="A94" s="14">
        <v>3696960</v>
      </c>
      <c r="B94" s="14" t="s">
        <v>71</v>
      </c>
      <c r="C94" s="14"/>
      <c r="D94" s="27">
        <v>46230</v>
      </c>
      <c r="E94" s="24">
        <v>46230</v>
      </c>
      <c r="F94" s="25">
        <v>0.51458333333333328</v>
      </c>
      <c r="G94" s="14">
        <v>2026</v>
      </c>
      <c r="H94" s="14" t="s">
        <v>137</v>
      </c>
      <c r="I94" s="18" t="s">
        <v>138</v>
      </c>
      <c r="J94" s="21" t="s">
        <v>725</v>
      </c>
      <c r="K94" s="22"/>
      <c r="L94" s="19" t="s">
        <v>4</v>
      </c>
      <c r="M94" s="18" t="s">
        <v>85</v>
      </c>
      <c r="N94" s="22" t="s">
        <v>726</v>
      </c>
      <c r="O94" s="22" t="s">
        <v>473</v>
      </c>
      <c r="P94" s="17" t="s">
        <v>727</v>
      </c>
      <c r="Q94" s="22" t="s">
        <v>143</v>
      </c>
      <c r="R94" s="14" t="s">
        <v>193</v>
      </c>
      <c r="S94" s="26">
        <v>3102275656</v>
      </c>
      <c r="T94" s="34" t="s">
        <v>728</v>
      </c>
      <c r="U94" s="37" t="s">
        <v>729</v>
      </c>
      <c r="V94">
        <f t="shared" si="8"/>
        <v>31</v>
      </c>
      <c r="W94">
        <f t="shared" si="9"/>
        <v>7</v>
      </c>
      <c r="X94">
        <f t="shared" si="10"/>
        <v>2026</v>
      </c>
      <c r="Y94" t="str">
        <f t="shared" si="11"/>
        <v>31-2026</v>
      </c>
      <c r="Z94" t="s">
        <v>147</v>
      </c>
      <c r="AD94" t="s">
        <v>58</v>
      </c>
      <c r="AE94">
        <v>3</v>
      </c>
      <c r="AF94" t="s">
        <v>45</v>
      </c>
      <c r="AG94" t="s">
        <v>34</v>
      </c>
      <c r="AM94"/>
      <c r="AN94" s="29"/>
    </row>
    <row r="95" spans="1:40" ht="30" customHeight="1">
      <c r="A95" s="14">
        <v>3696961</v>
      </c>
      <c r="B95" s="14" t="s">
        <v>71</v>
      </c>
      <c r="C95" s="14"/>
      <c r="D95" s="27">
        <v>46230</v>
      </c>
      <c r="E95" s="24">
        <v>46230</v>
      </c>
      <c r="F95" s="25">
        <v>0.5180555555555556</v>
      </c>
      <c r="G95" s="14">
        <v>2026</v>
      </c>
      <c r="H95" s="14" t="s">
        <v>137</v>
      </c>
      <c r="I95" s="18" t="s">
        <v>138</v>
      </c>
      <c r="J95" s="21" t="s">
        <v>730</v>
      </c>
      <c r="K95" s="22"/>
      <c r="L95" s="19" t="s">
        <v>4</v>
      </c>
      <c r="M95" s="18" t="s">
        <v>85</v>
      </c>
      <c r="N95" s="22" t="s">
        <v>731</v>
      </c>
      <c r="O95" s="22" t="s">
        <v>473</v>
      </c>
      <c r="P95" s="17" t="s">
        <v>732</v>
      </c>
      <c r="Q95" s="22" t="s">
        <v>143</v>
      </c>
      <c r="R95" s="14" t="s">
        <v>144</v>
      </c>
      <c r="S95" s="26">
        <v>3330334242</v>
      </c>
      <c r="T95" s="34" t="s">
        <v>728</v>
      </c>
      <c r="U95" s="37" t="s">
        <v>733</v>
      </c>
      <c r="V95">
        <f t="shared" si="8"/>
        <v>31</v>
      </c>
      <c r="W95">
        <f t="shared" si="9"/>
        <v>7</v>
      </c>
      <c r="X95">
        <f t="shared" si="10"/>
        <v>2026</v>
      </c>
      <c r="Y95" t="str">
        <f t="shared" si="11"/>
        <v>31-2026</v>
      </c>
      <c r="Z95" t="s">
        <v>147</v>
      </c>
      <c r="AD95" t="s">
        <v>58</v>
      </c>
      <c r="AE95">
        <v>3</v>
      </c>
      <c r="AF95" t="s">
        <v>29</v>
      </c>
      <c r="AG95" t="s">
        <v>28</v>
      </c>
      <c r="AM95"/>
      <c r="AN95" s="29"/>
    </row>
    <row r="96" spans="1:40" ht="26.45" customHeight="1">
      <c r="A96" s="14">
        <v>3696979</v>
      </c>
      <c r="B96" s="14" t="s">
        <v>71</v>
      </c>
      <c r="C96" s="14"/>
      <c r="D96" s="27">
        <v>46230</v>
      </c>
      <c r="E96" s="24">
        <v>46230</v>
      </c>
      <c r="F96" s="25">
        <v>0.53402777777777777</v>
      </c>
      <c r="G96" s="14">
        <v>2026</v>
      </c>
      <c r="H96" s="14" t="s">
        <v>137</v>
      </c>
      <c r="I96" s="18" t="s">
        <v>138</v>
      </c>
      <c r="J96" s="21" t="s">
        <v>734</v>
      </c>
      <c r="K96" s="22"/>
      <c r="L96" s="19" t="s">
        <v>4</v>
      </c>
      <c r="M96" s="18" t="s">
        <v>85</v>
      </c>
      <c r="N96" s="22" t="s">
        <v>735</v>
      </c>
      <c r="O96" s="22" t="s">
        <v>473</v>
      </c>
      <c r="P96" s="17" t="s">
        <v>736</v>
      </c>
      <c r="Q96" s="22" t="s">
        <v>605</v>
      </c>
      <c r="R96" s="14" t="s">
        <v>225</v>
      </c>
      <c r="S96" s="26">
        <v>3176606271</v>
      </c>
      <c r="T96" s="34" t="s">
        <v>737</v>
      </c>
      <c r="U96" s="37" t="s">
        <v>738</v>
      </c>
      <c r="V96">
        <f t="shared" si="8"/>
        <v>31</v>
      </c>
      <c r="W96">
        <f t="shared" si="9"/>
        <v>7</v>
      </c>
      <c r="X96">
        <f t="shared" si="10"/>
        <v>2026</v>
      </c>
      <c r="Y96" t="str">
        <f t="shared" si="11"/>
        <v>31-2026</v>
      </c>
      <c r="Z96" t="s">
        <v>147</v>
      </c>
      <c r="AD96" t="s">
        <v>57</v>
      </c>
      <c r="AE96">
        <v>3</v>
      </c>
      <c r="AG96" t="s">
        <v>31</v>
      </c>
      <c r="AH96" t="s">
        <v>44</v>
      </c>
      <c r="AI96" s="23">
        <v>46233</v>
      </c>
      <c r="AJ96" s="23"/>
      <c r="AM96"/>
      <c r="AN96" s="29"/>
    </row>
    <row r="97" spans="1:40" ht="24.95" customHeight="1">
      <c r="A97" s="14">
        <v>3696981</v>
      </c>
      <c r="B97" s="14" t="s">
        <v>71</v>
      </c>
      <c r="C97" s="14"/>
      <c r="D97" s="27">
        <v>46230</v>
      </c>
      <c r="E97" s="24">
        <v>46230</v>
      </c>
      <c r="F97" s="25">
        <v>0.53680555555555554</v>
      </c>
      <c r="G97" s="14">
        <v>2026</v>
      </c>
      <c r="H97" s="14" t="s">
        <v>137</v>
      </c>
      <c r="I97" s="18" t="s">
        <v>138</v>
      </c>
      <c r="J97" s="21" t="s">
        <v>739</v>
      </c>
      <c r="K97" s="22"/>
      <c r="L97" s="19" t="s">
        <v>4</v>
      </c>
      <c r="M97" s="18" t="s">
        <v>85</v>
      </c>
      <c r="N97" s="22" t="s">
        <v>740</v>
      </c>
      <c r="O97" s="22" t="s">
        <v>473</v>
      </c>
      <c r="P97" s="17" t="s">
        <v>741</v>
      </c>
      <c r="Q97" s="22" t="s">
        <v>605</v>
      </c>
      <c r="R97" s="14" t="s">
        <v>144</v>
      </c>
      <c r="S97" s="26">
        <v>3125370241</v>
      </c>
      <c r="T97" s="34" t="s">
        <v>737</v>
      </c>
      <c r="U97" s="37" t="s">
        <v>742</v>
      </c>
      <c r="V97">
        <f t="shared" si="8"/>
        <v>31</v>
      </c>
      <c r="W97">
        <f t="shared" si="9"/>
        <v>7</v>
      </c>
      <c r="X97">
        <f t="shared" si="10"/>
        <v>2026</v>
      </c>
      <c r="Y97" t="str">
        <f t="shared" si="11"/>
        <v>31-2026</v>
      </c>
      <c r="Z97" t="s">
        <v>147</v>
      </c>
      <c r="AD97" t="s">
        <v>58</v>
      </c>
      <c r="AE97">
        <v>3</v>
      </c>
      <c r="AF97" t="s">
        <v>29</v>
      </c>
      <c r="AG97" t="s">
        <v>34</v>
      </c>
      <c r="AM97"/>
      <c r="AN97" s="29"/>
    </row>
    <row r="98" spans="1:40" ht="29.1">
      <c r="A98" s="14">
        <v>3697115</v>
      </c>
      <c r="B98" s="14" t="s">
        <v>77</v>
      </c>
      <c r="C98" s="14" t="s">
        <v>743</v>
      </c>
      <c r="D98" s="27">
        <v>46230</v>
      </c>
      <c r="E98" s="24">
        <v>46230</v>
      </c>
      <c r="F98" s="25">
        <v>0.69930555555555551</v>
      </c>
      <c r="G98" s="14">
        <v>2026</v>
      </c>
      <c r="H98" s="14" t="s">
        <v>137</v>
      </c>
      <c r="I98" s="14" t="s">
        <v>138</v>
      </c>
      <c r="J98" s="14" t="s">
        <v>744</v>
      </c>
      <c r="K98" s="14"/>
      <c r="L98" s="14" t="s">
        <v>4</v>
      </c>
      <c r="M98" s="14" t="s">
        <v>85</v>
      </c>
      <c r="N98" s="14" t="s">
        <v>745</v>
      </c>
      <c r="O98" s="14" t="s">
        <v>519</v>
      </c>
      <c r="P98" s="17" t="s">
        <v>746</v>
      </c>
      <c r="Q98" s="14" t="s">
        <v>605</v>
      </c>
      <c r="R98" s="14" t="s">
        <v>144</v>
      </c>
      <c r="S98" s="28">
        <v>3123972027</v>
      </c>
      <c r="T98" s="18" t="s">
        <v>747</v>
      </c>
      <c r="U98" s="37" t="s">
        <v>748</v>
      </c>
      <c r="V98">
        <f t="shared" ref="V98:V129" si="12">WEEKNUM(E98)</f>
        <v>31</v>
      </c>
      <c r="W98">
        <f t="shared" ref="W98:W129" si="13">MONTH(E98)</f>
        <v>7</v>
      </c>
      <c r="X98">
        <f t="shared" ref="X98:X129" si="14">YEAR(E98)</f>
        <v>2026</v>
      </c>
      <c r="Y98" t="str">
        <f t="shared" si="11"/>
        <v>31-2026</v>
      </c>
      <c r="Z98" t="s">
        <v>147</v>
      </c>
      <c r="AD98" t="s">
        <v>58</v>
      </c>
      <c r="AE98">
        <v>3</v>
      </c>
      <c r="AF98" t="s">
        <v>29</v>
      </c>
      <c r="AG98" t="s">
        <v>34</v>
      </c>
      <c r="AM98"/>
      <c r="AN98" s="29"/>
    </row>
    <row r="99" spans="1:40" ht="29.1">
      <c r="A99" s="14">
        <v>3696742</v>
      </c>
      <c r="B99" s="14" t="s">
        <v>67</v>
      </c>
      <c r="C99" s="14" t="s">
        <v>433</v>
      </c>
      <c r="D99" s="27">
        <v>46230</v>
      </c>
      <c r="E99" s="24">
        <v>46230</v>
      </c>
      <c r="F99" s="25">
        <v>0.34027777777777779</v>
      </c>
      <c r="G99" s="14">
        <v>2026</v>
      </c>
      <c r="H99" s="14" t="s">
        <v>137</v>
      </c>
      <c r="I99" s="18" t="s">
        <v>138</v>
      </c>
      <c r="J99" s="21" t="s">
        <v>749</v>
      </c>
      <c r="K99" s="22"/>
      <c r="L99" s="19" t="s">
        <v>4</v>
      </c>
      <c r="M99" s="18" t="s">
        <v>85</v>
      </c>
      <c r="N99" s="22" t="s">
        <v>750</v>
      </c>
      <c r="O99" s="22" t="s">
        <v>519</v>
      </c>
      <c r="P99" s="17" t="s">
        <v>751</v>
      </c>
      <c r="Q99" s="22" t="s">
        <v>143</v>
      </c>
      <c r="R99" s="14" t="s">
        <v>144</v>
      </c>
      <c r="S99" s="26" t="s">
        <v>752</v>
      </c>
      <c r="T99" s="34" t="s">
        <v>753</v>
      </c>
      <c r="U99" s="37" t="s">
        <v>754</v>
      </c>
      <c r="V99">
        <f t="shared" si="12"/>
        <v>31</v>
      </c>
      <c r="W99">
        <f t="shared" si="13"/>
        <v>7</v>
      </c>
      <c r="X99">
        <f t="shared" si="14"/>
        <v>2026</v>
      </c>
      <c r="Y99" t="str">
        <f t="shared" si="11"/>
        <v>31-2026</v>
      </c>
      <c r="Z99" t="s">
        <v>147</v>
      </c>
      <c r="AA99" t="s">
        <v>755</v>
      </c>
      <c r="AD99" t="s">
        <v>57</v>
      </c>
      <c r="AE99">
        <v>3</v>
      </c>
      <c r="AG99" t="s">
        <v>31</v>
      </c>
      <c r="AH99" t="s">
        <v>40</v>
      </c>
      <c r="AI99" s="23">
        <v>46233</v>
      </c>
      <c r="AJ99" s="23"/>
      <c r="AM99"/>
      <c r="AN99" s="29"/>
    </row>
    <row r="100" spans="1:40" ht="29.1">
      <c r="A100" s="14">
        <v>3697029</v>
      </c>
      <c r="B100" s="14" t="s">
        <v>21</v>
      </c>
      <c r="C100" s="14" t="s">
        <v>149</v>
      </c>
      <c r="D100" s="27">
        <v>46230</v>
      </c>
      <c r="E100" s="24">
        <v>46230</v>
      </c>
      <c r="F100" s="25">
        <v>0.60763888888888884</v>
      </c>
      <c r="G100" s="14">
        <v>2026</v>
      </c>
      <c r="H100" s="14" t="s">
        <v>137</v>
      </c>
      <c r="I100" s="18" t="s">
        <v>138</v>
      </c>
      <c r="J100" s="21" t="s">
        <v>756</v>
      </c>
      <c r="K100" s="22"/>
      <c r="L100" s="19" t="s">
        <v>4</v>
      </c>
      <c r="M100" s="18" t="s">
        <v>85</v>
      </c>
      <c r="N100" s="22" t="s">
        <v>757</v>
      </c>
      <c r="O100" s="22" t="s">
        <v>473</v>
      </c>
      <c r="P100" s="17" t="s">
        <v>758</v>
      </c>
      <c r="Q100" s="22" t="s">
        <v>143</v>
      </c>
      <c r="R100" s="14" t="s">
        <v>225</v>
      </c>
      <c r="S100" s="26">
        <v>3005546100</v>
      </c>
      <c r="T100" s="34"/>
      <c r="U100" s="37" t="s">
        <v>759</v>
      </c>
      <c r="V100">
        <f t="shared" si="12"/>
        <v>31</v>
      </c>
      <c r="W100">
        <f t="shared" si="13"/>
        <v>7</v>
      </c>
      <c r="X100">
        <f t="shared" si="14"/>
        <v>2026</v>
      </c>
      <c r="Y100" t="str">
        <f t="shared" si="11"/>
        <v>31-2026</v>
      </c>
      <c r="Z100" t="s">
        <v>147</v>
      </c>
      <c r="AA100" t="s">
        <v>760</v>
      </c>
      <c r="AD100" t="s">
        <v>57</v>
      </c>
      <c r="AE100">
        <v>3</v>
      </c>
      <c r="AG100" t="s">
        <v>28</v>
      </c>
      <c r="AH100" t="s">
        <v>27</v>
      </c>
      <c r="AI100" s="23">
        <v>46234</v>
      </c>
      <c r="AJ100" s="23"/>
      <c r="AM100"/>
      <c r="AN100" s="29"/>
    </row>
    <row r="101" spans="1:40" ht="29.1">
      <c r="A101" s="14">
        <v>3697093</v>
      </c>
      <c r="B101" s="14" t="s">
        <v>78</v>
      </c>
      <c r="C101" s="14" t="s">
        <v>612</v>
      </c>
      <c r="D101" s="27">
        <v>46230</v>
      </c>
      <c r="E101" s="24">
        <v>46230</v>
      </c>
      <c r="F101" s="25">
        <v>0.66666666666666663</v>
      </c>
      <c r="G101" s="14">
        <v>2026</v>
      </c>
      <c r="H101" s="14" t="s">
        <v>137</v>
      </c>
      <c r="I101" s="14" t="s">
        <v>138</v>
      </c>
      <c r="J101" s="14" t="s">
        <v>761</v>
      </c>
      <c r="K101" s="14"/>
      <c r="L101" s="14" t="s">
        <v>4</v>
      </c>
      <c r="M101" s="14" t="s">
        <v>85</v>
      </c>
      <c r="N101" s="14" t="s">
        <v>762</v>
      </c>
      <c r="O101" s="14" t="s">
        <v>473</v>
      </c>
      <c r="P101" s="17" t="s">
        <v>763</v>
      </c>
      <c r="Q101" s="14" t="s">
        <v>143</v>
      </c>
      <c r="R101" s="14" t="s">
        <v>501</v>
      </c>
      <c r="S101" s="28">
        <v>3203854343</v>
      </c>
      <c r="T101" s="18" t="s">
        <v>764</v>
      </c>
      <c r="U101" s="37" t="s">
        <v>765</v>
      </c>
      <c r="V101">
        <f t="shared" si="12"/>
        <v>31</v>
      </c>
      <c r="W101">
        <f t="shared" si="13"/>
        <v>7</v>
      </c>
      <c r="X101">
        <f t="shared" si="14"/>
        <v>2026</v>
      </c>
      <c r="Y101" t="str">
        <f t="shared" si="11"/>
        <v>31-2026</v>
      </c>
      <c r="Z101" t="s">
        <v>147</v>
      </c>
      <c r="AA101" t="s">
        <v>766</v>
      </c>
      <c r="AD101" t="s">
        <v>57</v>
      </c>
      <c r="AE101">
        <v>3</v>
      </c>
      <c r="AG101" t="s">
        <v>28</v>
      </c>
      <c r="AH101" t="s">
        <v>36</v>
      </c>
      <c r="AI101" s="23">
        <v>46234</v>
      </c>
      <c r="AJ101" s="23"/>
      <c r="AM101"/>
      <c r="AN101" s="29"/>
    </row>
    <row r="102" spans="1:40" ht="29.1">
      <c r="A102" s="14">
        <v>3702232</v>
      </c>
      <c r="B102" s="14" t="s">
        <v>68</v>
      </c>
      <c r="C102" s="14" t="s">
        <v>541</v>
      </c>
      <c r="D102" s="27">
        <v>46231</v>
      </c>
      <c r="E102" s="24">
        <v>46231</v>
      </c>
      <c r="F102" s="25">
        <v>0.47083333333333333</v>
      </c>
      <c r="G102" s="14">
        <v>2026</v>
      </c>
      <c r="H102" s="14" t="s">
        <v>137</v>
      </c>
      <c r="I102" s="14" t="s">
        <v>138</v>
      </c>
      <c r="J102" s="14" t="s">
        <v>767</v>
      </c>
      <c r="K102" s="14"/>
      <c r="L102" s="14" t="s">
        <v>4</v>
      </c>
      <c r="M102" s="14" t="s">
        <v>85</v>
      </c>
      <c r="N102" s="14" t="s">
        <v>768</v>
      </c>
      <c r="O102" s="14" t="s">
        <v>473</v>
      </c>
      <c r="P102" s="17" t="s">
        <v>769</v>
      </c>
      <c r="Q102" s="14" t="s">
        <v>605</v>
      </c>
      <c r="R102" s="14" t="s">
        <v>225</v>
      </c>
      <c r="S102" s="28">
        <v>3176606271</v>
      </c>
      <c r="T102" s="35" t="s">
        <v>295</v>
      </c>
      <c r="U102" s="37" t="s">
        <v>723</v>
      </c>
      <c r="V102">
        <f t="shared" si="12"/>
        <v>31</v>
      </c>
      <c r="W102">
        <f t="shared" si="13"/>
        <v>7</v>
      </c>
      <c r="X102">
        <f t="shared" si="14"/>
        <v>2026</v>
      </c>
      <c r="Y102" t="str">
        <f t="shared" si="11"/>
        <v>31-2026</v>
      </c>
      <c r="Z102" t="s">
        <v>255</v>
      </c>
      <c r="AA102" t="s">
        <v>770</v>
      </c>
      <c r="AC102" t="s">
        <v>771</v>
      </c>
      <c r="AD102" t="s">
        <v>58</v>
      </c>
      <c r="AE102">
        <v>3</v>
      </c>
      <c r="AF102" t="s">
        <v>50</v>
      </c>
      <c r="AG102" t="s">
        <v>34</v>
      </c>
      <c r="AM102"/>
      <c r="AN102" s="29"/>
    </row>
    <row r="103" spans="1:40" ht="29.1">
      <c r="A103" s="14">
        <v>3702113</v>
      </c>
      <c r="B103" s="14" t="s">
        <v>10</v>
      </c>
      <c r="C103" s="14" t="s">
        <v>269</v>
      </c>
      <c r="D103" s="27">
        <v>46231</v>
      </c>
      <c r="E103" s="24">
        <v>46231</v>
      </c>
      <c r="F103" s="25">
        <v>0.4909722222222222</v>
      </c>
      <c r="G103" s="14">
        <v>2026</v>
      </c>
      <c r="H103" s="14" t="s">
        <v>137</v>
      </c>
      <c r="I103" s="14" t="s">
        <v>138</v>
      </c>
      <c r="J103" s="14" t="s">
        <v>772</v>
      </c>
      <c r="K103" s="14"/>
      <c r="L103" s="14" t="s">
        <v>4</v>
      </c>
      <c r="M103" s="14" t="s">
        <v>85</v>
      </c>
      <c r="N103" s="14" t="s">
        <v>773</v>
      </c>
      <c r="O103" s="14" t="s">
        <v>519</v>
      </c>
      <c r="P103" s="17" t="s">
        <v>774</v>
      </c>
      <c r="Q103" s="14" t="s">
        <v>143</v>
      </c>
      <c r="R103" s="14" t="s">
        <v>144</v>
      </c>
      <c r="S103" s="28">
        <v>3143327175</v>
      </c>
      <c r="T103" s="35" t="s">
        <v>276</v>
      </c>
      <c r="U103" s="37" t="s">
        <v>775</v>
      </c>
      <c r="V103">
        <f t="shared" si="12"/>
        <v>31</v>
      </c>
      <c r="W103">
        <f t="shared" si="13"/>
        <v>7</v>
      </c>
      <c r="X103">
        <f t="shared" si="14"/>
        <v>2026</v>
      </c>
      <c r="Y103" t="str">
        <f t="shared" si="11"/>
        <v>31-2026</v>
      </c>
      <c r="Z103" t="s">
        <v>147</v>
      </c>
      <c r="AA103" t="s">
        <v>776</v>
      </c>
      <c r="AD103" t="s">
        <v>57</v>
      </c>
      <c r="AE103">
        <v>3</v>
      </c>
      <c r="AG103" t="s">
        <v>28</v>
      </c>
      <c r="AH103" t="s">
        <v>36</v>
      </c>
      <c r="AI103" s="23">
        <v>46233</v>
      </c>
      <c r="AJ103" s="23"/>
      <c r="AM103"/>
      <c r="AN103" s="29"/>
    </row>
    <row r="104" spans="1:40" ht="29.1">
      <c r="A104" s="14">
        <v>3702270</v>
      </c>
      <c r="B104" s="14" t="s">
        <v>68</v>
      </c>
      <c r="C104" s="14" t="s">
        <v>541</v>
      </c>
      <c r="D104" s="27">
        <v>46231</v>
      </c>
      <c r="E104" s="24">
        <v>46231</v>
      </c>
      <c r="F104" s="25">
        <v>0.50347222222222221</v>
      </c>
      <c r="G104" s="14">
        <v>2026</v>
      </c>
      <c r="H104" s="14" t="s">
        <v>137</v>
      </c>
      <c r="I104" s="14" t="s">
        <v>138</v>
      </c>
      <c r="J104" s="14" t="s">
        <v>777</v>
      </c>
      <c r="K104" s="14" t="s">
        <v>778</v>
      </c>
      <c r="L104" s="14" t="s">
        <v>4</v>
      </c>
      <c r="M104" s="14" t="s">
        <v>85</v>
      </c>
      <c r="N104" s="14" t="s">
        <v>779</v>
      </c>
      <c r="O104" s="14" t="s">
        <v>473</v>
      </c>
      <c r="P104" s="17" t="s">
        <v>780</v>
      </c>
      <c r="Q104" s="14" t="s">
        <v>143</v>
      </c>
      <c r="R104" s="14" t="s">
        <v>225</v>
      </c>
      <c r="S104" s="28" t="s">
        <v>781</v>
      </c>
      <c r="T104" s="35" t="s">
        <v>295</v>
      </c>
      <c r="U104" s="37" t="s">
        <v>782</v>
      </c>
      <c r="V104">
        <f t="shared" si="12"/>
        <v>31</v>
      </c>
      <c r="W104">
        <f t="shared" si="13"/>
        <v>7</v>
      </c>
      <c r="X104">
        <f t="shared" si="14"/>
        <v>2026</v>
      </c>
      <c r="Y104" t="str">
        <f t="shared" si="11"/>
        <v>31-2026</v>
      </c>
      <c r="Z104" t="s">
        <v>147</v>
      </c>
      <c r="AA104" t="s">
        <v>783</v>
      </c>
      <c r="AD104" t="s">
        <v>57</v>
      </c>
      <c r="AE104">
        <v>3</v>
      </c>
      <c r="AG104" t="s">
        <v>31</v>
      </c>
      <c r="AH104" t="s">
        <v>44</v>
      </c>
      <c r="AI104" s="23">
        <v>46237</v>
      </c>
      <c r="AM104"/>
      <c r="AN104" s="29"/>
    </row>
    <row r="105" spans="1:40" ht="29.1">
      <c r="A105" s="14">
        <v>3702281</v>
      </c>
      <c r="B105" s="14" t="s">
        <v>10</v>
      </c>
      <c r="C105" s="14" t="s">
        <v>269</v>
      </c>
      <c r="D105" s="27">
        <v>46231</v>
      </c>
      <c r="E105" s="24">
        <v>46231</v>
      </c>
      <c r="F105" s="25">
        <v>0.50972222222222219</v>
      </c>
      <c r="G105" s="14">
        <v>2026</v>
      </c>
      <c r="H105" s="14" t="s">
        <v>137</v>
      </c>
      <c r="I105" s="14" t="s">
        <v>138</v>
      </c>
      <c r="J105" s="14" t="s">
        <v>784</v>
      </c>
      <c r="K105" s="14"/>
      <c r="L105" s="14" t="s">
        <v>4</v>
      </c>
      <c r="M105" s="14" t="s">
        <v>85</v>
      </c>
      <c r="N105" s="14" t="s">
        <v>785</v>
      </c>
      <c r="O105" s="14" t="s">
        <v>519</v>
      </c>
      <c r="P105" s="17" t="s">
        <v>786</v>
      </c>
      <c r="Q105" s="14" t="s">
        <v>605</v>
      </c>
      <c r="R105" s="14" t="s">
        <v>144</v>
      </c>
      <c r="S105" s="28">
        <v>3208025550</v>
      </c>
      <c r="T105" s="35" t="s">
        <v>513</v>
      </c>
      <c r="U105" s="37" t="s">
        <v>787</v>
      </c>
      <c r="V105">
        <f t="shared" si="12"/>
        <v>31</v>
      </c>
      <c r="W105">
        <f t="shared" si="13"/>
        <v>7</v>
      </c>
      <c r="X105">
        <f t="shared" si="14"/>
        <v>2026</v>
      </c>
      <c r="Y105" t="str">
        <f t="shared" si="11"/>
        <v>31-2026</v>
      </c>
      <c r="Z105" t="s">
        <v>147</v>
      </c>
      <c r="AA105" t="s">
        <v>788</v>
      </c>
      <c r="AD105" t="s">
        <v>57</v>
      </c>
      <c r="AE105">
        <v>3</v>
      </c>
      <c r="AG105" t="s">
        <v>28</v>
      </c>
      <c r="AH105" t="s">
        <v>36</v>
      </c>
      <c r="AI105" s="23">
        <v>46233</v>
      </c>
      <c r="AJ105" s="23"/>
      <c r="AM105"/>
      <c r="AN105" s="29"/>
    </row>
    <row r="106" spans="1:40" ht="23.45" customHeight="1">
      <c r="A106" s="14">
        <v>3702315</v>
      </c>
      <c r="B106" s="14" t="s">
        <v>71</v>
      </c>
      <c r="C106" s="14"/>
      <c r="D106" s="27">
        <v>46231</v>
      </c>
      <c r="E106" s="24">
        <v>46231</v>
      </c>
      <c r="F106" s="25">
        <v>0.53888888888888886</v>
      </c>
      <c r="G106" s="14">
        <v>2026</v>
      </c>
      <c r="H106" s="14" t="s">
        <v>137</v>
      </c>
      <c r="I106" s="14" t="s">
        <v>138</v>
      </c>
      <c r="J106" s="14" t="s">
        <v>789</v>
      </c>
      <c r="K106" s="14"/>
      <c r="L106" s="14" t="s">
        <v>4</v>
      </c>
      <c r="M106" s="14" t="s">
        <v>85</v>
      </c>
      <c r="N106" s="14" t="s">
        <v>790</v>
      </c>
      <c r="O106" s="14" t="s">
        <v>566</v>
      </c>
      <c r="P106" s="17" t="s">
        <v>791</v>
      </c>
      <c r="Q106" s="14" t="s">
        <v>224</v>
      </c>
      <c r="R106" s="14" t="s">
        <v>225</v>
      </c>
      <c r="S106" s="28">
        <v>3144428080</v>
      </c>
      <c r="T106" s="35" t="s">
        <v>513</v>
      </c>
      <c r="U106" s="37" t="s">
        <v>792</v>
      </c>
      <c r="V106">
        <f t="shared" si="12"/>
        <v>31</v>
      </c>
      <c r="W106">
        <f t="shared" si="13"/>
        <v>7</v>
      </c>
      <c r="X106">
        <f t="shared" si="14"/>
        <v>2026</v>
      </c>
      <c r="Y106" t="str">
        <f t="shared" si="11"/>
        <v>31-2026</v>
      </c>
      <c r="Z106" t="s">
        <v>147</v>
      </c>
      <c r="AA106" t="s">
        <v>793</v>
      </c>
      <c r="AD106" t="s">
        <v>58</v>
      </c>
      <c r="AE106">
        <v>3</v>
      </c>
      <c r="AF106" t="s">
        <v>29</v>
      </c>
      <c r="AG106" t="s">
        <v>28</v>
      </c>
      <c r="AM106"/>
      <c r="AN106" s="29"/>
    </row>
    <row r="107" spans="1:40" ht="38.1" customHeight="1">
      <c r="A107" s="14">
        <v>3702424</v>
      </c>
      <c r="B107" s="14" t="s">
        <v>70</v>
      </c>
      <c r="C107" s="14" t="s">
        <v>554</v>
      </c>
      <c r="D107" s="27">
        <v>46231</v>
      </c>
      <c r="E107" s="24">
        <v>46231</v>
      </c>
      <c r="F107" s="25">
        <v>0.67708333333333337</v>
      </c>
      <c r="G107" s="14">
        <v>2026</v>
      </c>
      <c r="H107" s="14" t="s">
        <v>137</v>
      </c>
      <c r="I107" s="14" t="s">
        <v>138</v>
      </c>
      <c r="J107" s="14" t="s">
        <v>794</v>
      </c>
      <c r="K107" s="14"/>
      <c r="L107" s="14" t="s">
        <v>4</v>
      </c>
      <c r="M107" s="14" t="s">
        <v>85</v>
      </c>
      <c r="N107" s="14" t="s">
        <v>795</v>
      </c>
      <c r="O107" s="14" t="s">
        <v>519</v>
      </c>
      <c r="P107" s="17" t="s">
        <v>796</v>
      </c>
      <c r="Q107" s="14" t="s">
        <v>143</v>
      </c>
      <c r="R107" s="14" t="s">
        <v>144</v>
      </c>
      <c r="S107" s="28" t="s">
        <v>797</v>
      </c>
      <c r="T107" s="35" t="s">
        <v>798</v>
      </c>
      <c r="U107" s="37" t="s">
        <v>799</v>
      </c>
      <c r="V107">
        <f t="shared" si="12"/>
        <v>31</v>
      </c>
      <c r="W107">
        <f t="shared" si="13"/>
        <v>7</v>
      </c>
      <c r="X107">
        <f t="shared" si="14"/>
        <v>2026</v>
      </c>
      <c r="Y107" t="str">
        <f t="shared" si="11"/>
        <v>31-2026</v>
      </c>
      <c r="Z107" t="s">
        <v>147</v>
      </c>
      <c r="AA107" t="s">
        <v>800</v>
      </c>
      <c r="AD107" t="s">
        <v>57</v>
      </c>
      <c r="AE107">
        <v>3</v>
      </c>
      <c r="AF107" t="s">
        <v>29</v>
      </c>
      <c r="AG107" t="s">
        <v>28</v>
      </c>
      <c r="AH107" t="s">
        <v>30</v>
      </c>
      <c r="AI107" s="23">
        <v>46233</v>
      </c>
      <c r="AJ107" s="23"/>
      <c r="AL107" t="s">
        <v>58</v>
      </c>
      <c r="AM107" t="s">
        <v>801</v>
      </c>
      <c r="AN107" s="29" t="s">
        <v>802</v>
      </c>
    </row>
    <row r="108" spans="1:40" ht="30" customHeight="1">
      <c r="A108" s="14">
        <v>3702441</v>
      </c>
      <c r="B108" s="14" t="s">
        <v>70</v>
      </c>
      <c r="C108" s="14" t="s">
        <v>554</v>
      </c>
      <c r="D108" s="27">
        <v>46231</v>
      </c>
      <c r="E108" s="24">
        <v>46231</v>
      </c>
      <c r="F108" s="25">
        <v>0.68958333333333333</v>
      </c>
      <c r="G108" s="14">
        <v>2026</v>
      </c>
      <c r="H108" s="14" t="s">
        <v>137</v>
      </c>
      <c r="I108" s="14" t="s">
        <v>138</v>
      </c>
      <c r="J108" s="14" t="s">
        <v>803</v>
      </c>
      <c r="K108" s="14" t="s">
        <v>804</v>
      </c>
      <c r="L108" s="14" t="s">
        <v>4</v>
      </c>
      <c r="M108" s="14" t="s">
        <v>85</v>
      </c>
      <c r="N108" s="14" t="s">
        <v>805</v>
      </c>
      <c r="O108" s="14" t="s">
        <v>519</v>
      </c>
      <c r="P108" s="17" t="s">
        <v>806</v>
      </c>
      <c r="Q108" s="14" t="s">
        <v>605</v>
      </c>
      <c r="R108" s="14" t="s">
        <v>225</v>
      </c>
      <c r="S108" s="28" t="s">
        <v>797</v>
      </c>
      <c r="T108" s="35" t="s">
        <v>807</v>
      </c>
      <c r="U108" s="37" t="s">
        <v>808</v>
      </c>
      <c r="V108">
        <f t="shared" si="12"/>
        <v>31</v>
      </c>
      <c r="W108">
        <f t="shared" si="13"/>
        <v>7</v>
      </c>
      <c r="X108">
        <f t="shared" si="14"/>
        <v>2026</v>
      </c>
      <c r="Y108" t="str">
        <f t="shared" si="11"/>
        <v>31-2026</v>
      </c>
      <c r="Z108" t="s">
        <v>147</v>
      </c>
      <c r="AA108" t="s">
        <v>809</v>
      </c>
      <c r="AD108" t="s">
        <v>57</v>
      </c>
      <c r="AE108">
        <v>3</v>
      </c>
      <c r="AG108" t="s">
        <v>28</v>
      </c>
      <c r="AH108" t="s">
        <v>33</v>
      </c>
      <c r="AI108" s="23">
        <v>46234</v>
      </c>
      <c r="AJ108" s="23"/>
      <c r="AM108"/>
      <c r="AN108" s="29" t="s">
        <v>810</v>
      </c>
    </row>
    <row r="109" spans="1:40" ht="23.45" customHeight="1">
      <c r="A109" s="14">
        <v>3702467</v>
      </c>
      <c r="B109" s="14" t="s">
        <v>62</v>
      </c>
      <c r="C109" s="14" t="s">
        <v>188</v>
      </c>
      <c r="D109" s="24">
        <v>46231</v>
      </c>
      <c r="E109" s="24">
        <v>46231</v>
      </c>
      <c r="F109" s="25">
        <v>0.72222222222222221</v>
      </c>
      <c r="G109" s="14">
        <v>2026</v>
      </c>
      <c r="H109" s="14" t="s">
        <v>137</v>
      </c>
      <c r="I109" s="14" t="s">
        <v>138</v>
      </c>
      <c r="J109" s="14" t="s">
        <v>811</v>
      </c>
      <c r="K109" s="14"/>
      <c r="L109" s="14" t="s">
        <v>4</v>
      </c>
      <c r="M109" s="14" t="s">
        <v>85</v>
      </c>
      <c r="N109" s="14" t="s">
        <v>812</v>
      </c>
      <c r="O109" s="14" t="s">
        <v>566</v>
      </c>
      <c r="P109" s="17" t="s">
        <v>813</v>
      </c>
      <c r="Q109" s="14" t="s">
        <v>605</v>
      </c>
      <c r="R109" s="14" t="s">
        <v>144</v>
      </c>
      <c r="S109" s="28">
        <v>3208999393</v>
      </c>
      <c r="T109" s="35">
        <v>3208999393</v>
      </c>
      <c r="U109" s="37" t="s">
        <v>814</v>
      </c>
      <c r="V109">
        <f t="shared" si="12"/>
        <v>31</v>
      </c>
      <c r="W109">
        <f t="shared" si="13"/>
        <v>7</v>
      </c>
      <c r="X109">
        <f t="shared" si="14"/>
        <v>2026</v>
      </c>
      <c r="Y109" t="str">
        <f t="shared" ref="Y109" si="15">_xlfn.CONCAT(V109,"-",X109)</f>
        <v>31-2026</v>
      </c>
      <c r="Z109" t="s">
        <v>147</v>
      </c>
      <c r="AA109" t="s">
        <v>815</v>
      </c>
      <c r="AD109" t="s">
        <v>57</v>
      </c>
      <c r="AE109">
        <v>3</v>
      </c>
      <c r="AG109" t="s">
        <v>31</v>
      </c>
      <c r="AH109" t="s">
        <v>36</v>
      </c>
      <c r="AI109" s="23">
        <v>46233</v>
      </c>
      <c r="AJ109" s="23"/>
      <c r="AL109" t="s">
        <v>58</v>
      </c>
      <c r="AM109" t="s">
        <v>816</v>
      </c>
      <c r="AN109" s="43" t="s">
        <v>817</v>
      </c>
    </row>
    <row r="110" spans="1:40" ht="43.5">
      <c r="A110" s="14">
        <v>3705728</v>
      </c>
      <c r="B110" s="14" t="s">
        <v>65</v>
      </c>
      <c r="C110" s="14" t="s">
        <v>425</v>
      </c>
      <c r="D110" s="24">
        <v>46232</v>
      </c>
      <c r="E110" s="24">
        <v>46232</v>
      </c>
      <c r="F110" s="25">
        <v>0.3611111111111111</v>
      </c>
      <c r="G110" s="14">
        <v>2026</v>
      </c>
      <c r="H110" s="14" t="s">
        <v>137</v>
      </c>
      <c r="I110" s="14" t="s">
        <v>138</v>
      </c>
      <c r="J110" s="14" t="s">
        <v>818</v>
      </c>
      <c r="K110" s="14"/>
      <c r="L110" s="14" t="s">
        <v>4</v>
      </c>
      <c r="M110" s="14" t="s">
        <v>85</v>
      </c>
      <c r="N110" s="14" t="s">
        <v>819</v>
      </c>
      <c r="O110" s="14" t="s">
        <v>519</v>
      </c>
      <c r="P110" s="17" t="s">
        <v>820</v>
      </c>
      <c r="Q110" s="14" t="s">
        <v>143</v>
      </c>
      <c r="R110" s="14" t="s">
        <v>225</v>
      </c>
      <c r="S110" s="28">
        <v>3213770000</v>
      </c>
      <c r="T110" s="35" t="s">
        <v>821</v>
      </c>
      <c r="U110" s="37" t="s">
        <v>822</v>
      </c>
      <c r="V110">
        <f t="shared" si="12"/>
        <v>31</v>
      </c>
      <c r="W110">
        <f t="shared" si="13"/>
        <v>7</v>
      </c>
      <c r="X110">
        <f t="shared" si="14"/>
        <v>2026</v>
      </c>
      <c r="Y110" t="str">
        <f t="shared" ref="Y110:Y113" si="16">_xlfn.CONCAT(V110,"-",X110)</f>
        <v>31-2026</v>
      </c>
      <c r="Z110" t="s">
        <v>147</v>
      </c>
      <c r="AA110" t="s">
        <v>823</v>
      </c>
      <c r="AD110" t="s">
        <v>57</v>
      </c>
      <c r="AE110">
        <v>3</v>
      </c>
      <c r="AG110" t="s">
        <v>28</v>
      </c>
      <c r="AH110" t="s">
        <v>46</v>
      </c>
      <c r="AI110" s="23">
        <v>46233</v>
      </c>
      <c r="AJ110" s="23"/>
      <c r="AL110" t="s">
        <v>58</v>
      </c>
      <c r="AM110" t="s">
        <v>824</v>
      </c>
      <c r="AN110" s="29" t="s">
        <v>825</v>
      </c>
    </row>
    <row r="111" spans="1:40" ht="29.1">
      <c r="A111" s="14">
        <v>3705921</v>
      </c>
      <c r="B111" s="14" t="s">
        <v>69</v>
      </c>
      <c r="C111" s="14" t="s">
        <v>662</v>
      </c>
      <c r="D111" s="24">
        <v>46232</v>
      </c>
      <c r="E111" s="24">
        <v>46232</v>
      </c>
      <c r="F111" s="25">
        <v>0.48194444444444445</v>
      </c>
      <c r="G111" s="14">
        <v>2026</v>
      </c>
      <c r="H111" s="14" t="s">
        <v>137</v>
      </c>
      <c r="I111" s="14" t="s">
        <v>138</v>
      </c>
      <c r="J111" s="14" t="s">
        <v>826</v>
      </c>
      <c r="K111" s="14"/>
      <c r="L111" s="14" t="s">
        <v>6</v>
      </c>
      <c r="M111" s="14" t="s">
        <v>96</v>
      </c>
      <c r="N111" s="14" t="s">
        <v>827</v>
      </c>
      <c r="O111" s="14" t="s">
        <v>499</v>
      </c>
      <c r="P111" s="17" t="s">
        <v>828</v>
      </c>
      <c r="Q111" s="14" t="s">
        <v>143</v>
      </c>
      <c r="R111" s="14" t="s">
        <v>144</v>
      </c>
      <c r="S111" s="28" t="s">
        <v>829</v>
      </c>
      <c r="T111" s="35" t="s">
        <v>830</v>
      </c>
      <c r="U111" s="37" t="s">
        <v>831</v>
      </c>
      <c r="V111">
        <f t="shared" si="12"/>
        <v>31</v>
      </c>
      <c r="W111">
        <f t="shared" si="13"/>
        <v>7</v>
      </c>
      <c r="X111">
        <f t="shared" si="14"/>
        <v>2026</v>
      </c>
      <c r="Y111" t="str">
        <f t="shared" si="16"/>
        <v>31-2026</v>
      </c>
      <c r="Z111" t="s">
        <v>147</v>
      </c>
      <c r="AA111" t="s">
        <v>832</v>
      </c>
      <c r="AD111" t="s">
        <v>58</v>
      </c>
      <c r="AE111">
        <v>3</v>
      </c>
      <c r="AF111" t="s">
        <v>29</v>
      </c>
      <c r="AM111"/>
      <c r="AN111" s="29"/>
    </row>
    <row r="112" spans="1:40" ht="29.1">
      <c r="A112" s="14">
        <v>3705971</v>
      </c>
      <c r="B112" s="14" t="s">
        <v>72</v>
      </c>
      <c r="C112" s="14" t="s">
        <v>602</v>
      </c>
      <c r="D112" s="24">
        <v>46232</v>
      </c>
      <c r="E112" s="24">
        <v>46232</v>
      </c>
      <c r="F112" s="25">
        <v>0.51666666666666672</v>
      </c>
      <c r="G112" s="14">
        <v>2026</v>
      </c>
      <c r="H112" s="14" t="s">
        <v>137</v>
      </c>
      <c r="I112" s="14" t="s">
        <v>138</v>
      </c>
      <c r="J112" s="14" t="s">
        <v>833</v>
      </c>
      <c r="K112" s="14"/>
      <c r="L112" s="14" t="s">
        <v>4</v>
      </c>
      <c r="M112" s="14" t="s">
        <v>85</v>
      </c>
      <c r="N112" s="45" t="s">
        <v>834</v>
      </c>
      <c r="O112" s="14" t="s">
        <v>473</v>
      </c>
      <c r="P112" s="17" t="s">
        <v>835</v>
      </c>
      <c r="Q112" s="14" t="s">
        <v>224</v>
      </c>
      <c r="R112" s="14" t="s">
        <v>225</v>
      </c>
      <c r="S112" s="28">
        <v>3102386140</v>
      </c>
      <c r="T112" s="35" t="s">
        <v>203</v>
      </c>
      <c r="U112" s="37" t="s">
        <v>836</v>
      </c>
      <c r="V112">
        <f t="shared" si="12"/>
        <v>31</v>
      </c>
      <c r="W112">
        <f t="shared" si="13"/>
        <v>7</v>
      </c>
      <c r="X112">
        <f t="shared" si="14"/>
        <v>2026</v>
      </c>
      <c r="Y112" t="str">
        <f t="shared" si="16"/>
        <v>31-2026</v>
      </c>
      <c r="Z112" t="s">
        <v>147</v>
      </c>
      <c r="AA112" t="s">
        <v>837</v>
      </c>
      <c r="AD112" t="s">
        <v>57</v>
      </c>
      <c r="AE112">
        <v>3</v>
      </c>
      <c r="AF112" t="s">
        <v>838</v>
      </c>
      <c r="AG112" t="s">
        <v>28</v>
      </c>
      <c r="AH112" t="s">
        <v>36</v>
      </c>
      <c r="AI112" s="23">
        <v>46237</v>
      </c>
      <c r="AL112" t="s">
        <v>58</v>
      </c>
      <c r="AM112" t="s">
        <v>816</v>
      </c>
      <c r="AN112" s="29" t="s">
        <v>839</v>
      </c>
    </row>
    <row r="113" spans="1:40" ht="29.1">
      <c r="A113" s="14">
        <v>3706034</v>
      </c>
      <c r="B113" s="14" t="s">
        <v>69</v>
      </c>
      <c r="C113" s="14" t="s">
        <v>662</v>
      </c>
      <c r="D113" s="24">
        <v>46232</v>
      </c>
      <c r="E113" s="24">
        <v>46232</v>
      </c>
      <c r="F113" s="25">
        <v>0.58125000000000004</v>
      </c>
      <c r="G113" s="14">
        <v>2026</v>
      </c>
      <c r="H113" s="14" t="s">
        <v>137</v>
      </c>
      <c r="I113" s="14" t="s">
        <v>138</v>
      </c>
      <c r="J113" s="14" t="s">
        <v>840</v>
      </c>
      <c r="K113" s="14" t="s">
        <v>841</v>
      </c>
      <c r="L113" s="14" t="s">
        <v>6</v>
      </c>
      <c r="M113" s="14" t="s">
        <v>96</v>
      </c>
      <c r="N113" s="14" t="s">
        <v>842</v>
      </c>
      <c r="O113" s="14" t="s">
        <v>499</v>
      </c>
      <c r="P113" s="17" t="s">
        <v>843</v>
      </c>
      <c r="Q113" s="14" t="s">
        <v>605</v>
      </c>
      <c r="R113" s="14" t="s">
        <v>176</v>
      </c>
      <c r="S113" s="28">
        <v>3053375850</v>
      </c>
      <c r="T113" s="35">
        <v>3053375850</v>
      </c>
      <c r="U113" s="37" t="s">
        <v>844</v>
      </c>
      <c r="V113">
        <f t="shared" si="12"/>
        <v>31</v>
      </c>
      <c r="W113">
        <f t="shared" si="13"/>
        <v>7</v>
      </c>
      <c r="X113">
        <f t="shared" si="14"/>
        <v>2026</v>
      </c>
      <c r="Y113" t="str">
        <f t="shared" si="16"/>
        <v>31-2026</v>
      </c>
      <c r="Z113" t="s">
        <v>147</v>
      </c>
      <c r="AA113" t="s">
        <v>845</v>
      </c>
      <c r="AD113" t="s">
        <v>59</v>
      </c>
      <c r="AE113">
        <v>3</v>
      </c>
      <c r="AM113"/>
      <c r="AN113" s="29"/>
    </row>
    <row r="114" spans="1:40" ht="29.1">
      <c r="A114" s="14">
        <v>3706093</v>
      </c>
      <c r="B114" s="14" t="s">
        <v>12</v>
      </c>
      <c r="C114" s="14" t="s">
        <v>846</v>
      </c>
      <c r="D114" s="24">
        <v>46232</v>
      </c>
      <c r="E114" s="24">
        <v>46232</v>
      </c>
      <c r="F114" s="25">
        <v>0.65486111111111112</v>
      </c>
      <c r="G114" s="14">
        <v>2026</v>
      </c>
      <c r="H114" s="14" t="s">
        <v>137</v>
      </c>
      <c r="I114" s="14" t="s">
        <v>138</v>
      </c>
      <c r="J114" s="14" t="s">
        <v>847</v>
      </c>
      <c r="K114" s="14"/>
      <c r="L114" s="14" t="s">
        <v>6</v>
      </c>
      <c r="M114" s="14" t="s">
        <v>165</v>
      </c>
      <c r="N114" s="14" t="s">
        <v>848</v>
      </c>
      <c r="O114" s="14" t="s">
        <v>499</v>
      </c>
      <c r="P114" s="17" t="s">
        <v>849</v>
      </c>
      <c r="Q114" s="14" t="s">
        <v>224</v>
      </c>
      <c r="R114" s="14" t="s">
        <v>225</v>
      </c>
      <c r="S114" s="14" t="s">
        <v>850</v>
      </c>
      <c r="T114" s="18" t="s">
        <v>851</v>
      </c>
      <c r="U114" s="37" t="s">
        <v>852</v>
      </c>
      <c r="V114">
        <f t="shared" si="12"/>
        <v>31</v>
      </c>
      <c r="W114">
        <f t="shared" si="13"/>
        <v>7</v>
      </c>
      <c r="X114">
        <f t="shared" si="14"/>
        <v>2026</v>
      </c>
      <c r="Y114" t="str">
        <f t="shared" ref="Y114:Y119" si="17">_xlfn.CONCAT(V114,"-",X114)</f>
        <v>31-2026</v>
      </c>
      <c r="Z114" t="s">
        <v>147</v>
      </c>
      <c r="AA114" t="s">
        <v>853</v>
      </c>
      <c r="AD114" t="s">
        <v>59</v>
      </c>
      <c r="AE114">
        <v>3</v>
      </c>
      <c r="AM114"/>
      <c r="AN114" s="29"/>
    </row>
    <row r="115" spans="1:40" ht="29.1">
      <c r="A115" s="14">
        <v>3706128</v>
      </c>
      <c r="B115" s="14" t="s">
        <v>12</v>
      </c>
      <c r="C115" s="14" t="s">
        <v>846</v>
      </c>
      <c r="D115" s="24">
        <v>46232</v>
      </c>
      <c r="E115" s="24">
        <v>46232</v>
      </c>
      <c r="F115" s="25">
        <v>0.69513888888888886</v>
      </c>
      <c r="G115" s="14">
        <v>2026</v>
      </c>
      <c r="H115" s="14" t="s">
        <v>137</v>
      </c>
      <c r="I115" s="14" t="s">
        <v>138</v>
      </c>
      <c r="J115" s="14" t="s">
        <v>854</v>
      </c>
      <c r="K115" s="14"/>
      <c r="L115" s="14" t="s">
        <v>6</v>
      </c>
      <c r="M115" s="14" t="s">
        <v>165</v>
      </c>
      <c r="N115" s="14" t="s">
        <v>855</v>
      </c>
      <c r="O115" s="14" t="s">
        <v>499</v>
      </c>
      <c r="P115" s="17" t="s">
        <v>856</v>
      </c>
      <c r="Q115" s="14" t="s">
        <v>605</v>
      </c>
      <c r="R115" s="14" t="s">
        <v>225</v>
      </c>
      <c r="S115" s="14" t="s">
        <v>857</v>
      </c>
      <c r="T115" s="18" t="s">
        <v>858</v>
      </c>
      <c r="U115" s="37" t="s">
        <v>859</v>
      </c>
      <c r="V115">
        <f t="shared" si="12"/>
        <v>31</v>
      </c>
      <c r="W115">
        <f t="shared" si="13"/>
        <v>7</v>
      </c>
      <c r="X115">
        <f t="shared" si="14"/>
        <v>2026</v>
      </c>
      <c r="Y115" t="str">
        <f t="shared" si="17"/>
        <v>31-2026</v>
      </c>
      <c r="Z115" t="s">
        <v>147</v>
      </c>
      <c r="AA115" t="s">
        <v>860</v>
      </c>
      <c r="AD115" t="s">
        <v>58</v>
      </c>
      <c r="AE115">
        <v>3</v>
      </c>
      <c r="AF115" t="s">
        <v>29</v>
      </c>
      <c r="AM115"/>
      <c r="AN115" s="29"/>
    </row>
    <row r="116" spans="1:40" ht="29.1">
      <c r="A116" s="14">
        <v>3706152</v>
      </c>
      <c r="B116" s="14" t="s">
        <v>16</v>
      </c>
      <c r="C116" s="14" t="s">
        <v>240</v>
      </c>
      <c r="D116" s="24">
        <v>46232</v>
      </c>
      <c r="E116" s="24">
        <v>46232</v>
      </c>
      <c r="F116" s="25">
        <v>0.73541666666666672</v>
      </c>
      <c r="G116" s="14">
        <v>2026</v>
      </c>
      <c r="H116" s="14" t="s">
        <v>137</v>
      </c>
      <c r="I116" s="14" t="s">
        <v>138</v>
      </c>
      <c r="J116" s="14" t="s">
        <v>861</v>
      </c>
      <c r="K116" s="14" t="s">
        <v>862</v>
      </c>
      <c r="L116" s="14" t="s">
        <v>4</v>
      </c>
      <c r="M116" s="14" t="s">
        <v>93</v>
      </c>
      <c r="N116" s="14" t="s">
        <v>863</v>
      </c>
      <c r="O116" s="14" t="s">
        <v>519</v>
      </c>
      <c r="P116" s="17" t="s">
        <v>864</v>
      </c>
      <c r="Q116" s="14" t="s">
        <v>605</v>
      </c>
      <c r="R116" s="14" t="s">
        <v>501</v>
      </c>
      <c r="S116" s="28">
        <v>3123855478</v>
      </c>
      <c r="T116" s="18" t="s">
        <v>295</v>
      </c>
      <c r="U116" s="37" t="s">
        <v>865</v>
      </c>
      <c r="V116">
        <f t="shared" si="12"/>
        <v>31</v>
      </c>
      <c r="W116">
        <f t="shared" si="13"/>
        <v>7</v>
      </c>
      <c r="X116">
        <f t="shared" si="14"/>
        <v>2026</v>
      </c>
      <c r="Y116" t="str">
        <f t="shared" si="17"/>
        <v>31-2026</v>
      </c>
      <c r="Z116" t="s">
        <v>147</v>
      </c>
      <c r="AA116" t="s">
        <v>866</v>
      </c>
      <c r="AD116" t="s">
        <v>57</v>
      </c>
      <c r="AE116">
        <v>3</v>
      </c>
      <c r="AG116" t="s">
        <v>31</v>
      </c>
      <c r="AH116" t="s">
        <v>44</v>
      </c>
      <c r="AI116" s="23">
        <v>46240</v>
      </c>
      <c r="AM116"/>
      <c r="AN116" s="29"/>
    </row>
    <row r="117" spans="1:40" ht="29.1">
      <c r="A117" s="14">
        <v>3709296</v>
      </c>
      <c r="B117" s="14" t="s">
        <v>74</v>
      </c>
      <c r="C117" s="14" t="s">
        <v>867</v>
      </c>
      <c r="D117" s="24">
        <v>46233</v>
      </c>
      <c r="E117" s="24">
        <v>46233</v>
      </c>
      <c r="F117" s="25">
        <v>0.39583333333333331</v>
      </c>
      <c r="G117" s="14">
        <v>2026</v>
      </c>
      <c r="H117" s="14" t="s">
        <v>137</v>
      </c>
      <c r="I117" s="14" t="s">
        <v>138</v>
      </c>
      <c r="J117" s="14" t="s">
        <v>868</v>
      </c>
      <c r="K117" s="14"/>
      <c r="L117" s="14" t="s">
        <v>6</v>
      </c>
      <c r="M117" s="14" t="s">
        <v>96</v>
      </c>
      <c r="N117" s="14" t="s">
        <v>869</v>
      </c>
      <c r="O117" s="14" t="s">
        <v>499</v>
      </c>
      <c r="P117" s="17" t="s">
        <v>870</v>
      </c>
      <c r="Q117" s="14" t="s">
        <v>224</v>
      </c>
      <c r="R117" s="14" t="s">
        <v>225</v>
      </c>
      <c r="S117" s="28" t="s">
        <v>871</v>
      </c>
      <c r="T117" s="18" t="s">
        <v>643</v>
      </c>
      <c r="U117" s="37" t="s">
        <v>872</v>
      </c>
      <c r="V117">
        <f t="shared" si="12"/>
        <v>31</v>
      </c>
      <c r="W117">
        <f t="shared" si="13"/>
        <v>7</v>
      </c>
      <c r="X117">
        <f t="shared" si="14"/>
        <v>2026</v>
      </c>
      <c r="Y117" t="str">
        <f t="shared" si="17"/>
        <v>31-2026</v>
      </c>
      <c r="Z117" t="s">
        <v>147</v>
      </c>
      <c r="AA117" t="s">
        <v>873</v>
      </c>
      <c r="AD117" t="s">
        <v>57</v>
      </c>
      <c r="AE117">
        <v>3</v>
      </c>
      <c r="AG117" t="s">
        <v>28</v>
      </c>
      <c r="AH117" t="s">
        <v>38</v>
      </c>
      <c r="AI117" s="23">
        <v>46253</v>
      </c>
      <c r="AM117"/>
      <c r="AN117" s="29"/>
    </row>
    <row r="118" spans="1:40" ht="29.1">
      <c r="A118" s="14">
        <v>3709374</v>
      </c>
      <c r="B118" s="14" t="s">
        <v>70</v>
      </c>
      <c r="C118" s="14" t="s">
        <v>554</v>
      </c>
      <c r="D118" s="24">
        <v>46233</v>
      </c>
      <c r="E118" s="24">
        <v>46233</v>
      </c>
      <c r="F118" s="25">
        <v>0.39652777777777776</v>
      </c>
      <c r="G118" s="14">
        <v>2026</v>
      </c>
      <c r="H118" s="14" t="s">
        <v>137</v>
      </c>
      <c r="I118" s="14" t="s">
        <v>874</v>
      </c>
      <c r="J118" s="14" t="s">
        <v>875</v>
      </c>
      <c r="K118" s="14"/>
      <c r="L118" s="14" t="s">
        <v>4</v>
      </c>
      <c r="M118" s="14" t="s">
        <v>85</v>
      </c>
      <c r="N118" s="14" t="s">
        <v>876</v>
      </c>
      <c r="O118" s="14" t="s">
        <v>519</v>
      </c>
      <c r="P118" s="17" t="s">
        <v>877</v>
      </c>
      <c r="Q118" s="14" t="s">
        <v>143</v>
      </c>
      <c r="R118" s="14" t="s">
        <v>144</v>
      </c>
      <c r="S118" s="28">
        <v>3155215531</v>
      </c>
      <c r="T118" s="18" t="s">
        <v>878</v>
      </c>
      <c r="U118" s="37" t="s">
        <v>879</v>
      </c>
      <c r="V118">
        <f t="shared" si="12"/>
        <v>31</v>
      </c>
      <c r="W118">
        <f t="shared" si="13"/>
        <v>7</v>
      </c>
      <c r="X118">
        <f t="shared" si="14"/>
        <v>2026</v>
      </c>
      <c r="Y118" t="str">
        <f t="shared" si="17"/>
        <v>31-2026</v>
      </c>
      <c r="Z118" t="s">
        <v>147</v>
      </c>
      <c r="AA118" t="s">
        <v>880</v>
      </c>
      <c r="AD118" t="s">
        <v>57</v>
      </c>
      <c r="AE118">
        <v>3</v>
      </c>
      <c r="AG118" t="s">
        <v>31</v>
      </c>
      <c r="AH118" t="s">
        <v>38</v>
      </c>
      <c r="AI118" s="23">
        <v>46240</v>
      </c>
      <c r="AM118"/>
      <c r="AN118" s="29"/>
    </row>
    <row r="119" spans="1:40" ht="35.450000000000003" customHeight="1">
      <c r="A119" s="14">
        <v>3709378</v>
      </c>
      <c r="B119" s="14" t="s">
        <v>68</v>
      </c>
      <c r="C119" s="14" t="s">
        <v>541</v>
      </c>
      <c r="D119" s="24">
        <v>46233</v>
      </c>
      <c r="E119" s="24">
        <v>46233</v>
      </c>
      <c r="F119" s="25">
        <v>0.42222222222222222</v>
      </c>
      <c r="G119" s="14">
        <v>2026</v>
      </c>
      <c r="H119" s="14" t="s">
        <v>137</v>
      </c>
      <c r="I119" s="14" t="s">
        <v>138</v>
      </c>
      <c r="J119" s="14" t="s">
        <v>881</v>
      </c>
      <c r="K119" s="14"/>
      <c r="L119" s="14" t="s">
        <v>4</v>
      </c>
      <c r="M119" s="14" t="s">
        <v>85</v>
      </c>
      <c r="N119" s="14" t="s">
        <v>882</v>
      </c>
      <c r="O119" s="14" t="s">
        <v>473</v>
      </c>
      <c r="P119" s="17" t="s">
        <v>883</v>
      </c>
      <c r="Q119" s="14" t="s">
        <v>605</v>
      </c>
      <c r="R119" s="14" t="s">
        <v>144</v>
      </c>
      <c r="S119" s="28">
        <v>3108252119</v>
      </c>
      <c r="T119" s="18" t="s">
        <v>884</v>
      </c>
      <c r="U119" s="37" t="s">
        <v>885</v>
      </c>
      <c r="V119">
        <f t="shared" si="12"/>
        <v>31</v>
      </c>
      <c r="W119">
        <f t="shared" si="13"/>
        <v>7</v>
      </c>
      <c r="X119">
        <f t="shared" si="14"/>
        <v>2026</v>
      </c>
      <c r="Y119" t="str">
        <f t="shared" si="17"/>
        <v>31-2026</v>
      </c>
      <c r="Z119" t="s">
        <v>147</v>
      </c>
      <c r="AA119" t="s">
        <v>886</v>
      </c>
      <c r="AD119" t="s">
        <v>57</v>
      </c>
      <c r="AE119">
        <v>3</v>
      </c>
      <c r="AG119" t="s">
        <v>28</v>
      </c>
      <c r="AH119" t="s">
        <v>27</v>
      </c>
      <c r="AI119" s="23">
        <v>46234</v>
      </c>
      <c r="AJ119" s="23"/>
      <c r="AM119"/>
      <c r="AN119" s="29" t="s">
        <v>887</v>
      </c>
    </row>
    <row r="120" spans="1:40" ht="29.1">
      <c r="A120" s="14">
        <v>3709542</v>
      </c>
      <c r="B120" s="14" t="s">
        <v>72</v>
      </c>
      <c r="C120" s="14" t="s">
        <v>602</v>
      </c>
      <c r="D120" s="24">
        <v>46233</v>
      </c>
      <c r="E120" s="24">
        <v>46233</v>
      </c>
      <c r="F120" s="25">
        <v>0.52222222222222225</v>
      </c>
      <c r="G120" s="14">
        <v>2026</v>
      </c>
      <c r="H120" s="14" t="s">
        <v>137</v>
      </c>
      <c r="I120" s="14" t="s">
        <v>138</v>
      </c>
      <c r="J120" s="14" t="s">
        <v>888</v>
      </c>
      <c r="K120" s="14"/>
      <c r="L120" s="14" t="s">
        <v>4</v>
      </c>
      <c r="M120" s="14" t="s">
        <v>92</v>
      </c>
      <c r="N120" s="14" t="s">
        <v>889</v>
      </c>
      <c r="O120" s="14" t="s">
        <v>473</v>
      </c>
      <c r="P120" s="17" t="s">
        <v>890</v>
      </c>
      <c r="Q120" s="14" t="s">
        <v>143</v>
      </c>
      <c r="R120" s="14" t="s">
        <v>144</v>
      </c>
      <c r="S120" s="28">
        <v>3208315870</v>
      </c>
      <c r="T120" s="18" t="s">
        <v>203</v>
      </c>
      <c r="U120" s="37" t="s">
        <v>891</v>
      </c>
      <c r="V120">
        <f t="shared" si="12"/>
        <v>31</v>
      </c>
      <c r="W120">
        <f t="shared" si="13"/>
        <v>7</v>
      </c>
      <c r="X120">
        <f t="shared" si="14"/>
        <v>2026</v>
      </c>
      <c r="Y120" t="str">
        <f t="shared" ref="Y120:Y122" si="18">_xlfn.CONCAT(V120,"-",X120)</f>
        <v>31-2026</v>
      </c>
      <c r="Z120" t="s">
        <v>147</v>
      </c>
      <c r="AA120" t="s">
        <v>892</v>
      </c>
      <c r="AD120" t="s">
        <v>57</v>
      </c>
      <c r="AE120">
        <v>3</v>
      </c>
      <c r="AG120" t="s">
        <v>31</v>
      </c>
      <c r="AH120" t="s">
        <v>36</v>
      </c>
      <c r="AI120" s="23">
        <v>46237</v>
      </c>
      <c r="AM120"/>
      <c r="AN120" s="29"/>
    </row>
    <row r="121" spans="1:40" ht="29.1">
      <c r="A121" s="14">
        <v>3709560</v>
      </c>
      <c r="B121" s="14" t="s">
        <v>74</v>
      </c>
      <c r="C121" s="14" t="s">
        <v>867</v>
      </c>
      <c r="D121" s="24">
        <v>46233</v>
      </c>
      <c r="E121" s="24">
        <v>46233</v>
      </c>
      <c r="F121" s="25">
        <v>0.53541666666666665</v>
      </c>
      <c r="G121" s="14">
        <v>2026</v>
      </c>
      <c r="H121" s="14" t="s">
        <v>137</v>
      </c>
      <c r="I121" s="14" t="s">
        <v>138</v>
      </c>
      <c r="J121" s="14" t="s">
        <v>893</v>
      </c>
      <c r="K121" s="14"/>
      <c r="L121" s="14" t="s">
        <v>6</v>
      </c>
      <c r="M121" s="14" t="s">
        <v>96</v>
      </c>
      <c r="N121" s="14" t="s">
        <v>894</v>
      </c>
      <c r="O121" s="14" t="s">
        <v>499</v>
      </c>
      <c r="P121" s="17" t="s">
        <v>895</v>
      </c>
      <c r="Q121" s="14" t="s">
        <v>143</v>
      </c>
      <c r="R121" s="14" t="s">
        <v>225</v>
      </c>
      <c r="S121" s="28" t="s">
        <v>896</v>
      </c>
      <c r="T121" s="18" t="s">
        <v>897</v>
      </c>
      <c r="U121" s="37" t="s">
        <v>898</v>
      </c>
      <c r="V121">
        <f t="shared" si="12"/>
        <v>31</v>
      </c>
      <c r="W121">
        <f t="shared" si="13"/>
        <v>7</v>
      </c>
      <c r="X121">
        <f t="shared" si="14"/>
        <v>2026</v>
      </c>
      <c r="Y121" t="str">
        <f t="shared" si="18"/>
        <v>31-2026</v>
      </c>
      <c r="Z121" t="s">
        <v>147</v>
      </c>
      <c r="AA121" t="s">
        <v>899</v>
      </c>
      <c r="AD121" t="s">
        <v>57</v>
      </c>
      <c r="AE121">
        <v>3</v>
      </c>
      <c r="AG121" t="s">
        <v>28</v>
      </c>
      <c r="AH121" t="s">
        <v>38</v>
      </c>
      <c r="AI121" s="23">
        <v>46234</v>
      </c>
      <c r="AM121"/>
      <c r="AN121" s="29"/>
    </row>
    <row r="122" spans="1:40" ht="29.1">
      <c r="A122" s="14">
        <v>3709581</v>
      </c>
      <c r="B122" s="14" t="s">
        <v>18</v>
      </c>
      <c r="C122" s="14" t="s">
        <v>248</v>
      </c>
      <c r="D122" s="24">
        <v>46233</v>
      </c>
      <c r="E122" s="24">
        <v>46233</v>
      </c>
      <c r="F122" s="25">
        <v>0.55833333333333335</v>
      </c>
      <c r="G122" s="14">
        <v>2026</v>
      </c>
      <c r="H122" s="14" t="s">
        <v>137</v>
      </c>
      <c r="I122" s="14" t="s">
        <v>138</v>
      </c>
      <c r="J122" s="14" t="s">
        <v>900</v>
      </c>
      <c r="K122" s="14"/>
      <c r="L122" s="14" t="s">
        <v>4</v>
      </c>
      <c r="M122" s="14" t="s">
        <v>85</v>
      </c>
      <c r="N122" s="14" t="s">
        <v>901</v>
      </c>
      <c r="O122" s="14" t="s">
        <v>473</v>
      </c>
      <c r="P122" s="17" t="s">
        <v>902</v>
      </c>
      <c r="Q122" s="14" t="s">
        <v>143</v>
      </c>
      <c r="R122" s="14" t="s">
        <v>144</v>
      </c>
      <c r="S122" s="28">
        <v>3212132183</v>
      </c>
      <c r="T122" s="18" t="s">
        <v>453</v>
      </c>
      <c r="U122" s="37" t="s">
        <v>903</v>
      </c>
      <c r="V122">
        <f t="shared" si="12"/>
        <v>31</v>
      </c>
      <c r="W122">
        <f t="shared" si="13"/>
        <v>7</v>
      </c>
      <c r="X122">
        <f t="shared" si="14"/>
        <v>2026</v>
      </c>
      <c r="Y122" t="str">
        <f t="shared" si="18"/>
        <v>31-2026</v>
      </c>
      <c r="Z122" t="s">
        <v>147</v>
      </c>
      <c r="AA122" t="s">
        <v>904</v>
      </c>
      <c r="AD122" t="s">
        <v>57</v>
      </c>
      <c r="AE122">
        <v>3</v>
      </c>
      <c r="AG122" t="s">
        <v>31</v>
      </c>
      <c r="AH122" t="s">
        <v>40</v>
      </c>
      <c r="AI122" s="23">
        <v>46240</v>
      </c>
      <c r="AM122"/>
      <c r="AN122" s="29"/>
    </row>
    <row r="123" spans="1:40" ht="29.1">
      <c r="A123" s="14">
        <v>3706145</v>
      </c>
      <c r="B123" s="14" t="s">
        <v>12</v>
      </c>
      <c r="C123" s="14" t="s">
        <v>846</v>
      </c>
      <c r="D123" s="24">
        <v>46232</v>
      </c>
      <c r="E123" s="24">
        <v>46232</v>
      </c>
      <c r="F123" s="25">
        <v>0.72222222222222221</v>
      </c>
      <c r="G123" s="14">
        <v>2026</v>
      </c>
      <c r="H123" s="14" t="s">
        <v>137</v>
      </c>
      <c r="I123" s="14" t="s">
        <v>138</v>
      </c>
      <c r="J123" s="14" t="s">
        <v>905</v>
      </c>
      <c r="K123" s="14"/>
      <c r="L123" s="14" t="s">
        <v>6</v>
      </c>
      <c r="M123" s="14" t="s">
        <v>165</v>
      </c>
      <c r="N123" s="14" t="s">
        <v>906</v>
      </c>
      <c r="O123" s="14" t="s">
        <v>499</v>
      </c>
      <c r="P123" s="17" t="s">
        <v>907</v>
      </c>
      <c r="Q123" s="14" t="s">
        <v>224</v>
      </c>
      <c r="R123" s="14" t="s">
        <v>225</v>
      </c>
      <c r="S123" s="14" t="s">
        <v>857</v>
      </c>
      <c r="T123" s="18" t="s">
        <v>908</v>
      </c>
      <c r="U123" s="37" t="s">
        <v>909</v>
      </c>
      <c r="V123">
        <f t="shared" si="12"/>
        <v>31</v>
      </c>
      <c r="W123">
        <f t="shared" si="13"/>
        <v>7</v>
      </c>
      <c r="X123">
        <f t="shared" si="14"/>
        <v>2026</v>
      </c>
      <c r="Y123" t="str">
        <f>_xlfn.CONCAT(V123,"-",X123)</f>
        <v>31-2026</v>
      </c>
      <c r="Z123" t="s">
        <v>147</v>
      </c>
      <c r="AD123" t="s">
        <v>57</v>
      </c>
      <c r="AE123">
        <v>3</v>
      </c>
      <c r="AG123" t="s">
        <v>31</v>
      </c>
      <c r="AH123" t="s">
        <v>38</v>
      </c>
      <c r="AI123" s="23">
        <v>46252</v>
      </c>
      <c r="AM123"/>
      <c r="AN123" s="29"/>
    </row>
    <row r="124" spans="1:40" ht="33.950000000000003" customHeight="1">
      <c r="A124" s="14">
        <v>3709504</v>
      </c>
      <c r="B124" s="14" t="s">
        <v>74</v>
      </c>
      <c r="C124" s="14" t="s">
        <v>867</v>
      </c>
      <c r="D124" s="24">
        <v>46233</v>
      </c>
      <c r="E124" s="24">
        <v>46233</v>
      </c>
      <c r="F124" s="25">
        <v>0.4826388888888889</v>
      </c>
      <c r="G124" s="14">
        <v>2026</v>
      </c>
      <c r="H124" s="14" t="s">
        <v>137</v>
      </c>
      <c r="I124" s="14" t="s">
        <v>138</v>
      </c>
      <c r="J124" s="14" t="s">
        <v>910</v>
      </c>
      <c r="K124" s="14"/>
      <c r="L124" s="14" t="s">
        <v>6</v>
      </c>
      <c r="M124" s="14" t="s">
        <v>96</v>
      </c>
      <c r="N124" s="14" t="s">
        <v>911</v>
      </c>
      <c r="O124" s="14" t="s">
        <v>499</v>
      </c>
      <c r="P124" s="17" t="s">
        <v>912</v>
      </c>
      <c r="Q124" s="14" t="s">
        <v>143</v>
      </c>
      <c r="R124" s="14" t="s">
        <v>913</v>
      </c>
      <c r="S124" s="28" t="s">
        <v>914</v>
      </c>
      <c r="T124" s="18" t="s">
        <v>643</v>
      </c>
      <c r="U124" s="37" t="s">
        <v>915</v>
      </c>
      <c r="V124">
        <f t="shared" si="12"/>
        <v>31</v>
      </c>
      <c r="W124">
        <f t="shared" si="13"/>
        <v>7</v>
      </c>
      <c r="X124">
        <f t="shared" si="14"/>
        <v>2026</v>
      </c>
      <c r="Y124" t="str">
        <f>_xlfn.CONCAT(V124,"-",X124)</f>
        <v>31-2026</v>
      </c>
      <c r="Z124" t="s">
        <v>147</v>
      </c>
      <c r="AA124" t="s">
        <v>916</v>
      </c>
      <c r="AD124" t="s">
        <v>57</v>
      </c>
      <c r="AE124">
        <v>3</v>
      </c>
      <c r="AG124" t="s">
        <v>31</v>
      </c>
      <c r="AH124" t="s">
        <v>38</v>
      </c>
      <c r="AI124" s="23">
        <v>46252</v>
      </c>
      <c r="AM124"/>
      <c r="AN124" s="29"/>
    </row>
    <row r="125" spans="1:40" ht="29.1">
      <c r="A125" s="14">
        <v>3709661</v>
      </c>
      <c r="B125" s="14" t="s">
        <v>64</v>
      </c>
      <c r="C125" s="14" t="s">
        <v>656</v>
      </c>
      <c r="D125" s="24">
        <v>46233</v>
      </c>
      <c r="E125" s="24">
        <v>46233</v>
      </c>
      <c r="F125" s="25">
        <v>0.64375000000000004</v>
      </c>
      <c r="G125" s="14">
        <v>2026</v>
      </c>
      <c r="H125" s="14" t="s">
        <v>137</v>
      </c>
      <c r="I125" s="14" t="s">
        <v>138</v>
      </c>
      <c r="J125" s="14" t="s">
        <v>917</v>
      </c>
      <c r="K125" s="14"/>
      <c r="L125" s="14" t="s">
        <v>4</v>
      </c>
      <c r="M125" s="14" t="s">
        <v>85</v>
      </c>
      <c r="N125" s="14" t="s">
        <v>918</v>
      </c>
      <c r="O125" s="14" t="s">
        <v>519</v>
      </c>
      <c r="P125" s="14" t="s">
        <v>919</v>
      </c>
      <c r="Q125" s="14" t="s">
        <v>605</v>
      </c>
      <c r="R125" s="14" t="s">
        <v>144</v>
      </c>
      <c r="S125" s="28">
        <v>3202655742</v>
      </c>
      <c r="T125" s="35" t="s">
        <v>453</v>
      </c>
      <c r="U125" s="37" t="s">
        <v>920</v>
      </c>
      <c r="V125">
        <f t="shared" si="12"/>
        <v>31</v>
      </c>
      <c r="W125">
        <f t="shared" si="13"/>
        <v>7</v>
      </c>
      <c r="X125">
        <f t="shared" si="14"/>
        <v>2026</v>
      </c>
      <c r="Y125" t="str">
        <f t="shared" ref="Y125:Y154" si="19">_xlfn.CONCAT(V125,"-",X125)</f>
        <v>31-2026</v>
      </c>
      <c r="Z125" t="s">
        <v>147</v>
      </c>
      <c r="AD125" t="s">
        <v>57</v>
      </c>
      <c r="AE125">
        <v>3</v>
      </c>
      <c r="AG125" t="s">
        <v>28</v>
      </c>
      <c r="AH125" t="s">
        <v>27</v>
      </c>
      <c r="AI125" s="23">
        <v>46240</v>
      </c>
      <c r="AM125"/>
      <c r="AN125" s="29"/>
    </row>
    <row r="126" spans="1:40" ht="29.1">
      <c r="A126" s="14">
        <v>3709689</v>
      </c>
      <c r="B126" s="14" t="s">
        <v>19</v>
      </c>
      <c r="C126" s="14" t="s">
        <v>256</v>
      </c>
      <c r="D126" s="24">
        <v>46233</v>
      </c>
      <c r="E126" s="24">
        <v>46233</v>
      </c>
      <c r="F126" s="25">
        <v>0.66388888888888886</v>
      </c>
      <c r="G126" s="14">
        <v>2026</v>
      </c>
      <c r="H126" s="14" t="s">
        <v>137</v>
      </c>
      <c r="I126" s="14" t="s">
        <v>138</v>
      </c>
      <c r="J126" s="14" t="s">
        <v>921</v>
      </c>
      <c r="K126" s="14"/>
      <c r="L126" s="14" t="s">
        <v>4</v>
      </c>
      <c r="M126" s="14" t="s">
        <v>93</v>
      </c>
      <c r="N126" s="14" t="s">
        <v>922</v>
      </c>
      <c r="O126" s="14" t="s">
        <v>519</v>
      </c>
      <c r="P126" s="14" t="s">
        <v>923</v>
      </c>
      <c r="Q126" s="14" t="s">
        <v>143</v>
      </c>
      <c r="R126" s="14" t="s">
        <v>144</v>
      </c>
      <c r="S126" s="28">
        <v>3102077522</v>
      </c>
      <c r="T126" s="35" t="s">
        <v>261</v>
      </c>
      <c r="U126" s="38" t="s">
        <v>924</v>
      </c>
      <c r="V126">
        <f t="shared" si="12"/>
        <v>31</v>
      </c>
      <c r="W126">
        <f t="shared" si="13"/>
        <v>7</v>
      </c>
      <c r="X126">
        <f t="shared" si="14"/>
        <v>2026</v>
      </c>
      <c r="Y126" t="str">
        <f t="shared" si="19"/>
        <v>31-2026</v>
      </c>
      <c r="Z126" t="s">
        <v>147</v>
      </c>
      <c r="AD126" t="s">
        <v>58</v>
      </c>
      <c r="AE126">
        <v>3</v>
      </c>
      <c r="AM126"/>
      <c r="AN126" s="29"/>
    </row>
    <row r="127" spans="1:40" ht="29.1">
      <c r="A127" s="14">
        <v>3709694</v>
      </c>
      <c r="B127" s="14" t="s">
        <v>19</v>
      </c>
      <c r="C127" s="14" t="s">
        <v>256</v>
      </c>
      <c r="D127" s="24">
        <v>46233</v>
      </c>
      <c r="E127" s="24">
        <v>46233</v>
      </c>
      <c r="F127" s="25">
        <v>0.66805555555555551</v>
      </c>
      <c r="G127" s="14">
        <v>2026</v>
      </c>
      <c r="H127" s="14" t="s">
        <v>137</v>
      </c>
      <c r="I127" s="14" t="s">
        <v>138</v>
      </c>
      <c r="J127" s="14" t="s">
        <v>925</v>
      </c>
      <c r="K127" s="14"/>
      <c r="L127" s="14" t="s">
        <v>4</v>
      </c>
      <c r="M127" s="14" t="s">
        <v>93</v>
      </c>
      <c r="N127" s="14" t="s">
        <v>926</v>
      </c>
      <c r="O127" s="14" t="s">
        <v>519</v>
      </c>
      <c r="P127" s="17" t="s">
        <v>927</v>
      </c>
      <c r="Q127" s="14" t="s">
        <v>143</v>
      </c>
      <c r="R127" s="14" t="s">
        <v>144</v>
      </c>
      <c r="S127" s="28">
        <v>3118053860</v>
      </c>
      <c r="T127" s="35" t="s">
        <v>513</v>
      </c>
      <c r="U127" s="38" t="s">
        <v>928</v>
      </c>
      <c r="V127">
        <f t="shared" si="12"/>
        <v>31</v>
      </c>
      <c r="W127">
        <f t="shared" si="13"/>
        <v>7</v>
      </c>
      <c r="X127">
        <f t="shared" si="14"/>
        <v>2026</v>
      </c>
      <c r="Y127" t="str">
        <f t="shared" si="19"/>
        <v>31-2026</v>
      </c>
      <c r="Z127" t="s">
        <v>147</v>
      </c>
      <c r="AD127" t="s">
        <v>57</v>
      </c>
      <c r="AE127">
        <v>3</v>
      </c>
      <c r="AG127" t="s">
        <v>28</v>
      </c>
      <c r="AH127" t="s">
        <v>44</v>
      </c>
      <c r="AI127" s="23">
        <v>46240</v>
      </c>
      <c r="AM127"/>
      <c r="AN127" s="29"/>
    </row>
    <row r="128" spans="1:40" ht="29.1">
      <c r="A128" s="14">
        <v>3709716</v>
      </c>
      <c r="B128" s="14" t="s">
        <v>14</v>
      </c>
      <c r="C128" s="14" t="s">
        <v>180</v>
      </c>
      <c r="D128" s="24">
        <v>46233</v>
      </c>
      <c r="E128" s="24">
        <v>46233</v>
      </c>
      <c r="F128" s="25">
        <v>0.69652777777777775</v>
      </c>
      <c r="G128" s="14">
        <v>2026</v>
      </c>
      <c r="H128" s="14" t="s">
        <v>137</v>
      </c>
      <c r="I128" s="14" t="s">
        <v>138</v>
      </c>
      <c r="J128" s="14" t="s">
        <v>929</v>
      </c>
      <c r="K128" s="14"/>
      <c r="L128" s="14" t="s">
        <v>6</v>
      </c>
      <c r="M128" s="14" t="s">
        <v>165</v>
      </c>
      <c r="N128" s="14" t="s">
        <v>930</v>
      </c>
      <c r="O128" s="14" t="s">
        <v>499</v>
      </c>
      <c r="P128" s="17" t="s">
        <v>931</v>
      </c>
      <c r="Q128" s="14" t="s">
        <v>143</v>
      </c>
      <c r="R128" s="14" t="s">
        <v>144</v>
      </c>
      <c r="S128" s="28">
        <v>3148881602</v>
      </c>
      <c r="T128" s="35" t="s">
        <v>325</v>
      </c>
      <c r="U128" s="38" t="s">
        <v>932</v>
      </c>
      <c r="V128">
        <f t="shared" si="12"/>
        <v>31</v>
      </c>
      <c r="W128">
        <f t="shared" si="13"/>
        <v>7</v>
      </c>
      <c r="X128">
        <f t="shared" si="14"/>
        <v>2026</v>
      </c>
      <c r="Y128" t="str">
        <f t="shared" si="19"/>
        <v>31-2026</v>
      </c>
      <c r="Z128" t="s">
        <v>147</v>
      </c>
      <c r="AD128" t="s">
        <v>57</v>
      </c>
      <c r="AE128">
        <v>3</v>
      </c>
      <c r="AG128" t="s">
        <v>31</v>
      </c>
      <c r="AH128" t="s">
        <v>38</v>
      </c>
      <c r="AI128" s="23">
        <v>46252</v>
      </c>
      <c r="AM128"/>
      <c r="AN128" s="29"/>
    </row>
    <row r="129" spans="1:40" ht="29.1">
      <c r="A129" s="14">
        <v>3709641</v>
      </c>
      <c r="B129" s="14" t="s">
        <v>61</v>
      </c>
      <c r="C129" s="14" t="s">
        <v>489</v>
      </c>
      <c r="D129" s="24">
        <v>46233</v>
      </c>
      <c r="E129" s="24">
        <v>46233</v>
      </c>
      <c r="F129" s="25">
        <v>0.76180555555555551</v>
      </c>
      <c r="G129" s="14">
        <v>2026</v>
      </c>
      <c r="H129" s="14" t="s">
        <v>137</v>
      </c>
      <c r="I129" s="14" t="s">
        <v>138</v>
      </c>
      <c r="J129" s="14" t="s">
        <v>933</v>
      </c>
      <c r="K129" s="14"/>
      <c r="L129" s="14" t="s">
        <v>4</v>
      </c>
      <c r="M129" s="14" t="s">
        <v>85</v>
      </c>
      <c r="N129" s="14" t="s">
        <v>934</v>
      </c>
      <c r="O129" s="14" t="s">
        <v>473</v>
      </c>
      <c r="P129" s="14" t="s">
        <v>935</v>
      </c>
      <c r="Q129" s="14" t="s">
        <v>143</v>
      </c>
      <c r="R129" s="14" t="s">
        <v>144</v>
      </c>
      <c r="S129" s="28">
        <v>3114857338</v>
      </c>
      <c r="T129" s="35">
        <v>3114857338</v>
      </c>
      <c r="U129" s="38" t="s">
        <v>936</v>
      </c>
      <c r="V129">
        <f t="shared" si="12"/>
        <v>31</v>
      </c>
      <c r="W129">
        <f t="shared" si="13"/>
        <v>7</v>
      </c>
      <c r="X129">
        <f t="shared" si="14"/>
        <v>2026</v>
      </c>
      <c r="Y129" t="str">
        <f t="shared" si="19"/>
        <v>31-2026</v>
      </c>
      <c r="Z129" t="s">
        <v>937</v>
      </c>
      <c r="AD129" t="s">
        <v>58</v>
      </c>
      <c r="AE129">
        <v>3</v>
      </c>
      <c r="AF129" t="s">
        <v>29</v>
      </c>
      <c r="AM129"/>
      <c r="AN129" s="29"/>
    </row>
    <row r="130" spans="1:40" ht="43.5">
      <c r="A130" s="14">
        <v>3709757</v>
      </c>
      <c r="B130" s="14" t="s">
        <v>61</v>
      </c>
      <c r="C130" s="14" t="s">
        <v>489</v>
      </c>
      <c r="D130" s="24">
        <v>46233</v>
      </c>
      <c r="E130" s="24">
        <v>46233</v>
      </c>
      <c r="F130" s="25">
        <v>0.77083333333333337</v>
      </c>
      <c r="G130" s="14">
        <v>2026</v>
      </c>
      <c r="H130" s="14" t="s">
        <v>137</v>
      </c>
      <c r="I130" s="14" t="s">
        <v>138</v>
      </c>
      <c r="J130" s="14" t="s">
        <v>938</v>
      </c>
      <c r="K130" s="14"/>
      <c r="L130" s="14" t="s">
        <v>4</v>
      </c>
      <c r="M130" s="14" t="s">
        <v>85</v>
      </c>
      <c r="N130" s="14" t="s">
        <v>939</v>
      </c>
      <c r="O130" s="14" t="s">
        <v>499</v>
      </c>
      <c r="P130" s="14" t="s">
        <v>940</v>
      </c>
      <c r="Q130" s="14" t="s">
        <v>224</v>
      </c>
      <c r="R130" s="14" t="s">
        <v>225</v>
      </c>
      <c r="S130" s="28">
        <v>3102400431</v>
      </c>
      <c r="T130" s="35">
        <v>3102400431</v>
      </c>
      <c r="U130" s="38" t="s">
        <v>941</v>
      </c>
      <c r="V130">
        <f t="shared" ref="V130:V161" si="20">WEEKNUM(E130)</f>
        <v>31</v>
      </c>
      <c r="W130">
        <f t="shared" ref="W130:W161" si="21">MONTH(E130)</f>
        <v>7</v>
      </c>
      <c r="X130">
        <f t="shared" ref="X130:X161" si="22">YEAR(E130)</f>
        <v>2026</v>
      </c>
      <c r="Y130" t="str">
        <f t="shared" si="19"/>
        <v>31-2026</v>
      </c>
      <c r="Z130" t="s">
        <v>147</v>
      </c>
      <c r="AD130" t="s">
        <v>57</v>
      </c>
      <c r="AE130">
        <v>3</v>
      </c>
      <c r="AG130" t="s">
        <v>28</v>
      </c>
      <c r="AH130" t="s">
        <v>33</v>
      </c>
      <c r="AI130" s="23">
        <v>46240</v>
      </c>
      <c r="AM130"/>
      <c r="AN130" s="29" t="s">
        <v>942</v>
      </c>
    </row>
    <row r="131" spans="1:40" ht="29.1">
      <c r="A131" s="14">
        <v>3709760</v>
      </c>
      <c r="B131" s="14" t="s">
        <v>61</v>
      </c>
      <c r="C131" s="14" t="s">
        <v>489</v>
      </c>
      <c r="D131" s="24">
        <v>46233</v>
      </c>
      <c r="E131" s="24">
        <v>46233</v>
      </c>
      <c r="F131" s="25">
        <v>0.78125</v>
      </c>
      <c r="G131" s="14">
        <v>2026</v>
      </c>
      <c r="H131" s="14" t="s">
        <v>137</v>
      </c>
      <c r="I131" s="14" t="s">
        <v>138</v>
      </c>
      <c r="J131" s="14" t="s">
        <v>943</v>
      </c>
      <c r="K131" s="14"/>
      <c r="L131" s="14" t="s">
        <v>4</v>
      </c>
      <c r="M131" s="14" t="s">
        <v>85</v>
      </c>
      <c r="N131" s="14" t="s">
        <v>944</v>
      </c>
      <c r="O131" s="14" t="s">
        <v>473</v>
      </c>
      <c r="P131" s="14" t="s">
        <v>945</v>
      </c>
      <c r="Q131" s="14" t="s">
        <v>224</v>
      </c>
      <c r="R131" s="14" t="s">
        <v>144</v>
      </c>
      <c r="S131" s="28">
        <v>3152331861</v>
      </c>
      <c r="T131" s="35">
        <v>3152331861</v>
      </c>
      <c r="U131" s="38" t="s">
        <v>946</v>
      </c>
      <c r="V131">
        <f t="shared" si="20"/>
        <v>31</v>
      </c>
      <c r="W131">
        <f t="shared" si="21"/>
        <v>7</v>
      </c>
      <c r="X131">
        <f t="shared" si="22"/>
        <v>2026</v>
      </c>
      <c r="Y131" t="str">
        <f t="shared" si="19"/>
        <v>31-2026</v>
      </c>
      <c r="Z131" t="s">
        <v>147</v>
      </c>
      <c r="AD131" t="s">
        <v>58</v>
      </c>
      <c r="AE131">
        <v>3</v>
      </c>
      <c r="AF131" t="s">
        <v>50</v>
      </c>
      <c r="AM131"/>
      <c r="AN131" s="29"/>
    </row>
    <row r="132" spans="1:40" ht="29.1">
      <c r="A132" s="14">
        <v>3709823</v>
      </c>
      <c r="B132" s="14" t="s">
        <v>15</v>
      </c>
      <c r="C132" s="14" t="s">
        <v>219</v>
      </c>
      <c r="D132" s="24">
        <v>46233</v>
      </c>
      <c r="E132" s="24">
        <v>46233</v>
      </c>
      <c r="F132" s="25">
        <v>0.85277777777777775</v>
      </c>
      <c r="G132" s="14">
        <v>2026</v>
      </c>
      <c r="H132" s="14" t="s">
        <v>137</v>
      </c>
      <c r="I132" s="14" t="s">
        <v>138</v>
      </c>
      <c r="J132" s="14" t="s">
        <v>947</v>
      </c>
      <c r="K132" s="14"/>
      <c r="L132" s="14" t="s">
        <v>4</v>
      </c>
      <c r="M132" s="14" t="s">
        <v>85</v>
      </c>
      <c r="N132" s="14" t="s">
        <v>948</v>
      </c>
      <c r="O132" s="14" t="s">
        <v>519</v>
      </c>
      <c r="P132" s="14" t="s">
        <v>949</v>
      </c>
      <c r="Q132" s="14" t="s">
        <v>143</v>
      </c>
      <c r="R132" s="14" t="s">
        <v>176</v>
      </c>
      <c r="S132" s="28">
        <v>3197316690</v>
      </c>
      <c r="T132" s="35" t="s">
        <v>950</v>
      </c>
      <c r="U132" s="38" t="s">
        <v>951</v>
      </c>
      <c r="V132">
        <f t="shared" si="20"/>
        <v>31</v>
      </c>
      <c r="W132">
        <f t="shared" si="21"/>
        <v>7</v>
      </c>
      <c r="X132">
        <f t="shared" si="22"/>
        <v>2026</v>
      </c>
      <c r="Y132" t="str">
        <f t="shared" si="19"/>
        <v>31-2026</v>
      </c>
      <c r="Z132" t="s">
        <v>147</v>
      </c>
      <c r="AD132" t="s">
        <v>58</v>
      </c>
      <c r="AE132">
        <v>3</v>
      </c>
      <c r="AF132" t="s">
        <v>29</v>
      </c>
      <c r="AM132"/>
      <c r="AN132" s="29"/>
    </row>
    <row r="133" spans="1:40" ht="29.1">
      <c r="A133" s="14">
        <v>3709826</v>
      </c>
      <c r="B133" s="14" t="s">
        <v>15</v>
      </c>
      <c r="C133" s="14" t="s">
        <v>219</v>
      </c>
      <c r="D133" s="24">
        <v>46233</v>
      </c>
      <c r="E133" s="24">
        <v>46233</v>
      </c>
      <c r="F133" s="25">
        <v>0.85763888888888884</v>
      </c>
      <c r="G133" s="14">
        <v>2026</v>
      </c>
      <c r="H133" s="14" t="s">
        <v>137</v>
      </c>
      <c r="I133" s="14" t="s">
        <v>138</v>
      </c>
      <c r="J133" s="14" t="s">
        <v>952</v>
      </c>
      <c r="K133" s="14"/>
      <c r="L133" s="14" t="s">
        <v>4</v>
      </c>
      <c r="M133" s="14" t="s">
        <v>85</v>
      </c>
      <c r="N133" s="14" t="s">
        <v>953</v>
      </c>
      <c r="O133" s="14" t="s">
        <v>519</v>
      </c>
      <c r="P133" s="14" t="s">
        <v>954</v>
      </c>
      <c r="Q133" s="14" t="s">
        <v>143</v>
      </c>
      <c r="R133" s="14" t="s">
        <v>144</v>
      </c>
      <c r="S133" s="28">
        <v>3165326461</v>
      </c>
      <c r="T133" s="35" t="s">
        <v>955</v>
      </c>
      <c r="U133" s="38" t="s">
        <v>956</v>
      </c>
      <c r="V133">
        <f t="shared" si="20"/>
        <v>31</v>
      </c>
      <c r="W133">
        <f t="shared" si="21"/>
        <v>7</v>
      </c>
      <c r="X133">
        <f t="shared" si="22"/>
        <v>2026</v>
      </c>
      <c r="Y133" t="str">
        <f t="shared" si="19"/>
        <v>31-2026</v>
      </c>
      <c r="Z133" t="s">
        <v>147</v>
      </c>
      <c r="AD133" t="s">
        <v>58</v>
      </c>
      <c r="AE133">
        <v>3</v>
      </c>
      <c r="AF133" t="s">
        <v>29</v>
      </c>
      <c r="AM133"/>
      <c r="AN133" s="29"/>
    </row>
    <row r="134" spans="1:40" ht="29.1">
      <c r="A134" s="14">
        <v>3709847</v>
      </c>
      <c r="B134" s="14" t="s">
        <v>75</v>
      </c>
      <c r="C134" s="14" t="s">
        <v>149</v>
      </c>
      <c r="D134" s="24">
        <v>46233</v>
      </c>
      <c r="E134" s="24">
        <v>46233</v>
      </c>
      <c r="F134" s="25">
        <v>0.88194444444444442</v>
      </c>
      <c r="G134" s="14">
        <v>2026</v>
      </c>
      <c r="H134" s="14" t="s">
        <v>137</v>
      </c>
      <c r="I134" s="14" t="s">
        <v>138</v>
      </c>
      <c r="J134" s="14" t="s">
        <v>957</v>
      </c>
      <c r="K134" s="14"/>
      <c r="L134" s="14" t="s">
        <v>4</v>
      </c>
      <c r="M134" s="14" t="s">
        <v>85</v>
      </c>
      <c r="N134" s="14" t="s">
        <v>958</v>
      </c>
      <c r="O134" s="14" t="s">
        <v>519</v>
      </c>
      <c r="P134" s="14" t="s">
        <v>959</v>
      </c>
      <c r="Q134" s="14" t="s">
        <v>143</v>
      </c>
      <c r="R134" s="14" t="s">
        <v>225</v>
      </c>
      <c r="S134" s="28">
        <v>3108603076</v>
      </c>
      <c r="T134" s="35">
        <v>3204247924</v>
      </c>
      <c r="U134" s="38" t="s">
        <v>960</v>
      </c>
      <c r="V134">
        <f t="shared" si="20"/>
        <v>31</v>
      </c>
      <c r="W134">
        <f t="shared" si="21"/>
        <v>7</v>
      </c>
      <c r="X134">
        <f t="shared" si="22"/>
        <v>2026</v>
      </c>
      <c r="Y134" t="str">
        <f t="shared" si="19"/>
        <v>31-2026</v>
      </c>
      <c r="Z134" t="s">
        <v>147</v>
      </c>
      <c r="AD134" t="s">
        <v>57</v>
      </c>
      <c r="AE134">
        <v>3</v>
      </c>
      <c r="AG134" t="s">
        <v>31</v>
      </c>
      <c r="AH134" t="s">
        <v>36</v>
      </c>
      <c r="AI134" s="23">
        <v>46240</v>
      </c>
      <c r="AL134" t="s">
        <v>58</v>
      </c>
      <c r="AM134" t="s">
        <v>961</v>
      </c>
      <c r="AN134" s="29"/>
    </row>
    <row r="135" spans="1:40" ht="29.1">
      <c r="A135" s="14">
        <v>3709764</v>
      </c>
      <c r="B135" s="14" t="s">
        <v>11</v>
      </c>
      <c r="C135" s="14" t="s">
        <v>346</v>
      </c>
      <c r="D135" s="24">
        <v>46233</v>
      </c>
      <c r="E135" s="24">
        <v>46233</v>
      </c>
      <c r="F135" s="25">
        <v>0.78541666666666665</v>
      </c>
      <c r="G135" s="14">
        <v>2026</v>
      </c>
      <c r="H135" s="14" t="s">
        <v>137</v>
      </c>
      <c r="I135" s="14" t="s">
        <v>138</v>
      </c>
      <c r="J135" s="14" t="s">
        <v>962</v>
      </c>
      <c r="K135" s="14"/>
      <c r="L135" s="14" t="s">
        <v>4</v>
      </c>
      <c r="M135" s="14" t="s">
        <v>85</v>
      </c>
      <c r="N135" s="14" t="s">
        <v>963</v>
      </c>
      <c r="O135" s="14" t="s">
        <v>519</v>
      </c>
      <c r="P135" s="14" t="s">
        <v>964</v>
      </c>
      <c r="Q135" s="14" t="s">
        <v>143</v>
      </c>
      <c r="R135" s="14" t="s">
        <v>225</v>
      </c>
      <c r="S135" s="28">
        <v>3182433298</v>
      </c>
      <c r="T135" s="35" t="s">
        <v>460</v>
      </c>
      <c r="U135" s="38" t="s">
        <v>965</v>
      </c>
      <c r="V135">
        <f t="shared" si="20"/>
        <v>31</v>
      </c>
      <c r="W135">
        <f t="shared" si="21"/>
        <v>7</v>
      </c>
      <c r="X135">
        <f t="shared" si="22"/>
        <v>2026</v>
      </c>
      <c r="Y135" t="str">
        <f t="shared" si="19"/>
        <v>31-2026</v>
      </c>
      <c r="Z135" t="s">
        <v>147</v>
      </c>
      <c r="AD135" t="s">
        <v>58</v>
      </c>
      <c r="AE135">
        <v>3</v>
      </c>
      <c r="AF135" t="s">
        <v>29</v>
      </c>
      <c r="AM135"/>
      <c r="AN135" s="29"/>
    </row>
    <row r="136" spans="1:40" ht="29.1">
      <c r="A136" s="14">
        <v>3709768</v>
      </c>
      <c r="B136" s="14" t="s">
        <v>11</v>
      </c>
      <c r="C136" s="14" t="s">
        <v>346</v>
      </c>
      <c r="D136" s="24">
        <v>46233</v>
      </c>
      <c r="E136" s="24">
        <v>46233</v>
      </c>
      <c r="F136" s="25">
        <v>0.79791666666666672</v>
      </c>
      <c r="G136" s="14">
        <v>2026</v>
      </c>
      <c r="H136" s="14" t="s">
        <v>137</v>
      </c>
      <c r="I136" s="14" t="s">
        <v>138</v>
      </c>
      <c r="J136" s="14" t="s">
        <v>966</v>
      </c>
      <c r="K136" s="14"/>
      <c r="L136" s="14" t="s">
        <v>4</v>
      </c>
      <c r="M136" s="14" t="s">
        <v>85</v>
      </c>
      <c r="N136" s="14" t="s">
        <v>967</v>
      </c>
      <c r="O136" s="14" t="s">
        <v>519</v>
      </c>
      <c r="P136" s="14" t="s">
        <v>968</v>
      </c>
      <c r="Q136" s="14" t="s">
        <v>605</v>
      </c>
      <c r="R136" s="14" t="s">
        <v>535</v>
      </c>
      <c r="S136" s="28">
        <v>3173724085</v>
      </c>
      <c r="T136" s="35" t="s">
        <v>460</v>
      </c>
      <c r="U136" s="38" t="s">
        <v>969</v>
      </c>
      <c r="V136">
        <f t="shared" si="20"/>
        <v>31</v>
      </c>
      <c r="W136">
        <f t="shared" si="21"/>
        <v>7</v>
      </c>
      <c r="X136">
        <f t="shared" si="22"/>
        <v>2026</v>
      </c>
      <c r="Y136" t="str">
        <f t="shared" si="19"/>
        <v>31-2026</v>
      </c>
      <c r="Z136" t="s">
        <v>147</v>
      </c>
      <c r="AD136" t="s">
        <v>58</v>
      </c>
      <c r="AE136">
        <v>3</v>
      </c>
      <c r="AF136" t="s">
        <v>29</v>
      </c>
      <c r="AM136"/>
      <c r="AN136" s="29"/>
    </row>
    <row r="137" spans="1:40" ht="29.1">
      <c r="A137" s="14">
        <v>3709784</v>
      </c>
      <c r="B137" s="14" t="s">
        <v>11</v>
      </c>
      <c r="C137" s="14" t="s">
        <v>346</v>
      </c>
      <c r="D137" s="24">
        <v>46233</v>
      </c>
      <c r="E137" s="24">
        <v>46233</v>
      </c>
      <c r="F137" s="25">
        <v>0.80972222222222223</v>
      </c>
      <c r="G137" s="14">
        <v>2026</v>
      </c>
      <c r="H137" s="14" t="s">
        <v>137</v>
      </c>
      <c r="I137" s="14" t="s">
        <v>138</v>
      </c>
      <c r="J137" s="14" t="s">
        <v>970</v>
      </c>
      <c r="K137" s="14"/>
      <c r="L137" s="14" t="s">
        <v>4</v>
      </c>
      <c r="M137" s="14" t="s">
        <v>85</v>
      </c>
      <c r="N137" s="14" t="s">
        <v>971</v>
      </c>
      <c r="O137" s="14" t="s">
        <v>519</v>
      </c>
      <c r="P137" s="14" t="s">
        <v>972</v>
      </c>
      <c r="Q137" s="14" t="s">
        <v>605</v>
      </c>
      <c r="R137" s="14" t="s">
        <v>144</v>
      </c>
      <c r="S137" s="28">
        <v>3204805403</v>
      </c>
      <c r="T137" s="35" t="s">
        <v>460</v>
      </c>
      <c r="U137" s="38" t="s">
        <v>973</v>
      </c>
      <c r="V137">
        <f t="shared" si="20"/>
        <v>31</v>
      </c>
      <c r="W137">
        <f t="shared" si="21"/>
        <v>7</v>
      </c>
      <c r="X137">
        <f t="shared" si="22"/>
        <v>2026</v>
      </c>
      <c r="Y137" t="str">
        <f t="shared" si="19"/>
        <v>31-2026</v>
      </c>
      <c r="Z137" t="s">
        <v>147</v>
      </c>
      <c r="AD137" t="s">
        <v>57</v>
      </c>
      <c r="AE137">
        <v>3</v>
      </c>
      <c r="AG137" t="s">
        <v>31</v>
      </c>
      <c r="AH137" t="s">
        <v>36</v>
      </c>
      <c r="AI137" s="23">
        <v>46240</v>
      </c>
      <c r="AL137" t="s">
        <v>58</v>
      </c>
      <c r="AM137" t="s">
        <v>974</v>
      </c>
      <c r="AN137" s="29"/>
    </row>
    <row r="138" spans="1:40" ht="29.1">
      <c r="A138" s="14">
        <v>3713238</v>
      </c>
      <c r="B138" s="14" t="s">
        <v>76</v>
      </c>
      <c r="C138" s="14" t="s">
        <v>597</v>
      </c>
      <c r="D138" s="24">
        <v>46234</v>
      </c>
      <c r="E138" s="24">
        <v>46234</v>
      </c>
      <c r="F138" s="25">
        <v>0.5493055555555556</v>
      </c>
      <c r="G138" s="14">
        <v>2026</v>
      </c>
      <c r="H138" s="14" t="s">
        <v>137</v>
      </c>
      <c r="I138" s="14" t="s">
        <v>138</v>
      </c>
      <c r="J138" s="14" t="s">
        <v>975</v>
      </c>
      <c r="K138" s="14"/>
      <c r="L138" s="14" t="s">
        <v>6</v>
      </c>
      <c r="M138" s="14" t="s">
        <v>165</v>
      </c>
      <c r="N138" s="14" t="s">
        <v>976</v>
      </c>
      <c r="O138" s="14" t="s">
        <v>499</v>
      </c>
      <c r="P138" s="14" t="s">
        <v>977</v>
      </c>
      <c r="Q138" s="14" t="s">
        <v>143</v>
      </c>
      <c r="R138" s="14" t="s">
        <v>193</v>
      </c>
      <c r="S138" s="28">
        <v>3012105965</v>
      </c>
      <c r="T138" s="35" t="s">
        <v>978</v>
      </c>
      <c r="U138" s="38" t="s">
        <v>979</v>
      </c>
      <c r="V138">
        <f t="shared" si="20"/>
        <v>31</v>
      </c>
      <c r="W138">
        <f t="shared" si="21"/>
        <v>7</v>
      </c>
      <c r="X138">
        <f t="shared" si="22"/>
        <v>2026</v>
      </c>
      <c r="Y138" t="str">
        <f t="shared" si="19"/>
        <v>31-2026</v>
      </c>
      <c r="Z138" t="s">
        <v>147</v>
      </c>
      <c r="AD138" t="s">
        <v>59</v>
      </c>
      <c r="AE138">
        <v>4</v>
      </c>
      <c r="AM138"/>
      <c r="AN138" s="29"/>
    </row>
    <row r="139" spans="1:40" ht="29.1">
      <c r="A139" s="14">
        <v>3713321</v>
      </c>
      <c r="B139" s="14" t="s">
        <v>62</v>
      </c>
      <c r="C139" s="14" t="s">
        <v>188</v>
      </c>
      <c r="D139" s="24">
        <v>46234</v>
      </c>
      <c r="E139" s="24">
        <v>46234</v>
      </c>
      <c r="F139" s="25">
        <v>0.61527777777777781</v>
      </c>
      <c r="G139" s="14">
        <v>2026</v>
      </c>
      <c r="H139" s="14" t="s">
        <v>137</v>
      </c>
      <c r="I139" s="14" t="s">
        <v>138</v>
      </c>
      <c r="J139" s="14" t="s">
        <v>980</v>
      </c>
      <c r="K139" s="14"/>
      <c r="L139" s="14" t="s">
        <v>4</v>
      </c>
      <c r="M139" s="14" t="s">
        <v>85</v>
      </c>
      <c r="N139" s="14" t="s">
        <v>981</v>
      </c>
      <c r="O139" s="14" t="s">
        <v>473</v>
      </c>
      <c r="P139" s="14" t="s">
        <v>982</v>
      </c>
      <c r="Q139" s="14" t="s">
        <v>143</v>
      </c>
      <c r="R139" s="14" t="s">
        <v>144</v>
      </c>
      <c r="S139" s="28" t="s">
        <v>983</v>
      </c>
      <c r="T139" s="35">
        <v>3223059423</v>
      </c>
      <c r="U139" s="38" t="s">
        <v>984</v>
      </c>
      <c r="V139">
        <f t="shared" si="20"/>
        <v>31</v>
      </c>
      <c r="W139">
        <f t="shared" si="21"/>
        <v>7</v>
      </c>
      <c r="X139">
        <f t="shared" si="22"/>
        <v>2026</v>
      </c>
      <c r="Y139" t="str">
        <f t="shared" si="19"/>
        <v>31-2026</v>
      </c>
      <c r="Z139" t="s">
        <v>147</v>
      </c>
      <c r="AD139" t="s">
        <v>58</v>
      </c>
      <c r="AE139">
        <v>4</v>
      </c>
      <c r="AF139" t="s">
        <v>29</v>
      </c>
      <c r="AM139"/>
      <c r="AN139" s="29"/>
    </row>
    <row r="140" spans="1:40" ht="29.1">
      <c r="A140" s="14">
        <v>3713323</v>
      </c>
      <c r="B140" s="14" t="s">
        <v>68</v>
      </c>
      <c r="C140" s="14" t="s">
        <v>541</v>
      </c>
      <c r="D140" s="24">
        <v>46234</v>
      </c>
      <c r="E140" s="24">
        <v>46234</v>
      </c>
      <c r="F140" s="25">
        <v>0.62013888888888891</v>
      </c>
      <c r="G140" s="14">
        <v>2026</v>
      </c>
      <c r="H140" s="14" t="s">
        <v>137</v>
      </c>
      <c r="I140" s="14" t="s">
        <v>138</v>
      </c>
      <c r="J140" s="14" t="s">
        <v>985</v>
      </c>
      <c r="K140" s="14"/>
      <c r="L140" s="14" t="s">
        <v>4</v>
      </c>
      <c r="M140" s="14" t="s">
        <v>85</v>
      </c>
      <c r="N140" s="14" t="s">
        <v>986</v>
      </c>
      <c r="O140" s="14" t="s">
        <v>473</v>
      </c>
      <c r="P140" s="14" t="s">
        <v>987</v>
      </c>
      <c r="Q140" s="14" t="s">
        <v>143</v>
      </c>
      <c r="R140" s="14" t="s">
        <v>988</v>
      </c>
      <c r="S140" s="28" t="s">
        <v>989</v>
      </c>
      <c r="T140" s="35" t="s">
        <v>295</v>
      </c>
      <c r="U140" s="38" t="s">
        <v>990</v>
      </c>
      <c r="V140">
        <f t="shared" si="20"/>
        <v>31</v>
      </c>
      <c r="W140">
        <f t="shared" si="21"/>
        <v>7</v>
      </c>
      <c r="X140">
        <f t="shared" si="22"/>
        <v>2026</v>
      </c>
      <c r="Y140" t="str">
        <f t="shared" si="19"/>
        <v>31-2026</v>
      </c>
      <c r="Z140" t="s">
        <v>147</v>
      </c>
      <c r="AD140" t="s">
        <v>57</v>
      </c>
      <c r="AE140">
        <v>4</v>
      </c>
      <c r="AG140" t="s">
        <v>31</v>
      </c>
      <c r="AH140" t="s">
        <v>33</v>
      </c>
      <c r="AI140" s="23">
        <v>46240</v>
      </c>
      <c r="AM140"/>
      <c r="AN140" s="29"/>
    </row>
    <row r="141" spans="1:40" ht="39.6" customHeight="1">
      <c r="A141" s="14">
        <v>3713388</v>
      </c>
      <c r="B141" s="14" t="s">
        <v>68</v>
      </c>
      <c r="C141" s="14" t="s">
        <v>541</v>
      </c>
      <c r="D141" s="24">
        <v>46234</v>
      </c>
      <c r="E141" s="24">
        <v>46234</v>
      </c>
      <c r="F141" s="25">
        <v>0.74375000000000002</v>
      </c>
      <c r="G141" s="14">
        <v>2026</v>
      </c>
      <c r="H141" s="14" t="s">
        <v>137</v>
      </c>
      <c r="I141" s="14" t="s">
        <v>138</v>
      </c>
      <c r="J141" s="14" t="s">
        <v>991</v>
      </c>
      <c r="K141" s="14"/>
      <c r="L141" s="14" t="s">
        <v>4</v>
      </c>
      <c r="M141" s="14" t="s">
        <v>85</v>
      </c>
      <c r="N141" s="14" t="s">
        <v>992</v>
      </c>
      <c r="O141" s="14" t="s">
        <v>473</v>
      </c>
      <c r="P141" s="14" t="s">
        <v>993</v>
      </c>
      <c r="Q141" s="14" t="s">
        <v>224</v>
      </c>
      <c r="R141" s="14" t="s">
        <v>225</v>
      </c>
      <c r="S141" s="28" t="s">
        <v>994</v>
      </c>
      <c r="T141" s="35" t="s">
        <v>295</v>
      </c>
      <c r="U141" s="38" t="s">
        <v>995</v>
      </c>
      <c r="V141">
        <f t="shared" si="20"/>
        <v>31</v>
      </c>
      <c r="W141">
        <f t="shared" si="21"/>
        <v>7</v>
      </c>
      <c r="X141">
        <f t="shared" si="22"/>
        <v>2026</v>
      </c>
      <c r="Y141" t="str">
        <f t="shared" si="19"/>
        <v>31-2026</v>
      </c>
      <c r="Z141" t="s">
        <v>255</v>
      </c>
      <c r="AC141" t="s">
        <v>996</v>
      </c>
      <c r="AD141" t="s">
        <v>58</v>
      </c>
      <c r="AE141">
        <v>4</v>
      </c>
      <c r="AM141"/>
      <c r="AN141" s="29"/>
    </row>
    <row r="142" spans="1:40" ht="29.1">
      <c r="A142" s="14">
        <v>3713413</v>
      </c>
      <c r="B142" s="14" t="s">
        <v>78</v>
      </c>
      <c r="C142" s="14" t="s">
        <v>612</v>
      </c>
      <c r="D142" s="24">
        <v>46234</v>
      </c>
      <c r="E142" s="24">
        <v>46234</v>
      </c>
      <c r="F142" s="25">
        <v>0.78402777777777777</v>
      </c>
      <c r="G142" s="14">
        <v>2026</v>
      </c>
      <c r="H142" s="14" t="s">
        <v>137</v>
      </c>
      <c r="I142" s="14" t="s">
        <v>138</v>
      </c>
      <c r="J142" s="14" t="s">
        <v>997</v>
      </c>
      <c r="K142" s="14"/>
      <c r="L142" s="14" t="s">
        <v>4</v>
      </c>
      <c r="M142" s="14" t="s">
        <v>85</v>
      </c>
      <c r="N142" s="14" t="s">
        <v>998</v>
      </c>
      <c r="O142" s="14" t="s">
        <v>473</v>
      </c>
      <c r="P142" s="14" t="s">
        <v>999</v>
      </c>
      <c r="Q142" s="14" t="s">
        <v>224</v>
      </c>
      <c r="R142" s="14" t="s">
        <v>225</v>
      </c>
      <c r="S142" s="28" t="s">
        <v>1000</v>
      </c>
      <c r="T142" s="35" t="s">
        <v>1001</v>
      </c>
      <c r="U142" s="38" t="s">
        <v>1002</v>
      </c>
      <c r="V142">
        <f t="shared" si="20"/>
        <v>31</v>
      </c>
      <c r="W142">
        <f t="shared" si="21"/>
        <v>7</v>
      </c>
      <c r="X142">
        <f t="shared" si="22"/>
        <v>2026</v>
      </c>
      <c r="Y142" t="str">
        <f t="shared" si="19"/>
        <v>31-2026</v>
      </c>
      <c r="Z142" t="s">
        <v>147</v>
      </c>
      <c r="AD142" t="s">
        <v>57</v>
      </c>
      <c r="AE142">
        <v>4</v>
      </c>
      <c r="AG142" t="s">
        <v>31</v>
      </c>
      <c r="AH142" t="s">
        <v>33</v>
      </c>
      <c r="AI142" s="23">
        <v>46240</v>
      </c>
      <c r="AM142"/>
      <c r="AN142" s="29"/>
    </row>
    <row r="143" spans="1:40" ht="29.1">
      <c r="A143" s="14">
        <v>3713467</v>
      </c>
      <c r="B143" s="14" t="s">
        <v>73</v>
      </c>
      <c r="C143" s="14" t="s">
        <v>583</v>
      </c>
      <c r="D143" s="24">
        <v>46234</v>
      </c>
      <c r="E143" s="24">
        <v>46234</v>
      </c>
      <c r="F143" s="25">
        <v>0.94444444444444442</v>
      </c>
      <c r="G143" s="14">
        <v>2026</v>
      </c>
      <c r="H143" s="14" t="s">
        <v>137</v>
      </c>
      <c r="I143" s="14" t="s">
        <v>138</v>
      </c>
      <c r="J143" s="14" t="s">
        <v>1003</v>
      </c>
      <c r="K143" s="14"/>
      <c r="L143" s="14" t="s">
        <v>6</v>
      </c>
      <c r="M143" s="14" t="s">
        <v>83</v>
      </c>
      <c r="N143" s="14" t="s">
        <v>1004</v>
      </c>
      <c r="O143" s="14" t="s">
        <v>499</v>
      </c>
      <c r="P143" s="14" t="s">
        <v>1005</v>
      </c>
      <c r="Q143" s="14" t="s">
        <v>605</v>
      </c>
      <c r="R143" s="14" t="s">
        <v>144</v>
      </c>
      <c r="S143" s="28">
        <v>3136361050</v>
      </c>
      <c r="T143" s="35" t="s">
        <v>460</v>
      </c>
      <c r="U143" s="38" t="s">
        <v>1006</v>
      </c>
      <c r="V143">
        <f t="shared" si="20"/>
        <v>31</v>
      </c>
      <c r="W143">
        <f t="shared" si="21"/>
        <v>7</v>
      </c>
      <c r="X143">
        <f t="shared" si="22"/>
        <v>2026</v>
      </c>
      <c r="Y143" t="str">
        <f t="shared" si="19"/>
        <v>31-2026</v>
      </c>
      <c r="Z143" t="s">
        <v>147</v>
      </c>
      <c r="AD143" t="s">
        <v>59</v>
      </c>
      <c r="AE143">
        <v>4</v>
      </c>
      <c r="AG143" t="s">
        <v>28</v>
      </c>
      <c r="AM143"/>
      <c r="AN143" s="29"/>
    </row>
    <row r="144" spans="1:40" ht="29.1">
      <c r="A144" s="14">
        <v>3713469</v>
      </c>
      <c r="B144" s="14" t="s">
        <v>73</v>
      </c>
      <c r="C144" s="14" t="s">
        <v>583</v>
      </c>
      <c r="D144" s="24">
        <v>46234</v>
      </c>
      <c r="E144" s="24">
        <v>46234</v>
      </c>
      <c r="F144" s="25">
        <v>0.95138888888888884</v>
      </c>
      <c r="G144" s="14">
        <v>2026</v>
      </c>
      <c r="H144" s="14" t="s">
        <v>137</v>
      </c>
      <c r="I144" s="14" t="s">
        <v>138</v>
      </c>
      <c r="J144" s="14" t="s">
        <v>1007</v>
      </c>
      <c r="K144" s="14"/>
      <c r="L144" s="14" t="s">
        <v>6</v>
      </c>
      <c r="M144" s="14" t="s">
        <v>83</v>
      </c>
      <c r="N144" s="14" t="s">
        <v>1008</v>
      </c>
      <c r="O144" s="14" t="s">
        <v>499</v>
      </c>
      <c r="P144" s="14" t="s">
        <v>1009</v>
      </c>
      <c r="Q144" s="14" t="s">
        <v>605</v>
      </c>
      <c r="R144" s="14" t="s">
        <v>535</v>
      </c>
      <c r="S144" s="28">
        <v>6043547700</v>
      </c>
      <c r="T144" s="35" t="s">
        <v>460</v>
      </c>
      <c r="U144" s="38" t="s">
        <v>1010</v>
      </c>
      <c r="V144">
        <f t="shared" si="20"/>
        <v>31</v>
      </c>
      <c r="W144">
        <f t="shared" si="21"/>
        <v>7</v>
      </c>
      <c r="X144">
        <f t="shared" si="22"/>
        <v>2026</v>
      </c>
      <c r="Y144" t="str">
        <f t="shared" si="19"/>
        <v>31-2026</v>
      </c>
      <c r="Z144" t="s">
        <v>147</v>
      </c>
      <c r="AD144" t="s">
        <v>57</v>
      </c>
      <c r="AE144">
        <v>4</v>
      </c>
      <c r="AG144" t="s">
        <v>28</v>
      </c>
      <c r="AM144"/>
      <c r="AN144" s="29"/>
    </row>
    <row r="145" spans="1:40" ht="72.599999999999994">
      <c r="A145" s="14">
        <v>3717128</v>
      </c>
      <c r="B145" s="14" t="s">
        <v>67</v>
      </c>
      <c r="C145" s="14" t="s">
        <v>433</v>
      </c>
      <c r="D145" s="24">
        <v>46235</v>
      </c>
      <c r="E145" s="24">
        <v>46235</v>
      </c>
      <c r="F145" s="25">
        <v>0.43680555555555556</v>
      </c>
      <c r="G145" s="14">
        <v>2026</v>
      </c>
      <c r="H145" s="14">
        <v>8</v>
      </c>
      <c r="I145" s="14" t="s">
        <v>138</v>
      </c>
      <c r="J145" s="14" t="s">
        <v>1011</v>
      </c>
      <c r="K145" s="14"/>
      <c r="L145" s="14" t="s">
        <v>4</v>
      </c>
      <c r="M145" s="14" t="s">
        <v>85</v>
      </c>
      <c r="N145" s="14" t="s">
        <v>1012</v>
      </c>
      <c r="O145" s="14" t="s">
        <v>519</v>
      </c>
      <c r="P145" s="17" t="s">
        <v>1013</v>
      </c>
      <c r="Q145" s="14" t="s">
        <v>143</v>
      </c>
      <c r="R145" s="14" t="s">
        <v>913</v>
      </c>
      <c r="S145" s="28">
        <v>3185865206</v>
      </c>
      <c r="T145" s="35" t="s">
        <v>643</v>
      </c>
      <c r="U145" s="38" t="s">
        <v>1014</v>
      </c>
      <c r="V145">
        <f t="shared" si="20"/>
        <v>31</v>
      </c>
      <c r="W145">
        <f t="shared" si="21"/>
        <v>8</v>
      </c>
      <c r="X145">
        <f t="shared" si="22"/>
        <v>2026</v>
      </c>
      <c r="Y145" t="str">
        <f t="shared" si="19"/>
        <v>31-2026</v>
      </c>
      <c r="Z145" t="s">
        <v>147</v>
      </c>
      <c r="AD145" t="s">
        <v>57</v>
      </c>
      <c r="AE145">
        <v>4</v>
      </c>
      <c r="AG145" t="s">
        <v>31</v>
      </c>
      <c r="AH145" t="s">
        <v>46</v>
      </c>
      <c r="AI145" s="23">
        <v>46240</v>
      </c>
      <c r="AL145" t="s">
        <v>58</v>
      </c>
      <c r="AM145" t="s">
        <v>1015</v>
      </c>
      <c r="AN145" s="29" t="s">
        <v>1016</v>
      </c>
    </row>
    <row r="146" spans="1:40" ht="29.1">
      <c r="A146" s="14">
        <v>3717133</v>
      </c>
      <c r="B146" s="14" t="s">
        <v>67</v>
      </c>
      <c r="C146" s="14" t="s">
        <v>433</v>
      </c>
      <c r="D146" s="24">
        <v>46235</v>
      </c>
      <c r="E146" s="24">
        <v>46236</v>
      </c>
      <c r="F146" s="25">
        <v>0.44374999999999998</v>
      </c>
      <c r="G146" s="14">
        <v>2026</v>
      </c>
      <c r="H146" s="14">
        <v>8</v>
      </c>
      <c r="I146" s="14" t="s">
        <v>138</v>
      </c>
      <c r="J146" s="14" t="s">
        <v>1017</v>
      </c>
      <c r="K146" s="14"/>
      <c r="L146" s="14" t="s">
        <v>4</v>
      </c>
      <c r="M146" s="14" t="s">
        <v>85</v>
      </c>
      <c r="N146" s="14" t="s">
        <v>1018</v>
      </c>
      <c r="O146" s="14" t="s">
        <v>519</v>
      </c>
      <c r="P146" s="14" t="s">
        <v>1019</v>
      </c>
      <c r="Q146" s="14" t="s">
        <v>143</v>
      </c>
      <c r="R146" s="14" t="s">
        <v>144</v>
      </c>
      <c r="S146" s="28" t="s">
        <v>1020</v>
      </c>
      <c r="T146" s="35" t="s">
        <v>643</v>
      </c>
      <c r="U146" s="38" t="s">
        <v>1021</v>
      </c>
      <c r="V146">
        <f t="shared" si="20"/>
        <v>32</v>
      </c>
      <c r="W146">
        <f t="shared" si="21"/>
        <v>8</v>
      </c>
      <c r="X146">
        <f t="shared" si="22"/>
        <v>2026</v>
      </c>
      <c r="Y146" t="str">
        <f t="shared" si="19"/>
        <v>32-2026</v>
      </c>
      <c r="Z146" t="s">
        <v>147</v>
      </c>
      <c r="AD146" t="s">
        <v>57</v>
      </c>
      <c r="AE146">
        <v>5</v>
      </c>
      <c r="AG146" t="s">
        <v>28</v>
      </c>
      <c r="AH146" t="s">
        <v>44</v>
      </c>
      <c r="AI146" s="23">
        <v>46240</v>
      </c>
      <c r="AM146"/>
      <c r="AN146" s="29"/>
    </row>
    <row r="147" spans="1:40" ht="29.1">
      <c r="A147" s="14">
        <v>3717193</v>
      </c>
      <c r="B147" s="14" t="s">
        <v>16</v>
      </c>
      <c r="C147" s="14" t="s">
        <v>240</v>
      </c>
      <c r="D147" s="24">
        <v>46235</v>
      </c>
      <c r="E147" s="24">
        <v>46237</v>
      </c>
      <c r="F147" s="25">
        <v>0.57916666666666672</v>
      </c>
      <c r="G147" s="14">
        <v>2026</v>
      </c>
      <c r="H147" s="14">
        <v>8</v>
      </c>
      <c r="I147" s="14" t="s">
        <v>138</v>
      </c>
      <c r="J147" s="14" t="s">
        <v>1022</v>
      </c>
      <c r="K147" s="14" t="s">
        <v>1023</v>
      </c>
      <c r="L147" s="14" t="s">
        <v>4</v>
      </c>
      <c r="M147" s="14" t="s">
        <v>93</v>
      </c>
      <c r="N147" s="14" t="s">
        <v>1024</v>
      </c>
      <c r="O147" s="14" t="s">
        <v>519</v>
      </c>
      <c r="P147" s="14" t="s">
        <v>1025</v>
      </c>
      <c r="Q147" s="14" t="s">
        <v>143</v>
      </c>
      <c r="R147" s="14" t="s">
        <v>144</v>
      </c>
      <c r="S147" s="28" t="s">
        <v>1026</v>
      </c>
      <c r="T147" s="35" t="s">
        <v>1026</v>
      </c>
      <c r="U147" s="38" t="s">
        <v>1027</v>
      </c>
      <c r="V147">
        <f t="shared" si="20"/>
        <v>32</v>
      </c>
      <c r="W147">
        <f t="shared" si="21"/>
        <v>8</v>
      </c>
      <c r="X147">
        <f t="shared" si="22"/>
        <v>2026</v>
      </c>
      <c r="Y147" t="str">
        <f t="shared" si="19"/>
        <v>32-2026</v>
      </c>
      <c r="Z147" t="s">
        <v>147</v>
      </c>
      <c r="AD147" t="s">
        <v>57</v>
      </c>
      <c r="AE147">
        <v>5</v>
      </c>
      <c r="AG147" t="s">
        <v>28</v>
      </c>
      <c r="AH147" t="s">
        <v>36</v>
      </c>
      <c r="AI147" s="23">
        <v>46240</v>
      </c>
      <c r="AM147"/>
      <c r="AN147" s="29"/>
    </row>
    <row r="148" spans="1:40" ht="43.5">
      <c r="A148" s="14">
        <v>3717236</v>
      </c>
      <c r="B148" s="14" t="s">
        <v>14</v>
      </c>
      <c r="C148" s="14" t="s">
        <v>180</v>
      </c>
      <c r="D148" s="24">
        <v>46235</v>
      </c>
      <c r="E148" s="24">
        <v>46238</v>
      </c>
      <c r="F148" s="25">
        <v>0.76875000000000004</v>
      </c>
      <c r="G148" s="14">
        <v>2026</v>
      </c>
      <c r="H148" s="14">
        <v>8</v>
      </c>
      <c r="I148" s="14" t="s">
        <v>138</v>
      </c>
      <c r="J148" s="14" t="s">
        <v>1028</v>
      </c>
      <c r="K148" s="14"/>
      <c r="L148" s="14" t="s">
        <v>6</v>
      </c>
      <c r="M148" s="14" t="s">
        <v>165</v>
      </c>
      <c r="N148" s="14" t="s">
        <v>1029</v>
      </c>
      <c r="O148" s="14" t="s">
        <v>499</v>
      </c>
      <c r="P148" s="17" t="s">
        <v>1030</v>
      </c>
      <c r="Q148" s="14" t="s">
        <v>143</v>
      </c>
      <c r="R148" s="14" t="s">
        <v>144</v>
      </c>
      <c r="S148" s="28">
        <v>3162403226</v>
      </c>
      <c r="T148" s="35" t="s">
        <v>1031</v>
      </c>
      <c r="U148" s="44" t="s">
        <v>1032</v>
      </c>
      <c r="V148">
        <f t="shared" si="20"/>
        <v>32</v>
      </c>
      <c r="W148">
        <f t="shared" si="21"/>
        <v>8</v>
      </c>
      <c r="X148">
        <f t="shared" si="22"/>
        <v>2026</v>
      </c>
      <c r="Y148" t="str">
        <f t="shared" si="19"/>
        <v>32-2026</v>
      </c>
      <c r="Z148" t="s">
        <v>147</v>
      </c>
      <c r="AD148" t="s">
        <v>57</v>
      </c>
      <c r="AE148">
        <v>5</v>
      </c>
      <c r="AG148" t="s">
        <v>1033</v>
      </c>
      <c r="AM148"/>
      <c r="AN148" s="29"/>
    </row>
    <row r="149" spans="1:40" ht="29.1">
      <c r="A149" s="14">
        <v>3717240</v>
      </c>
      <c r="B149" s="14" t="s">
        <v>66</v>
      </c>
      <c r="C149" s="14" t="s">
        <v>417</v>
      </c>
      <c r="D149" s="24">
        <v>46235</v>
      </c>
      <c r="E149" s="24">
        <v>46239</v>
      </c>
      <c r="F149" s="25">
        <v>0.7895833333333333</v>
      </c>
      <c r="G149" s="14">
        <v>2026</v>
      </c>
      <c r="H149" s="14">
        <v>8</v>
      </c>
      <c r="I149" s="14" t="s">
        <v>138</v>
      </c>
      <c r="J149" s="14" t="s">
        <v>1034</v>
      </c>
      <c r="K149" s="14"/>
      <c r="L149" s="14" t="s">
        <v>5</v>
      </c>
      <c r="M149" s="14" t="s">
        <v>140</v>
      </c>
      <c r="N149" s="14" t="s">
        <v>1035</v>
      </c>
      <c r="O149" s="14" t="s">
        <v>566</v>
      </c>
      <c r="P149" s="14" t="s">
        <v>1036</v>
      </c>
      <c r="Q149" s="14" t="s">
        <v>224</v>
      </c>
      <c r="R149" s="14" t="s">
        <v>225</v>
      </c>
      <c r="S149" s="28">
        <v>3167435645</v>
      </c>
      <c r="T149" s="35" t="s">
        <v>295</v>
      </c>
      <c r="U149" s="38" t="s">
        <v>1037</v>
      </c>
      <c r="V149">
        <f t="shared" si="20"/>
        <v>32</v>
      </c>
      <c r="W149">
        <f t="shared" si="21"/>
        <v>8</v>
      </c>
      <c r="X149">
        <f t="shared" si="22"/>
        <v>2026</v>
      </c>
      <c r="Y149" t="str">
        <f t="shared" si="19"/>
        <v>32-2026</v>
      </c>
      <c r="Z149" t="s">
        <v>147</v>
      </c>
      <c r="AD149" t="s">
        <v>58</v>
      </c>
      <c r="AE149">
        <v>5</v>
      </c>
      <c r="AF149" t="s">
        <v>29</v>
      </c>
      <c r="AM149"/>
      <c r="AN149" s="29"/>
    </row>
    <row r="150" spans="1:40" ht="29.1" customHeight="1">
      <c r="A150" s="14">
        <v>3720232</v>
      </c>
      <c r="B150" s="14" t="s">
        <v>13</v>
      </c>
      <c r="C150" s="14" t="s">
        <v>134</v>
      </c>
      <c r="D150" s="24">
        <v>46235</v>
      </c>
      <c r="E150" s="24">
        <v>46240</v>
      </c>
      <c r="F150" s="25">
        <v>0.60069444444444442</v>
      </c>
      <c r="G150" s="14">
        <v>2026</v>
      </c>
      <c r="H150" s="14">
        <v>8</v>
      </c>
      <c r="I150" s="14" t="s">
        <v>138</v>
      </c>
      <c r="J150" s="14" t="s">
        <v>1038</v>
      </c>
      <c r="K150" s="14"/>
      <c r="L150" s="14" t="s">
        <v>5</v>
      </c>
      <c r="M150" s="14" t="s">
        <v>140</v>
      </c>
      <c r="N150" s="14" t="s">
        <v>1039</v>
      </c>
      <c r="O150" s="14" t="s">
        <v>566</v>
      </c>
      <c r="P150" s="17" t="s">
        <v>1040</v>
      </c>
      <c r="Q150" s="14" t="s">
        <v>224</v>
      </c>
      <c r="R150" s="14" t="s">
        <v>225</v>
      </c>
      <c r="S150" s="28" t="s">
        <v>1041</v>
      </c>
      <c r="T150" s="35" t="s">
        <v>1042</v>
      </c>
      <c r="U150" s="38" t="s">
        <v>1043</v>
      </c>
      <c r="V150">
        <f t="shared" si="20"/>
        <v>32</v>
      </c>
      <c r="W150">
        <f t="shared" si="21"/>
        <v>8</v>
      </c>
      <c r="X150">
        <f t="shared" si="22"/>
        <v>2026</v>
      </c>
      <c r="Y150" t="str">
        <f t="shared" si="19"/>
        <v>32-2026</v>
      </c>
      <c r="Z150" t="s">
        <v>147</v>
      </c>
      <c r="AD150" t="s">
        <v>57</v>
      </c>
      <c r="AE150">
        <v>5</v>
      </c>
      <c r="AG150" t="s">
        <v>31</v>
      </c>
      <c r="AH150" t="s">
        <v>38</v>
      </c>
      <c r="AI150" s="23">
        <v>46252</v>
      </c>
      <c r="AM150"/>
      <c r="AN150" s="29"/>
    </row>
    <row r="151" spans="1:40" ht="29.1" customHeight="1">
      <c r="A151" s="14">
        <v>3720236</v>
      </c>
      <c r="B151" s="14" t="s">
        <v>12</v>
      </c>
      <c r="C151" s="14" t="s">
        <v>846</v>
      </c>
      <c r="D151" s="24">
        <v>46236</v>
      </c>
      <c r="E151" s="24">
        <v>46236</v>
      </c>
      <c r="F151" s="25">
        <v>0.61597222222222225</v>
      </c>
      <c r="G151" s="14">
        <v>2026</v>
      </c>
      <c r="H151" s="14">
        <v>8</v>
      </c>
      <c r="I151" s="14" t="s">
        <v>138</v>
      </c>
      <c r="J151" s="14" t="s">
        <v>1044</v>
      </c>
      <c r="K151" s="14"/>
      <c r="L151" s="14" t="s">
        <v>6</v>
      </c>
      <c r="M151" s="14" t="s">
        <v>165</v>
      </c>
      <c r="N151" s="14" t="s">
        <v>1045</v>
      </c>
      <c r="O151" s="14" t="s">
        <v>499</v>
      </c>
      <c r="P151" s="14" t="s">
        <v>1046</v>
      </c>
      <c r="Q151" s="14" t="s">
        <v>605</v>
      </c>
      <c r="R151" s="14" t="s">
        <v>913</v>
      </c>
      <c r="S151" s="28" t="s">
        <v>1047</v>
      </c>
      <c r="T151" s="35">
        <v>3148881602</v>
      </c>
      <c r="U151" s="38" t="s">
        <v>1048</v>
      </c>
      <c r="V151">
        <f t="shared" si="20"/>
        <v>32</v>
      </c>
      <c r="W151">
        <f t="shared" si="21"/>
        <v>8</v>
      </c>
      <c r="X151">
        <f t="shared" si="22"/>
        <v>2026</v>
      </c>
      <c r="Y151" t="str">
        <f t="shared" si="19"/>
        <v>32-2026</v>
      </c>
      <c r="Z151" t="s">
        <v>147</v>
      </c>
      <c r="AD151" t="s">
        <v>57</v>
      </c>
      <c r="AE151">
        <v>5</v>
      </c>
      <c r="AG151" t="s">
        <v>28</v>
      </c>
      <c r="AH151" t="s">
        <v>38</v>
      </c>
      <c r="AI151" s="23">
        <v>46240</v>
      </c>
      <c r="AM151"/>
      <c r="AN151" s="29"/>
    </row>
    <row r="152" spans="1:40" ht="30" customHeight="1">
      <c r="A152" s="14">
        <v>3720242</v>
      </c>
      <c r="B152" s="14" t="s">
        <v>12</v>
      </c>
      <c r="C152" s="14" t="s">
        <v>846</v>
      </c>
      <c r="D152" s="24">
        <v>46236</v>
      </c>
      <c r="E152" s="24">
        <v>46236</v>
      </c>
      <c r="F152" s="25">
        <v>0.67708333333333337</v>
      </c>
      <c r="G152" s="14">
        <v>2026</v>
      </c>
      <c r="H152" s="14">
        <v>8</v>
      </c>
      <c r="I152" s="14" t="s">
        <v>138</v>
      </c>
      <c r="J152" s="14" t="s">
        <v>1049</v>
      </c>
      <c r="K152" s="14"/>
      <c r="L152" s="14" t="s">
        <v>6</v>
      </c>
      <c r="M152" s="14" t="s">
        <v>165</v>
      </c>
      <c r="N152" s="14" t="s">
        <v>1050</v>
      </c>
      <c r="O152" s="14" t="s">
        <v>499</v>
      </c>
      <c r="P152" s="17" t="s">
        <v>1051</v>
      </c>
      <c r="Q152" s="14" t="s">
        <v>605</v>
      </c>
      <c r="R152" s="14" t="s">
        <v>913</v>
      </c>
      <c r="S152" s="28" t="s">
        <v>1052</v>
      </c>
      <c r="T152" s="35" t="s">
        <v>1053</v>
      </c>
      <c r="U152" s="38" t="s">
        <v>1054</v>
      </c>
      <c r="V152">
        <f t="shared" si="20"/>
        <v>32</v>
      </c>
      <c r="W152">
        <f t="shared" si="21"/>
        <v>8</v>
      </c>
      <c r="X152">
        <f t="shared" si="22"/>
        <v>2026</v>
      </c>
      <c r="Y152" t="str">
        <f t="shared" si="19"/>
        <v>32-2026</v>
      </c>
      <c r="Z152" t="s">
        <v>147</v>
      </c>
      <c r="AD152" t="s">
        <v>57</v>
      </c>
      <c r="AE152">
        <v>5</v>
      </c>
      <c r="AG152" t="s">
        <v>31</v>
      </c>
      <c r="AH152" t="s">
        <v>38</v>
      </c>
      <c r="AI152" s="23">
        <v>46252</v>
      </c>
      <c r="AM152"/>
      <c r="AN152" s="29"/>
    </row>
    <row r="153" spans="1:40" ht="29.1">
      <c r="A153" s="14">
        <v>3720249</v>
      </c>
      <c r="B153" s="14" t="s">
        <v>62</v>
      </c>
      <c r="C153" s="14" t="s">
        <v>188</v>
      </c>
      <c r="D153" s="24">
        <v>46236</v>
      </c>
      <c r="E153" s="24">
        <v>46236</v>
      </c>
      <c r="F153" s="25">
        <v>0.70833333333333337</v>
      </c>
      <c r="G153" s="14">
        <v>2026</v>
      </c>
      <c r="H153" s="14">
        <v>8</v>
      </c>
      <c r="I153" s="14" t="s">
        <v>138</v>
      </c>
      <c r="J153" s="14" t="s">
        <v>1055</v>
      </c>
      <c r="K153" s="14"/>
      <c r="L153" s="14" t="s">
        <v>4</v>
      </c>
      <c r="M153" s="14" t="s">
        <v>92</v>
      </c>
      <c r="N153" s="14" t="s">
        <v>1056</v>
      </c>
      <c r="O153" s="14" t="s">
        <v>473</v>
      </c>
      <c r="P153" s="17" t="s">
        <v>1057</v>
      </c>
      <c r="Q153" s="14" t="s">
        <v>605</v>
      </c>
      <c r="R153" s="14" t="s">
        <v>144</v>
      </c>
      <c r="S153" s="28">
        <v>3108711116</v>
      </c>
      <c r="T153" s="35">
        <v>3112239867</v>
      </c>
      <c r="U153" s="38" t="s">
        <v>1058</v>
      </c>
      <c r="V153">
        <f t="shared" si="20"/>
        <v>32</v>
      </c>
      <c r="W153">
        <f t="shared" si="21"/>
        <v>8</v>
      </c>
      <c r="X153">
        <f t="shared" si="22"/>
        <v>2026</v>
      </c>
      <c r="Y153" t="str">
        <f t="shared" si="19"/>
        <v>32-2026</v>
      </c>
      <c r="Z153" t="s">
        <v>147</v>
      </c>
      <c r="AD153" t="s">
        <v>57</v>
      </c>
      <c r="AE153">
        <v>5</v>
      </c>
      <c r="AG153" t="s">
        <v>28</v>
      </c>
      <c r="AM153"/>
      <c r="AN153" s="29"/>
    </row>
    <row r="154" spans="1:40" ht="29.1">
      <c r="A154" s="14">
        <v>3720250</v>
      </c>
      <c r="B154" s="14" t="s">
        <v>62</v>
      </c>
      <c r="C154" s="14" t="s">
        <v>188</v>
      </c>
      <c r="D154" s="24">
        <v>46236</v>
      </c>
      <c r="E154" s="24">
        <v>46236</v>
      </c>
      <c r="F154" s="25">
        <v>0.72916666666666663</v>
      </c>
      <c r="G154" s="14">
        <v>2026</v>
      </c>
      <c r="H154" s="14">
        <v>8</v>
      </c>
      <c r="I154" s="14" t="s">
        <v>138</v>
      </c>
      <c r="J154" s="14" t="s">
        <v>1059</v>
      </c>
      <c r="K154" s="14"/>
      <c r="L154" s="14" t="s">
        <v>4</v>
      </c>
      <c r="M154" s="14" t="s">
        <v>92</v>
      </c>
      <c r="N154" s="14" t="s">
        <v>1060</v>
      </c>
      <c r="O154" s="14" t="s">
        <v>473</v>
      </c>
      <c r="P154" s="14" t="s">
        <v>1061</v>
      </c>
      <c r="Q154" s="14" t="s">
        <v>605</v>
      </c>
      <c r="R154" s="14" t="s">
        <v>193</v>
      </c>
      <c r="S154" s="28" t="s">
        <v>1062</v>
      </c>
      <c r="T154" s="35">
        <v>3108626217</v>
      </c>
      <c r="U154" s="38" t="s">
        <v>1063</v>
      </c>
      <c r="V154">
        <f t="shared" si="20"/>
        <v>32</v>
      </c>
      <c r="W154">
        <f t="shared" si="21"/>
        <v>8</v>
      </c>
      <c r="X154">
        <f t="shared" si="22"/>
        <v>2026</v>
      </c>
      <c r="Y154" t="str">
        <f t="shared" si="19"/>
        <v>32-2026</v>
      </c>
      <c r="Z154" t="s">
        <v>147</v>
      </c>
      <c r="AD154" t="s">
        <v>57</v>
      </c>
      <c r="AE154">
        <v>5</v>
      </c>
      <c r="AG154" t="s">
        <v>28</v>
      </c>
      <c r="AH154" t="s">
        <v>36</v>
      </c>
      <c r="AI154" s="23">
        <v>46240</v>
      </c>
      <c r="AM154"/>
      <c r="AN154" s="29"/>
    </row>
    <row r="155" spans="1:40" ht="29.1">
      <c r="A155" s="14">
        <v>3723528</v>
      </c>
      <c r="B155" s="14" t="s">
        <v>82</v>
      </c>
      <c r="C155" s="14" t="s">
        <v>602</v>
      </c>
      <c r="D155" s="24">
        <v>46237</v>
      </c>
      <c r="E155" s="24">
        <v>46237</v>
      </c>
      <c r="F155" s="25">
        <v>0.41805555555555557</v>
      </c>
      <c r="G155" s="14">
        <v>2026</v>
      </c>
      <c r="H155" s="14">
        <v>8</v>
      </c>
      <c r="I155" s="14" t="s">
        <v>138</v>
      </c>
      <c r="J155" s="14" t="s">
        <v>1064</v>
      </c>
      <c r="K155" s="14"/>
      <c r="L155" s="14" t="s">
        <v>4</v>
      </c>
      <c r="M155" s="14" t="s">
        <v>92</v>
      </c>
      <c r="N155" s="14" t="s">
        <v>1065</v>
      </c>
      <c r="O155" s="14" t="s">
        <v>473</v>
      </c>
      <c r="P155" s="14" t="s">
        <v>1066</v>
      </c>
      <c r="Q155" s="14" t="s">
        <v>143</v>
      </c>
      <c r="R155" s="14" t="s">
        <v>225</v>
      </c>
      <c r="S155" s="28">
        <v>3175736861</v>
      </c>
      <c r="T155" s="14" t="s">
        <v>1067</v>
      </c>
      <c r="U155" s="38" t="s">
        <v>1068</v>
      </c>
      <c r="V155">
        <f t="shared" si="20"/>
        <v>32</v>
      </c>
      <c r="W155">
        <f t="shared" si="21"/>
        <v>8</v>
      </c>
      <c r="X155">
        <f t="shared" si="22"/>
        <v>2026</v>
      </c>
      <c r="Y155" t="str">
        <f t="shared" ref="Y155:Y156" si="23">_xlfn.CONCAT(V155,"-",X155)</f>
        <v>32-2026</v>
      </c>
      <c r="Z155" t="s">
        <v>147</v>
      </c>
      <c r="AD155" t="s">
        <v>58</v>
      </c>
      <c r="AE155">
        <v>5</v>
      </c>
      <c r="AF155" t="s">
        <v>50</v>
      </c>
      <c r="AM155"/>
      <c r="AN155" s="29"/>
    </row>
    <row r="156" spans="1:40" ht="29.1">
      <c r="A156" s="14">
        <v>3723709</v>
      </c>
      <c r="B156" s="14" t="s">
        <v>8</v>
      </c>
      <c r="C156" s="14" t="s">
        <v>81</v>
      </c>
      <c r="D156" s="24">
        <v>46237</v>
      </c>
      <c r="E156" s="24">
        <v>46237</v>
      </c>
      <c r="F156" s="25">
        <v>0.57777777777777772</v>
      </c>
      <c r="G156" s="14">
        <v>2026</v>
      </c>
      <c r="H156" s="14">
        <v>8</v>
      </c>
      <c r="I156" s="14" t="s">
        <v>138</v>
      </c>
      <c r="J156" s="14" t="s">
        <v>1069</v>
      </c>
      <c r="K156" s="14"/>
      <c r="L156" s="14" t="s">
        <v>4</v>
      </c>
      <c r="M156" s="14" t="s">
        <v>85</v>
      </c>
      <c r="N156" s="14" t="s">
        <v>1070</v>
      </c>
      <c r="O156" s="14" t="s">
        <v>519</v>
      </c>
      <c r="P156" s="14" t="s">
        <v>1071</v>
      </c>
      <c r="Q156" s="14" t="s">
        <v>143</v>
      </c>
      <c r="R156" s="14" t="s">
        <v>144</v>
      </c>
      <c r="S156" s="28">
        <v>3142406629</v>
      </c>
      <c r="T156" s="14" t="s">
        <v>203</v>
      </c>
      <c r="U156" s="38" t="s">
        <v>1072</v>
      </c>
      <c r="V156">
        <f t="shared" si="20"/>
        <v>32</v>
      </c>
      <c r="W156">
        <f t="shared" si="21"/>
        <v>8</v>
      </c>
      <c r="X156">
        <f t="shared" si="22"/>
        <v>2026</v>
      </c>
      <c r="Y156" t="str">
        <f t="shared" si="23"/>
        <v>32-2026</v>
      </c>
      <c r="Z156" t="s">
        <v>255</v>
      </c>
      <c r="AC156" t="s">
        <v>1073</v>
      </c>
      <c r="AD156" t="s">
        <v>58</v>
      </c>
      <c r="AE156">
        <v>5</v>
      </c>
      <c r="AF156" t="s">
        <v>50</v>
      </c>
      <c r="AM156"/>
      <c r="AN156" s="29"/>
    </row>
    <row r="157" spans="1:40" ht="24" customHeight="1">
      <c r="A157" s="14">
        <v>3723786</v>
      </c>
      <c r="B157" s="14" t="s">
        <v>71</v>
      </c>
      <c r="C157" s="14"/>
      <c r="D157" s="24">
        <v>46237</v>
      </c>
      <c r="E157" s="24">
        <v>46237</v>
      </c>
      <c r="F157" s="25">
        <v>0.69027777777777777</v>
      </c>
      <c r="G157" s="14">
        <v>2026</v>
      </c>
      <c r="H157" s="14">
        <v>8</v>
      </c>
      <c r="I157" s="14" t="s">
        <v>138</v>
      </c>
      <c r="J157" s="14" t="s">
        <v>1074</v>
      </c>
      <c r="K157" s="14"/>
      <c r="L157" s="14" t="s">
        <v>4</v>
      </c>
      <c r="M157" s="14" t="s">
        <v>85</v>
      </c>
      <c r="N157" s="14" t="s">
        <v>1075</v>
      </c>
      <c r="O157" s="14" t="s">
        <v>473</v>
      </c>
      <c r="P157" s="14" t="s">
        <v>1076</v>
      </c>
      <c r="Q157" s="14" t="s">
        <v>224</v>
      </c>
      <c r="R157" s="14" t="s">
        <v>225</v>
      </c>
      <c r="S157" s="28">
        <v>3115156846</v>
      </c>
      <c r="T157" s="14" t="s">
        <v>1077</v>
      </c>
      <c r="U157" s="38" t="s">
        <v>1078</v>
      </c>
      <c r="V157">
        <f t="shared" si="20"/>
        <v>32</v>
      </c>
      <c r="W157">
        <f t="shared" si="21"/>
        <v>8</v>
      </c>
      <c r="X157">
        <f t="shared" si="22"/>
        <v>2026</v>
      </c>
      <c r="Y157" t="str">
        <f t="shared" ref="Y157:Y158" si="24">_xlfn.CONCAT(V157,"-",X157)</f>
        <v>32-2026</v>
      </c>
      <c r="Z157" t="s">
        <v>147</v>
      </c>
      <c r="AD157" t="s">
        <v>57</v>
      </c>
      <c r="AE157">
        <v>5</v>
      </c>
      <c r="AG157" t="s">
        <v>31</v>
      </c>
      <c r="AH157" t="s">
        <v>40</v>
      </c>
      <c r="AI157" s="23">
        <v>46240</v>
      </c>
      <c r="AL157" t="s">
        <v>58</v>
      </c>
      <c r="AM157" s="29" t="s">
        <v>1079</v>
      </c>
      <c r="AN157" t="s">
        <v>1080</v>
      </c>
    </row>
    <row r="158" spans="1:40" ht="29.1">
      <c r="A158" s="14">
        <v>3723854</v>
      </c>
      <c r="B158" s="14" t="s">
        <v>71</v>
      </c>
      <c r="C158" s="14"/>
      <c r="D158" s="24">
        <v>46237</v>
      </c>
      <c r="E158" s="24">
        <v>46237</v>
      </c>
      <c r="F158" s="25">
        <v>0.84791666666666665</v>
      </c>
      <c r="G158" s="14">
        <v>2026</v>
      </c>
      <c r="H158" s="14">
        <v>8</v>
      </c>
      <c r="I158" s="14" t="s">
        <v>138</v>
      </c>
      <c r="J158" s="14" t="s">
        <v>1081</v>
      </c>
      <c r="K158" s="14" t="s">
        <v>1082</v>
      </c>
      <c r="L158" s="14" t="s">
        <v>4</v>
      </c>
      <c r="M158" s="14" t="s">
        <v>92</v>
      </c>
      <c r="N158" s="14" t="s">
        <v>1083</v>
      </c>
      <c r="O158" s="14" t="s">
        <v>473</v>
      </c>
      <c r="P158" s="14" t="s">
        <v>1084</v>
      </c>
      <c r="Q158" s="14" t="s">
        <v>143</v>
      </c>
      <c r="R158" s="14" t="s">
        <v>144</v>
      </c>
      <c r="S158" s="28">
        <v>3144544008</v>
      </c>
      <c r="T158" s="28" t="s">
        <v>737</v>
      </c>
      <c r="U158" s="38" t="s">
        <v>1085</v>
      </c>
      <c r="V158">
        <f t="shared" si="20"/>
        <v>32</v>
      </c>
      <c r="W158">
        <f t="shared" si="21"/>
        <v>8</v>
      </c>
      <c r="X158">
        <f t="shared" si="22"/>
        <v>2026</v>
      </c>
      <c r="Y158" t="str">
        <f t="shared" si="24"/>
        <v>32-2026</v>
      </c>
      <c r="Z158" t="s">
        <v>147</v>
      </c>
      <c r="AD158" t="s">
        <v>57</v>
      </c>
      <c r="AE158">
        <v>5</v>
      </c>
      <c r="AG158" t="s">
        <v>1086</v>
      </c>
      <c r="AH158" t="s">
        <v>40</v>
      </c>
    </row>
    <row r="159" spans="1:40" ht="29.1">
      <c r="A159" s="14">
        <v>3723552</v>
      </c>
      <c r="B159" s="14" t="s">
        <v>10</v>
      </c>
      <c r="C159" s="14" t="s">
        <v>269</v>
      </c>
      <c r="D159" s="24">
        <v>46237</v>
      </c>
      <c r="E159" s="24">
        <v>46237</v>
      </c>
      <c r="F159" s="25">
        <v>0.44513888888888886</v>
      </c>
      <c r="G159" s="14">
        <v>2026</v>
      </c>
      <c r="H159" s="14">
        <v>8</v>
      </c>
      <c r="I159" s="14" t="s">
        <v>138</v>
      </c>
      <c r="J159" s="14" t="s">
        <v>1087</v>
      </c>
      <c r="K159" s="14"/>
      <c r="L159" s="14" t="s">
        <v>4</v>
      </c>
      <c r="M159" s="14" t="s">
        <v>85</v>
      </c>
      <c r="N159" s="14" t="s">
        <v>1088</v>
      </c>
      <c r="O159" s="14" t="s">
        <v>519</v>
      </c>
      <c r="P159" s="17" t="s">
        <v>1089</v>
      </c>
      <c r="Q159" s="14" t="s">
        <v>168</v>
      </c>
      <c r="R159" s="14" t="s">
        <v>225</v>
      </c>
      <c r="S159" s="28">
        <v>3118833395</v>
      </c>
      <c r="T159" s="14" t="s">
        <v>513</v>
      </c>
      <c r="U159" s="38" t="s">
        <v>1090</v>
      </c>
      <c r="V159">
        <f t="shared" si="20"/>
        <v>32</v>
      </c>
      <c r="W159">
        <f t="shared" si="21"/>
        <v>8</v>
      </c>
      <c r="X159">
        <f t="shared" si="22"/>
        <v>2026</v>
      </c>
      <c r="Y159" t="str">
        <f>_xlfn.CONCAT(V159,"-",X159)</f>
        <v>32-2026</v>
      </c>
      <c r="Z159" t="s">
        <v>147</v>
      </c>
      <c r="AD159" t="s">
        <v>57</v>
      </c>
      <c r="AE159">
        <v>5</v>
      </c>
      <c r="AG159" t="s">
        <v>28</v>
      </c>
      <c r="AH159" t="s">
        <v>46</v>
      </c>
      <c r="AI159" s="23">
        <v>46240</v>
      </c>
      <c r="AM159"/>
      <c r="AN159" s="29"/>
    </row>
    <row r="160" spans="1:40" ht="24.6" customHeight="1">
      <c r="A160" s="14">
        <v>3723836</v>
      </c>
      <c r="B160" s="14" t="s">
        <v>80</v>
      </c>
      <c r="C160" s="14" t="s">
        <v>447</v>
      </c>
      <c r="D160" s="24">
        <v>46237</v>
      </c>
      <c r="E160" s="24">
        <v>46237</v>
      </c>
      <c r="F160" s="25">
        <v>0.78541666666666665</v>
      </c>
      <c r="G160" s="14">
        <v>2026</v>
      </c>
      <c r="H160" s="14">
        <v>8</v>
      </c>
      <c r="I160" s="14" t="s">
        <v>138</v>
      </c>
      <c r="J160" s="14" t="s">
        <v>1091</v>
      </c>
      <c r="K160" s="14"/>
      <c r="L160" s="14" t="s">
        <v>5</v>
      </c>
      <c r="M160" s="14" t="s">
        <v>140</v>
      </c>
      <c r="N160" s="14" t="s">
        <v>1092</v>
      </c>
      <c r="O160" s="14" t="s">
        <v>566</v>
      </c>
      <c r="P160" s="17" t="s">
        <v>1093</v>
      </c>
      <c r="Q160" s="14" t="s">
        <v>168</v>
      </c>
      <c r="R160" s="14" t="s">
        <v>144</v>
      </c>
      <c r="S160" s="28" t="s">
        <v>1094</v>
      </c>
      <c r="T160" s="28">
        <v>3185159468</v>
      </c>
      <c r="U160" s="38" t="s">
        <v>1095</v>
      </c>
      <c r="V160">
        <f t="shared" si="20"/>
        <v>32</v>
      </c>
      <c r="W160">
        <f t="shared" si="21"/>
        <v>8</v>
      </c>
      <c r="X160">
        <f t="shared" si="22"/>
        <v>2026</v>
      </c>
      <c r="Y160" t="str">
        <f>_xlfn.CONCAT(V160,"-",X160)</f>
        <v>32-2026</v>
      </c>
      <c r="Z160" t="s">
        <v>147</v>
      </c>
      <c r="AD160" t="s">
        <v>57</v>
      </c>
      <c r="AE160">
        <v>5</v>
      </c>
    </row>
    <row r="161" spans="1:40" ht="21.6" customHeight="1">
      <c r="A161" s="14">
        <v>3723853</v>
      </c>
      <c r="B161" s="14" t="s">
        <v>71</v>
      </c>
      <c r="C161" s="14"/>
      <c r="D161" s="24">
        <v>46237</v>
      </c>
      <c r="E161" s="24">
        <v>46237</v>
      </c>
      <c r="F161" s="25">
        <v>0.84375</v>
      </c>
      <c r="G161" s="14">
        <v>2026</v>
      </c>
      <c r="H161" s="14">
        <v>8</v>
      </c>
      <c r="I161" s="14" t="s">
        <v>138</v>
      </c>
      <c r="J161" s="14" t="s">
        <v>933</v>
      </c>
      <c r="K161" s="14" t="s">
        <v>1096</v>
      </c>
      <c r="L161" s="14" t="s">
        <v>4</v>
      </c>
      <c r="M161" s="14" t="s">
        <v>92</v>
      </c>
      <c r="N161" s="14" t="s">
        <v>1097</v>
      </c>
      <c r="O161" s="14" t="s">
        <v>473</v>
      </c>
      <c r="P161" s="41" t="s">
        <v>1098</v>
      </c>
      <c r="Q161" s="14" t="s">
        <v>143</v>
      </c>
      <c r="R161" s="14" t="s">
        <v>144</v>
      </c>
      <c r="S161" s="28">
        <v>3144070708</v>
      </c>
      <c r="T161" s="28" t="s">
        <v>737</v>
      </c>
      <c r="U161" s="38" t="s">
        <v>1099</v>
      </c>
      <c r="V161">
        <f t="shared" si="20"/>
        <v>32</v>
      </c>
      <c r="W161">
        <f t="shared" si="21"/>
        <v>8</v>
      </c>
      <c r="X161">
        <f t="shared" si="22"/>
        <v>2026</v>
      </c>
      <c r="Y161" t="str">
        <f>_xlfn.CONCAT(V161,"-",X161)</f>
        <v>32-2026</v>
      </c>
      <c r="Z161" t="s">
        <v>147</v>
      </c>
      <c r="AD161" t="s">
        <v>58</v>
      </c>
      <c r="AE161">
        <v>5</v>
      </c>
      <c r="AF161" t="s">
        <v>29</v>
      </c>
    </row>
    <row r="162" spans="1:40" ht="29.1">
      <c r="A162" s="14">
        <v>3728857</v>
      </c>
      <c r="B162" s="14" t="s">
        <v>82</v>
      </c>
      <c r="C162" s="14" t="s">
        <v>602</v>
      </c>
      <c r="D162" s="24">
        <v>46238</v>
      </c>
      <c r="E162" s="24">
        <v>46238</v>
      </c>
      <c r="F162" s="25">
        <v>0.52013888888888893</v>
      </c>
      <c r="G162" s="14">
        <v>2026</v>
      </c>
      <c r="H162" s="14">
        <v>8</v>
      </c>
      <c r="I162" s="14" t="s">
        <v>138</v>
      </c>
      <c r="J162" s="14" t="s">
        <v>1100</v>
      </c>
      <c r="K162" s="14"/>
      <c r="L162" s="14" t="s">
        <v>4</v>
      </c>
      <c r="M162" s="14" t="s">
        <v>92</v>
      </c>
      <c r="N162" s="14" t="s">
        <v>1101</v>
      </c>
      <c r="O162" s="14" t="s">
        <v>473</v>
      </c>
      <c r="P162" s="42" t="s">
        <v>1102</v>
      </c>
      <c r="Q162" s="14" t="s">
        <v>143</v>
      </c>
      <c r="R162" s="14" t="s">
        <v>144</v>
      </c>
      <c r="S162" s="28">
        <v>3212005248</v>
      </c>
      <c r="T162" s="14" t="s">
        <v>513</v>
      </c>
      <c r="U162" s="38" t="s">
        <v>1103</v>
      </c>
      <c r="V162">
        <f t="shared" ref="V162:V163" si="25">WEEKNUM(E162)</f>
        <v>32</v>
      </c>
      <c r="W162">
        <f t="shared" ref="W162:W163" si="26">MONTH(E162)</f>
        <v>8</v>
      </c>
      <c r="X162">
        <f t="shared" ref="X162:X163" si="27">YEAR(E162)</f>
        <v>2026</v>
      </c>
      <c r="Y162" t="str">
        <f t="shared" ref="Y162:Y163" si="28">_xlfn.CONCAT(V162,"-",X162)</f>
        <v>32-2026</v>
      </c>
      <c r="Z162" t="s">
        <v>147</v>
      </c>
      <c r="AD162" t="s">
        <v>58</v>
      </c>
      <c r="AE162">
        <v>5</v>
      </c>
      <c r="AF162" t="s">
        <v>29</v>
      </c>
    </row>
    <row r="163" spans="1:40" ht="21.6" customHeight="1">
      <c r="A163" s="14">
        <v>3732094</v>
      </c>
      <c r="B163" s="14" t="s">
        <v>71</v>
      </c>
      <c r="C163" s="14"/>
      <c r="D163" s="24">
        <v>46239</v>
      </c>
      <c r="E163" s="24">
        <v>46239</v>
      </c>
      <c r="F163" s="25">
        <v>0.30625000000000002</v>
      </c>
      <c r="G163" s="14">
        <v>2026</v>
      </c>
      <c r="H163" s="14">
        <v>8</v>
      </c>
      <c r="I163" s="14" t="s">
        <v>138</v>
      </c>
      <c r="J163" s="14" t="s">
        <v>1104</v>
      </c>
      <c r="K163" s="14"/>
      <c r="L163" s="14" t="s">
        <v>4</v>
      </c>
      <c r="M163" s="14" t="s">
        <v>85</v>
      </c>
      <c r="N163" s="14" t="s">
        <v>1105</v>
      </c>
      <c r="O163" s="14" t="s">
        <v>473</v>
      </c>
      <c r="P163" s="40" t="s">
        <v>1106</v>
      </c>
      <c r="Q163" s="14" t="s">
        <v>143</v>
      </c>
      <c r="R163" s="14" t="s">
        <v>535</v>
      </c>
      <c r="S163" s="14" t="s">
        <v>1107</v>
      </c>
      <c r="T163" s="28">
        <v>3164665723</v>
      </c>
      <c r="U163" s="38" t="s">
        <v>1108</v>
      </c>
      <c r="V163">
        <f t="shared" si="25"/>
        <v>32</v>
      </c>
      <c r="W163">
        <f t="shared" si="26"/>
        <v>8</v>
      </c>
      <c r="X163">
        <f t="shared" si="27"/>
        <v>2026</v>
      </c>
      <c r="Y163" t="str">
        <f t="shared" si="28"/>
        <v>32-2026</v>
      </c>
      <c r="Z163" t="s">
        <v>147</v>
      </c>
      <c r="AD163" t="s">
        <v>57</v>
      </c>
      <c r="AE163">
        <v>5</v>
      </c>
      <c r="AG163" t="s">
        <v>31</v>
      </c>
      <c r="AH163" t="s">
        <v>33</v>
      </c>
      <c r="AI163" s="23">
        <v>46252</v>
      </c>
    </row>
    <row r="164" spans="1:40" ht="29.1">
      <c r="A164" s="14">
        <v>3732263</v>
      </c>
      <c r="B164" s="14" t="s">
        <v>68</v>
      </c>
      <c r="C164" s="14" t="s">
        <v>541</v>
      </c>
      <c r="D164" s="24">
        <v>46239</v>
      </c>
      <c r="E164" s="24">
        <v>46239</v>
      </c>
      <c r="F164" s="25">
        <v>0.38263888888888886</v>
      </c>
      <c r="G164" s="14">
        <v>2026</v>
      </c>
      <c r="H164" s="14">
        <v>8</v>
      </c>
      <c r="I164" s="14" t="s">
        <v>138</v>
      </c>
      <c r="J164" s="14" t="s">
        <v>1109</v>
      </c>
      <c r="K164" s="14"/>
      <c r="L164" s="14" t="s">
        <v>4</v>
      </c>
      <c r="M164" s="14" t="s">
        <v>85</v>
      </c>
      <c r="N164" s="14" t="s">
        <v>1110</v>
      </c>
      <c r="O164" s="14" t="s">
        <v>473</v>
      </c>
      <c r="P164" s="40" t="s">
        <v>1111</v>
      </c>
      <c r="Q164" s="14" t="s">
        <v>224</v>
      </c>
      <c r="R164" s="14" t="s">
        <v>225</v>
      </c>
      <c r="S164" s="28">
        <v>3202713662</v>
      </c>
      <c r="T164" s="28" t="s">
        <v>295</v>
      </c>
      <c r="U164" s="38" t="s">
        <v>1112</v>
      </c>
      <c r="V164">
        <f t="shared" ref="V164:V169" si="29">WEEKNUM(E164)</f>
        <v>32</v>
      </c>
      <c r="W164">
        <f t="shared" ref="W164:W169" si="30">MONTH(E164)</f>
        <v>8</v>
      </c>
      <c r="X164">
        <f t="shared" ref="X164:X169" si="31">YEAR(E164)</f>
        <v>2026</v>
      </c>
      <c r="Y164" t="str">
        <f t="shared" ref="Y164:Y169" si="32">_xlfn.CONCAT(V164,"-",X164)</f>
        <v>32-2026</v>
      </c>
      <c r="Z164" t="s">
        <v>147</v>
      </c>
      <c r="AD164" t="s">
        <v>57</v>
      </c>
      <c r="AE164">
        <v>5</v>
      </c>
      <c r="AG164" t="s">
        <v>31</v>
      </c>
      <c r="AH164" t="s">
        <v>46</v>
      </c>
      <c r="AI164" s="23">
        <v>46252</v>
      </c>
    </row>
    <row r="165" spans="1:40" ht="29.1">
      <c r="A165" s="14">
        <v>3732378</v>
      </c>
      <c r="B165" s="14" t="s">
        <v>64</v>
      </c>
      <c r="C165" s="14" t="s">
        <v>656</v>
      </c>
      <c r="D165" s="24">
        <v>46239</v>
      </c>
      <c r="E165" s="24">
        <v>46239</v>
      </c>
      <c r="F165" s="25">
        <v>0.4777777777777778</v>
      </c>
      <c r="G165" s="14">
        <v>2026</v>
      </c>
      <c r="H165" s="14">
        <v>8</v>
      </c>
      <c r="I165" s="14" t="s">
        <v>138</v>
      </c>
      <c r="J165" s="14" t="s">
        <v>1113</v>
      </c>
      <c r="K165" s="14"/>
      <c r="L165" s="14" t="s">
        <v>4</v>
      </c>
      <c r="M165" s="14" t="s">
        <v>85</v>
      </c>
      <c r="N165" s="14" t="s">
        <v>1114</v>
      </c>
      <c r="O165" s="14" t="s">
        <v>519</v>
      </c>
      <c r="P165" s="40" t="s">
        <v>1115</v>
      </c>
      <c r="Q165" s="14" t="s">
        <v>168</v>
      </c>
      <c r="R165" s="14" t="s">
        <v>480</v>
      </c>
      <c r="S165" s="28" t="s">
        <v>1116</v>
      </c>
      <c r="T165" s="28">
        <v>3138747117</v>
      </c>
      <c r="U165" s="38" t="s">
        <v>1117</v>
      </c>
      <c r="V165">
        <f t="shared" si="29"/>
        <v>32</v>
      </c>
      <c r="W165">
        <f t="shared" si="30"/>
        <v>8</v>
      </c>
      <c r="X165">
        <f t="shared" si="31"/>
        <v>2026</v>
      </c>
      <c r="Y165" t="str">
        <f t="shared" si="32"/>
        <v>32-2026</v>
      </c>
      <c r="Z165" t="s">
        <v>147</v>
      </c>
      <c r="AD165" t="s">
        <v>59</v>
      </c>
      <c r="AE165">
        <v>5</v>
      </c>
      <c r="AG165" t="s">
        <v>28</v>
      </c>
      <c r="AH165" t="s">
        <v>44</v>
      </c>
      <c r="AI165" s="23">
        <v>46248</v>
      </c>
    </row>
    <row r="166" spans="1:40" ht="29.1">
      <c r="A166" s="14">
        <v>3732413</v>
      </c>
      <c r="B166" s="14" t="s">
        <v>64</v>
      </c>
      <c r="C166" s="14" t="s">
        <v>656</v>
      </c>
      <c r="D166" s="24">
        <v>46239</v>
      </c>
      <c r="E166" s="24">
        <v>46239</v>
      </c>
      <c r="F166" s="25">
        <v>0.50069444444444444</v>
      </c>
      <c r="G166" s="14">
        <v>2026</v>
      </c>
      <c r="H166" s="14">
        <v>8</v>
      </c>
      <c r="I166" s="14" t="s">
        <v>138</v>
      </c>
      <c r="J166" s="14" t="s">
        <v>1118</v>
      </c>
      <c r="K166" s="14"/>
      <c r="L166" s="14" t="s">
        <v>4</v>
      </c>
      <c r="M166" s="14" t="s">
        <v>85</v>
      </c>
      <c r="N166" s="14" t="s">
        <v>1119</v>
      </c>
      <c r="O166" s="14" t="s">
        <v>519</v>
      </c>
      <c r="P166" s="40" t="s">
        <v>1120</v>
      </c>
      <c r="Q166" s="14" t="s">
        <v>143</v>
      </c>
      <c r="R166" s="14" t="s">
        <v>144</v>
      </c>
      <c r="S166" s="28">
        <v>3212608047</v>
      </c>
      <c r="T166" s="35" t="s">
        <v>453</v>
      </c>
      <c r="U166" s="38" t="s">
        <v>1121</v>
      </c>
      <c r="V166">
        <f t="shared" si="29"/>
        <v>32</v>
      </c>
      <c r="W166">
        <f t="shared" si="30"/>
        <v>8</v>
      </c>
      <c r="X166">
        <f t="shared" si="31"/>
        <v>2026</v>
      </c>
      <c r="Y166" t="str">
        <f t="shared" si="32"/>
        <v>32-2026</v>
      </c>
      <c r="Z166" t="s">
        <v>147</v>
      </c>
      <c r="AD166" t="s">
        <v>57</v>
      </c>
      <c r="AE166">
        <v>5</v>
      </c>
      <c r="AG166" t="s">
        <v>1033</v>
      </c>
      <c r="AH166" t="s">
        <v>30</v>
      </c>
      <c r="AI166" s="23">
        <v>46253</v>
      </c>
      <c r="AM166"/>
    </row>
    <row r="167" spans="1:40" ht="29.1">
      <c r="A167" s="14">
        <v>3732448</v>
      </c>
      <c r="B167" s="14" t="s">
        <v>68</v>
      </c>
      <c r="C167" s="14" t="s">
        <v>541</v>
      </c>
      <c r="D167" s="24">
        <v>46239</v>
      </c>
      <c r="E167" s="24">
        <v>46239</v>
      </c>
      <c r="F167" s="25">
        <v>0.52083333333333337</v>
      </c>
      <c r="G167" s="14">
        <v>2026</v>
      </c>
      <c r="H167" s="14">
        <v>8</v>
      </c>
      <c r="I167" s="14" t="s">
        <v>138</v>
      </c>
      <c r="J167" s="14" t="s">
        <v>1122</v>
      </c>
      <c r="K167" s="14" t="s">
        <v>1123</v>
      </c>
      <c r="L167" s="14" t="s">
        <v>4</v>
      </c>
      <c r="M167" s="14" t="s">
        <v>85</v>
      </c>
      <c r="N167" s="14" t="s">
        <v>1124</v>
      </c>
      <c r="O167" s="14" t="s">
        <v>473</v>
      </c>
      <c r="P167" s="40" t="s">
        <v>1125</v>
      </c>
      <c r="Q167" s="14" t="s">
        <v>224</v>
      </c>
      <c r="R167" s="14" t="s">
        <v>225</v>
      </c>
      <c r="S167" s="28">
        <v>3108086186</v>
      </c>
      <c r="T167" s="35" t="s">
        <v>1126</v>
      </c>
      <c r="U167" s="38" t="s">
        <v>1127</v>
      </c>
      <c r="V167">
        <f t="shared" si="29"/>
        <v>32</v>
      </c>
      <c r="W167">
        <f t="shared" si="30"/>
        <v>8</v>
      </c>
      <c r="X167">
        <f t="shared" si="31"/>
        <v>2026</v>
      </c>
      <c r="Y167" t="str">
        <f t="shared" si="32"/>
        <v>32-2026</v>
      </c>
      <c r="Z167" t="s">
        <v>147</v>
      </c>
      <c r="AD167" t="s">
        <v>58</v>
      </c>
      <c r="AE167">
        <v>5</v>
      </c>
      <c r="AF167" t="s">
        <v>45</v>
      </c>
      <c r="AM167"/>
    </row>
    <row r="168" spans="1:40" ht="29.1">
      <c r="A168" s="14">
        <v>3732430</v>
      </c>
      <c r="B168" s="14" t="s">
        <v>64</v>
      </c>
      <c r="C168" s="14" t="s">
        <v>656</v>
      </c>
      <c r="D168" s="24">
        <v>46239</v>
      </c>
      <c r="E168" s="24">
        <v>46239</v>
      </c>
      <c r="F168" s="25">
        <v>0.52361111111111114</v>
      </c>
      <c r="G168" s="14">
        <v>2026</v>
      </c>
      <c r="H168" s="14">
        <v>8</v>
      </c>
      <c r="I168" s="14" t="s">
        <v>138</v>
      </c>
      <c r="J168" s="14" t="s">
        <v>1128</v>
      </c>
      <c r="K168" s="14"/>
      <c r="L168" s="14" t="s">
        <v>4</v>
      </c>
      <c r="M168" s="14" t="s">
        <v>85</v>
      </c>
      <c r="N168" s="14" t="s">
        <v>1129</v>
      </c>
      <c r="O168" s="14" t="s">
        <v>519</v>
      </c>
      <c r="P168" s="40" t="s">
        <v>1130</v>
      </c>
      <c r="Q168" s="14" t="s">
        <v>143</v>
      </c>
      <c r="R168" s="14" t="s">
        <v>225</v>
      </c>
      <c r="S168" s="28">
        <v>3212608047</v>
      </c>
      <c r="T168" s="28" t="s">
        <v>1131</v>
      </c>
      <c r="U168" s="38" t="s">
        <v>1132</v>
      </c>
      <c r="V168">
        <f t="shared" si="29"/>
        <v>32</v>
      </c>
      <c r="W168">
        <f t="shared" si="30"/>
        <v>8</v>
      </c>
      <c r="X168">
        <f t="shared" si="31"/>
        <v>2026</v>
      </c>
      <c r="Y168" t="str">
        <f t="shared" si="32"/>
        <v>32-2026</v>
      </c>
      <c r="Z168" t="s">
        <v>147</v>
      </c>
      <c r="AD168" t="s">
        <v>59</v>
      </c>
      <c r="AE168">
        <v>5</v>
      </c>
    </row>
    <row r="169" spans="1:40" ht="26.45" customHeight="1">
      <c r="A169" s="14">
        <v>3732553</v>
      </c>
      <c r="B169" s="14" t="s">
        <v>71</v>
      </c>
      <c r="C169" s="14"/>
      <c r="D169" s="24">
        <v>46239</v>
      </c>
      <c r="E169" s="24">
        <v>46239</v>
      </c>
      <c r="F169" s="25">
        <v>0.62986111111111109</v>
      </c>
      <c r="G169" s="14">
        <v>2026</v>
      </c>
      <c r="H169" s="14">
        <v>8</v>
      </c>
      <c r="I169" s="14" t="s">
        <v>138</v>
      </c>
      <c r="J169" s="14" t="s">
        <v>1133</v>
      </c>
      <c r="K169" s="14"/>
      <c r="L169" s="14" t="s">
        <v>5</v>
      </c>
      <c r="M169" s="14" t="s">
        <v>85</v>
      </c>
      <c r="N169" s="14" t="s">
        <v>1134</v>
      </c>
      <c r="O169" s="14" t="s">
        <v>473</v>
      </c>
      <c r="P169" s="40" t="s">
        <v>1135</v>
      </c>
      <c r="Q169" s="14" t="s">
        <v>143</v>
      </c>
      <c r="R169" s="14" t="s">
        <v>225</v>
      </c>
      <c r="S169" s="28">
        <v>3213793476</v>
      </c>
      <c r="T169" s="28" t="s">
        <v>1136</v>
      </c>
      <c r="U169" s="38" t="s">
        <v>1137</v>
      </c>
      <c r="V169">
        <f t="shared" si="29"/>
        <v>32</v>
      </c>
      <c r="W169">
        <f t="shared" si="30"/>
        <v>8</v>
      </c>
      <c r="X169">
        <f t="shared" si="31"/>
        <v>2026</v>
      </c>
      <c r="Y169" t="str">
        <f t="shared" si="32"/>
        <v>32-2026</v>
      </c>
      <c r="Z169" t="s">
        <v>147</v>
      </c>
      <c r="AD169" t="s">
        <v>59</v>
      </c>
      <c r="AE169">
        <v>5</v>
      </c>
    </row>
    <row r="170" spans="1:40" ht="29.1">
      <c r="A170" s="14">
        <v>3732506</v>
      </c>
      <c r="B170" s="14" t="s">
        <v>64</v>
      </c>
      <c r="C170" s="14" t="s">
        <v>656</v>
      </c>
      <c r="D170" s="24">
        <v>46239</v>
      </c>
      <c r="E170" s="24">
        <v>46239</v>
      </c>
      <c r="F170" s="25">
        <v>0.7583333333333333</v>
      </c>
      <c r="G170" s="14">
        <v>2026</v>
      </c>
      <c r="H170" s="14">
        <v>8</v>
      </c>
      <c r="I170" s="14" t="s">
        <v>138</v>
      </c>
      <c r="J170" s="14" t="s">
        <v>1138</v>
      </c>
      <c r="K170" s="14"/>
      <c r="L170" s="14" t="s">
        <v>4</v>
      </c>
      <c r="M170" s="14" t="s">
        <v>85</v>
      </c>
      <c r="N170" s="14" t="s">
        <v>1139</v>
      </c>
      <c r="O170" s="14" t="s">
        <v>519</v>
      </c>
      <c r="P170" s="17" t="s">
        <v>1140</v>
      </c>
      <c r="Q170" s="14" t="s">
        <v>143</v>
      </c>
      <c r="R170" s="14" t="s">
        <v>144</v>
      </c>
      <c r="S170" s="28">
        <v>3175136361</v>
      </c>
      <c r="T170" s="28" t="s">
        <v>1141</v>
      </c>
      <c r="U170" s="38" t="s">
        <v>1142</v>
      </c>
      <c r="V170">
        <f t="shared" ref="V170:V174" si="33">WEEKNUM(E170)</f>
        <v>32</v>
      </c>
      <c r="W170">
        <f t="shared" ref="W170:W174" si="34">MONTH(E170)</f>
        <v>8</v>
      </c>
      <c r="X170">
        <f t="shared" ref="X170:X174" si="35">YEAR(E170)</f>
        <v>2026</v>
      </c>
      <c r="Y170" t="str">
        <f t="shared" ref="Y170:Y174" si="36">_xlfn.CONCAT(V170,"-",X170)</f>
        <v>32-2026</v>
      </c>
      <c r="Z170" t="s">
        <v>147</v>
      </c>
      <c r="AD170" t="s">
        <v>59</v>
      </c>
      <c r="AE170">
        <v>5</v>
      </c>
    </row>
    <row r="171" spans="1:40" ht="29.1">
      <c r="A171" s="14">
        <v>3732657</v>
      </c>
      <c r="B171" s="14" t="s">
        <v>64</v>
      </c>
      <c r="C171" s="14" t="s">
        <v>656</v>
      </c>
      <c r="D171" s="24">
        <v>46239</v>
      </c>
      <c r="E171" s="24">
        <v>46239</v>
      </c>
      <c r="F171" s="25">
        <v>0.76944444444444449</v>
      </c>
      <c r="G171" s="14">
        <v>2026</v>
      </c>
      <c r="H171" s="14">
        <v>8</v>
      </c>
      <c r="I171" s="14" t="s">
        <v>138</v>
      </c>
      <c r="J171" s="14" t="s">
        <v>1143</v>
      </c>
      <c r="K171" s="14"/>
      <c r="L171" s="14" t="s">
        <v>4</v>
      </c>
      <c r="M171" s="14" t="s">
        <v>85</v>
      </c>
      <c r="N171" s="14" t="s">
        <v>1144</v>
      </c>
      <c r="O171" s="14" t="s">
        <v>519</v>
      </c>
      <c r="P171" s="17" t="s">
        <v>1145</v>
      </c>
      <c r="Q171" s="14" t="s">
        <v>224</v>
      </c>
      <c r="R171" s="14" t="s">
        <v>225</v>
      </c>
      <c r="S171" s="28" t="s">
        <v>1146</v>
      </c>
      <c r="T171" s="28">
        <v>321330000</v>
      </c>
      <c r="U171" s="38" t="s">
        <v>1147</v>
      </c>
      <c r="V171">
        <f t="shared" si="33"/>
        <v>32</v>
      </c>
      <c r="W171">
        <f t="shared" si="34"/>
        <v>8</v>
      </c>
      <c r="X171">
        <f t="shared" si="35"/>
        <v>2026</v>
      </c>
      <c r="Y171" t="str">
        <f t="shared" si="36"/>
        <v>32-2026</v>
      </c>
      <c r="Z171" t="s">
        <v>147</v>
      </c>
      <c r="AD171" t="s">
        <v>57</v>
      </c>
      <c r="AE171">
        <v>5</v>
      </c>
      <c r="AG171" t="s">
        <v>1033</v>
      </c>
      <c r="AH171" t="s">
        <v>46</v>
      </c>
      <c r="AI171" s="23">
        <v>46253</v>
      </c>
      <c r="AL171" t="s">
        <v>58</v>
      </c>
      <c r="AM171" s="29" t="s">
        <v>824</v>
      </c>
      <c r="AN171" t="s">
        <v>825</v>
      </c>
    </row>
    <row r="172" spans="1:40" ht="29.1">
      <c r="A172" s="14">
        <v>3732669</v>
      </c>
      <c r="B172" s="14" t="s">
        <v>64</v>
      </c>
      <c r="C172" s="14" t="s">
        <v>656</v>
      </c>
      <c r="D172" s="24">
        <v>46239</v>
      </c>
      <c r="E172" s="24">
        <v>46239</v>
      </c>
      <c r="F172" s="25">
        <v>0.78194444444444444</v>
      </c>
      <c r="G172" s="14">
        <v>2026</v>
      </c>
      <c r="H172" s="14">
        <v>8</v>
      </c>
      <c r="I172" s="14" t="s">
        <v>138</v>
      </c>
      <c r="J172" s="14" t="s">
        <v>1148</v>
      </c>
      <c r="K172" s="14"/>
      <c r="L172" s="14" t="s">
        <v>4</v>
      </c>
      <c r="M172" s="14" t="s">
        <v>85</v>
      </c>
      <c r="N172" s="14" t="s">
        <v>1149</v>
      </c>
      <c r="O172" s="14" t="s">
        <v>519</v>
      </c>
      <c r="P172" s="17" t="s">
        <v>1150</v>
      </c>
      <c r="Q172" s="14" t="s">
        <v>143</v>
      </c>
      <c r="R172" s="14" t="s">
        <v>144</v>
      </c>
      <c r="S172" s="28">
        <v>3124240343</v>
      </c>
      <c r="T172" s="28" t="s">
        <v>453</v>
      </c>
      <c r="U172" s="38" t="s">
        <v>1151</v>
      </c>
      <c r="V172">
        <f t="shared" si="33"/>
        <v>32</v>
      </c>
      <c r="W172">
        <f t="shared" si="34"/>
        <v>8</v>
      </c>
      <c r="X172">
        <f t="shared" si="35"/>
        <v>2026</v>
      </c>
      <c r="Y172" t="str">
        <f t="shared" si="36"/>
        <v>32-2026</v>
      </c>
      <c r="Z172" t="s">
        <v>147</v>
      </c>
      <c r="AD172" t="s">
        <v>57</v>
      </c>
      <c r="AE172">
        <v>5</v>
      </c>
      <c r="AG172" t="s">
        <v>31</v>
      </c>
      <c r="AH172" t="s">
        <v>30</v>
      </c>
      <c r="AI172" s="23">
        <v>46252</v>
      </c>
    </row>
    <row r="173" spans="1:40" ht="29.1">
      <c r="A173" s="14">
        <v>3732676</v>
      </c>
      <c r="B173" s="14" t="s">
        <v>64</v>
      </c>
      <c r="C173" s="14" t="s">
        <v>656</v>
      </c>
      <c r="D173" s="24">
        <v>46239</v>
      </c>
      <c r="E173" s="24">
        <v>46239</v>
      </c>
      <c r="F173" s="25">
        <v>0.79652777777777772</v>
      </c>
      <c r="G173" s="14">
        <v>2026</v>
      </c>
      <c r="H173" s="14">
        <v>8</v>
      </c>
      <c r="I173" s="14" t="s">
        <v>138</v>
      </c>
      <c r="J173" s="14" t="s">
        <v>1152</v>
      </c>
      <c r="K173" s="14"/>
      <c r="L173" s="14" t="s">
        <v>4</v>
      </c>
      <c r="M173" s="14" t="s">
        <v>85</v>
      </c>
      <c r="N173" s="14" t="s">
        <v>1153</v>
      </c>
      <c r="O173" s="14" t="s">
        <v>519</v>
      </c>
      <c r="P173" s="17" t="s">
        <v>1154</v>
      </c>
      <c r="Q173" s="14" t="s">
        <v>143</v>
      </c>
      <c r="R173" s="14" t="s">
        <v>144</v>
      </c>
      <c r="S173" s="28">
        <v>3214639597</v>
      </c>
      <c r="T173" s="28" t="s">
        <v>453</v>
      </c>
      <c r="U173" s="38" t="s">
        <v>1155</v>
      </c>
      <c r="V173">
        <f t="shared" si="33"/>
        <v>32</v>
      </c>
      <c r="W173">
        <f t="shared" si="34"/>
        <v>8</v>
      </c>
      <c r="X173">
        <f t="shared" si="35"/>
        <v>2026</v>
      </c>
      <c r="Y173" t="str">
        <f t="shared" si="36"/>
        <v>32-2026</v>
      </c>
      <c r="Z173" t="s">
        <v>147</v>
      </c>
      <c r="AD173" t="s">
        <v>59</v>
      </c>
      <c r="AE173">
        <v>5</v>
      </c>
    </row>
    <row r="174" spans="1:40" ht="29.1">
      <c r="A174" s="14">
        <v>3735943</v>
      </c>
      <c r="B174" s="14" t="s">
        <v>17</v>
      </c>
      <c r="C174" s="14" t="s">
        <v>290</v>
      </c>
      <c r="D174" s="24">
        <v>46240</v>
      </c>
      <c r="E174" s="24">
        <v>46240</v>
      </c>
      <c r="F174" s="25">
        <v>0.42222222222222222</v>
      </c>
      <c r="G174" s="14">
        <v>2026</v>
      </c>
      <c r="H174" s="14">
        <v>8</v>
      </c>
      <c r="I174" s="14" t="s">
        <v>138</v>
      </c>
      <c r="J174" s="14" t="s">
        <v>1156</v>
      </c>
      <c r="K174" s="14"/>
      <c r="L174" s="14" t="s">
        <v>4</v>
      </c>
      <c r="M174" s="14" t="s">
        <v>85</v>
      </c>
      <c r="N174" s="14" t="s">
        <v>1157</v>
      </c>
      <c r="O174" s="14" t="s">
        <v>473</v>
      </c>
      <c r="P174" s="17" t="s">
        <v>1158</v>
      </c>
      <c r="Q174" s="14" t="s">
        <v>224</v>
      </c>
      <c r="R174" s="14" t="s">
        <v>225</v>
      </c>
      <c r="S174" s="28" t="s">
        <v>1159</v>
      </c>
      <c r="T174" s="28">
        <v>3143367125</v>
      </c>
      <c r="U174" s="38" t="s">
        <v>1160</v>
      </c>
      <c r="V174">
        <f t="shared" si="33"/>
        <v>32</v>
      </c>
      <c r="W174">
        <f t="shared" si="34"/>
        <v>8</v>
      </c>
      <c r="X174">
        <f t="shared" si="35"/>
        <v>2026</v>
      </c>
      <c r="Y174" t="str">
        <f t="shared" si="36"/>
        <v>32-2026</v>
      </c>
      <c r="Z174" t="s">
        <v>147</v>
      </c>
      <c r="AD174" t="s">
        <v>58</v>
      </c>
      <c r="AE174">
        <v>5</v>
      </c>
      <c r="AF174" t="s">
        <v>29</v>
      </c>
    </row>
    <row r="175" spans="1:40" ht="29.1">
      <c r="A175" s="14">
        <v>3736014</v>
      </c>
      <c r="B175" s="14" t="s">
        <v>64</v>
      </c>
      <c r="C175" s="14" t="s">
        <v>656</v>
      </c>
      <c r="D175" s="24">
        <v>46240</v>
      </c>
      <c r="E175" s="24">
        <v>46240</v>
      </c>
      <c r="F175" s="25">
        <v>0.4826388888888889</v>
      </c>
      <c r="G175" s="14">
        <v>2026</v>
      </c>
      <c r="H175" s="14">
        <v>8</v>
      </c>
      <c r="I175" s="14" t="s">
        <v>138</v>
      </c>
      <c r="J175" s="14" t="s">
        <v>1161</v>
      </c>
      <c r="K175" s="14"/>
      <c r="L175" s="14" t="s">
        <v>4</v>
      </c>
      <c r="M175" s="14" t="s">
        <v>85</v>
      </c>
      <c r="N175" s="14" t="s">
        <v>1162</v>
      </c>
      <c r="O175" s="14" t="s">
        <v>519</v>
      </c>
      <c r="P175" s="17" t="s">
        <v>1163</v>
      </c>
      <c r="Q175" s="14" t="s">
        <v>143</v>
      </c>
      <c r="R175" s="14" t="s">
        <v>144</v>
      </c>
      <c r="S175" s="28">
        <v>3212608047</v>
      </c>
      <c r="T175" s="28" t="s">
        <v>453</v>
      </c>
      <c r="U175" s="38" t="s">
        <v>1164</v>
      </c>
      <c r="V175">
        <f t="shared" ref="V175:V186" si="37">WEEKNUM(E175)</f>
        <v>32</v>
      </c>
      <c r="W175">
        <f t="shared" ref="W175:W186" si="38">MONTH(E175)</f>
        <v>8</v>
      </c>
      <c r="X175">
        <f t="shared" ref="X175:X186" si="39">YEAR(E175)</f>
        <v>2026</v>
      </c>
      <c r="Y175" t="str">
        <f t="shared" ref="Y175:Y186" si="40">_xlfn.CONCAT(V175,"-",X175)</f>
        <v>32-2026</v>
      </c>
      <c r="Z175" t="s">
        <v>147</v>
      </c>
      <c r="AD175" t="s">
        <v>59</v>
      </c>
      <c r="AE175">
        <v>5</v>
      </c>
    </row>
    <row r="176" spans="1:40" ht="29.1">
      <c r="A176" s="14">
        <v>3736083</v>
      </c>
      <c r="B176" s="14" t="s">
        <v>64</v>
      </c>
      <c r="C176" s="14" t="s">
        <v>656</v>
      </c>
      <c r="D176" s="24">
        <v>46240</v>
      </c>
      <c r="E176" s="24">
        <v>46240</v>
      </c>
      <c r="F176" s="25">
        <v>0.50555555555555554</v>
      </c>
      <c r="G176" s="14">
        <v>2026</v>
      </c>
      <c r="H176" s="14">
        <v>8</v>
      </c>
      <c r="I176" s="14" t="s">
        <v>138</v>
      </c>
      <c r="J176" s="14" t="s">
        <v>1165</v>
      </c>
      <c r="K176" s="14"/>
      <c r="L176" s="14" t="s">
        <v>4</v>
      </c>
      <c r="M176" s="14" t="s">
        <v>85</v>
      </c>
      <c r="N176" s="14" t="s">
        <v>1166</v>
      </c>
      <c r="O176" s="14" t="s">
        <v>519</v>
      </c>
      <c r="P176" s="17" t="s">
        <v>1167</v>
      </c>
      <c r="Q176" s="14" t="s">
        <v>168</v>
      </c>
      <c r="R176" s="14" t="s">
        <v>144</v>
      </c>
      <c r="S176" s="28" t="s">
        <v>1168</v>
      </c>
      <c r="T176" s="28" t="s">
        <v>453</v>
      </c>
      <c r="U176" s="38" t="s">
        <v>1169</v>
      </c>
      <c r="V176">
        <f t="shared" si="37"/>
        <v>32</v>
      </c>
      <c r="W176">
        <f t="shared" si="38"/>
        <v>8</v>
      </c>
      <c r="X176">
        <f t="shared" si="39"/>
        <v>2026</v>
      </c>
      <c r="Y176" t="str">
        <f t="shared" si="40"/>
        <v>32-2026</v>
      </c>
      <c r="Z176" t="s">
        <v>147</v>
      </c>
      <c r="AD176" t="s">
        <v>57</v>
      </c>
      <c r="AE176">
        <v>5</v>
      </c>
      <c r="AG176" t="s">
        <v>1170</v>
      </c>
    </row>
    <row r="177" spans="1:35" ht="29.1">
      <c r="A177" s="14">
        <v>3736120</v>
      </c>
      <c r="B177" s="14" t="s">
        <v>64</v>
      </c>
      <c r="C177" s="14" t="s">
        <v>656</v>
      </c>
      <c r="D177" s="24">
        <v>46240</v>
      </c>
      <c r="E177" s="24">
        <v>46240</v>
      </c>
      <c r="F177" s="25">
        <v>0.55138888888888893</v>
      </c>
      <c r="G177" s="14">
        <v>2026</v>
      </c>
      <c r="H177" s="14">
        <v>8</v>
      </c>
      <c r="I177" s="14" t="s">
        <v>138</v>
      </c>
      <c r="J177" s="14" t="s">
        <v>1171</v>
      </c>
      <c r="K177" s="14" t="s">
        <v>1172</v>
      </c>
      <c r="L177" s="14" t="s">
        <v>4</v>
      </c>
      <c r="M177" s="14" t="s">
        <v>85</v>
      </c>
      <c r="N177" s="14" t="s">
        <v>1173</v>
      </c>
      <c r="O177" s="14" t="s">
        <v>519</v>
      </c>
      <c r="P177" s="17" t="s">
        <v>1174</v>
      </c>
      <c r="Q177" s="14" t="s">
        <v>143</v>
      </c>
      <c r="R177" s="14" t="s">
        <v>144</v>
      </c>
      <c r="S177" s="28" t="s">
        <v>1168</v>
      </c>
      <c r="T177" s="28" t="s">
        <v>453</v>
      </c>
      <c r="U177" s="38" t="s">
        <v>1175</v>
      </c>
      <c r="V177">
        <f t="shared" si="37"/>
        <v>32</v>
      </c>
      <c r="W177">
        <f t="shared" si="38"/>
        <v>8</v>
      </c>
      <c r="X177">
        <f t="shared" si="39"/>
        <v>2026</v>
      </c>
      <c r="Y177" t="str">
        <f t="shared" si="40"/>
        <v>32-2026</v>
      </c>
      <c r="Z177" t="s">
        <v>147</v>
      </c>
      <c r="AD177" t="s">
        <v>57</v>
      </c>
      <c r="AE177">
        <v>5</v>
      </c>
    </row>
    <row r="178" spans="1:35" ht="29.1">
      <c r="A178" s="14">
        <v>3736312</v>
      </c>
      <c r="B178" s="14" t="s">
        <v>80</v>
      </c>
      <c r="C178" s="14" t="s">
        <v>447</v>
      </c>
      <c r="D178" s="24">
        <v>46240</v>
      </c>
      <c r="E178" s="24">
        <v>46240</v>
      </c>
      <c r="F178" s="25">
        <v>0.76875000000000004</v>
      </c>
      <c r="G178" s="14">
        <v>2026</v>
      </c>
      <c r="H178" s="14">
        <v>8</v>
      </c>
      <c r="I178" s="14" t="s">
        <v>138</v>
      </c>
      <c r="J178" s="14" t="s">
        <v>1176</v>
      </c>
      <c r="K178" s="14"/>
      <c r="L178" s="14" t="s">
        <v>5</v>
      </c>
      <c r="M178" s="14" t="s">
        <v>140</v>
      </c>
      <c r="N178" s="14" t="s">
        <v>1177</v>
      </c>
      <c r="O178" s="14" t="s">
        <v>566</v>
      </c>
      <c r="P178" s="46" t="s">
        <v>1178</v>
      </c>
      <c r="Q178" s="14" t="s">
        <v>224</v>
      </c>
      <c r="R178" s="14" t="s">
        <v>225</v>
      </c>
      <c r="S178" s="28" t="s">
        <v>1179</v>
      </c>
      <c r="T178" s="28">
        <v>3156401469</v>
      </c>
      <c r="U178" s="38" t="s">
        <v>1180</v>
      </c>
      <c r="V178">
        <f t="shared" si="37"/>
        <v>32</v>
      </c>
      <c r="W178">
        <f t="shared" si="38"/>
        <v>8</v>
      </c>
      <c r="X178">
        <f t="shared" si="39"/>
        <v>2026</v>
      </c>
      <c r="Y178" t="str">
        <f t="shared" si="40"/>
        <v>32-2026</v>
      </c>
      <c r="Z178" t="s">
        <v>147</v>
      </c>
      <c r="AD178" t="s">
        <v>59</v>
      </c>
      <c r="AE178">
        <v>5</v>
      </c>
    </row>
    <row r="179" spans="1:35" ht="29.1">
      <c r="A179" s="14">
        <v>3739462</v>
      </c>
      <c r="B179" s="14" t="s">
        <v>8</v>
      </c>
      <c r="C179" s="14" t="s">
        <v>81</v>
      </c>
      <c r="D179" s="24">
        <v>46241</v>
      </c>
      <c r="E179" s="24">
        <v>46241</v>
      </c>
      <c r="F179" s="25">
        <v>0.60277777777777775</v>
      </c>
      <c r="G179" s="14">
        <v>2026</v>
      </c>
      <c r="H179" s="14">
        <v>8</v>
      </c>
      <c r="I179" s="14" t="s">
        <v>138</v>
      </c>
      <c r="J179" s="14" t="s">
        <v>1181</v>
      </c>
      <c r="K179" s="14"/>
      <c r="L179" s="14" t="s">
        <v>4</v>
      </c>
      <c r="M179" s="14" t="s">
        <v>85</v>
      </c>
      <c r="N179" s="14" t="s">
        <v>1182</v>
      </c>
      <c r="O179" s="14" t="s">
        <v>519</v>
      </c>
      <c r="P179" s="17" t="s">
        <v>1183</v>
      </c>
      <c r="Q179" s="14" t="s">
        <v>143</v>
      </c>
      <c r="R179" s="14" t="s">
        <v>144</v>
      </c>
      <c r="S179" s="28">
        <v>3214639597</v>
      </c>
      <c r="T179" s="28">
        <v>3022964506</v>
      </c>
      <c r="U179" s="38" t="s">
        <v>1184</v>
      </c>
      <c r="V179">
        <f t="shared" si="37"/>
        <v>32</v>
      </c>
      <c r="W179">
        <f t="shared" si="38"/>
        <v>8</v>
      </c>
      <c r="X179">
        <f t="shared" si="39"/>
        <v>2026</v>
      </c>
      <c r="Y179" t="str">
        <f t="shared" si="40"/>
        <v>32-2026</v>
      </c>
      <c r="Z179" t="s">
        <v>147</v>
      </c>
      <c r="AD179" t="s">
        <v>59</v>
      </c>
      <c r="AE179">
        <v>5</v>
      </c>
    </row>
    <row r="180" spans="1:35" ht="29.1">
      <c r="A180" s="14">
        <v>3739465</v>
      </c>
      <c r="B180" s="14" t="s">
        <v>8</v>
      </c>
      <c r="C180" s="14" t="s">
        <v>81</v>
      </c>
      <c r="D180" s="24">
        <v>46241</v>
      </c>
      <c r="E180" s="24">
        <v>46241</v>
      </c>
      <c r="F180" s="25">
        <v>0.61458333333333337</v>
      </c>
      <c r="G180" s="14">
        <v>2026</v>
      </c>
      <c r="H180" s="14">
        <v>8</v>
      </c>
      <c r="I180" s="14" t="s">
        <v>138</v>
      </c>
      <c r="J180" s="14" t="s">
        <v>1185</v>
      </c>
      <c r="K180" s="14"/>
      <c r="L180" s="14" t="s">
        <v>4</v>
      </c>
      <c r="M180" s="14" t="s">
        <v>85</v>
      </c>
      <c r="N180" s="14" t="s">
        <v>1186</v>
      </c>
      <c r="O180" s="14" t="s">
        <v>519</v>
      </c>
      <c r="P180" s="17" t="s">
        <v>1187</v>
      </c>
      <c r="Q180" s="14" t="s">
        <v>143</v>
      </c>
      <c r="R180" s="14" t="s">
        <v>144</v>
      </c>
      <c r="S180" s="28">
        <v>3112163546</v>
      </c>
      <c r="T180" s="28" t="s">
        <v>276</v>
      </c>
      <c r="U180" s="38" t="s">
        <v>1188</v>
      </c>
      <c r="V180">
        <f t="shared" si="37"/>
        <v>32</v>
      </c>
      <c r="W180">
        <f t="shared" si="38"/>
        <v>8</v>
      </c>
      <c r="X180">
        <f t="shared" si="39"/>
        <v>2026</v>
      </c>
      <c r="Y180" t="str">
        <f t="shared" si="40"/>
        <v>32-2026</v>
      </c>
      <c r="Z180" t="s">
        <v>147</v>
      </c>
      <c r="AD180" t="s">
        <v>59</v>
      </c>
      <c r="AE180">
        <v>5</v>
      </c>
    </row>
    <row r="181" spans="1:35" ht="29.1">
      <c r="A181" s="14">
        <v>3742510</v>
      </c>
      <c r="B181" s="14" t="s">
        <v>8</v>
      </c>
      <c r="C181" s="14" t="s">
        <v>81</v>
      </c>
      <c r="D181" s="24">
        <v>46242</v>
      </c>
      <c r="E181" s="24">
        <v>46242</v>
      </c>
      <c r="F181" s="25">
        <v>0.34236111111111112</v>
      </c>
      <c r="G181" s="14">
        <v>2026</v>
      </c>
      <c r="H181" s="14">
        <v>8</v>
      </c>
      <c r="I181" s="14" t="s">
        <v>138</v>
      </c>
      <c r="J181" s="14" t="s">
        <v>1189</v>
      </c>
      <c r="K181" s="14"/>
      <c r="L181" s="14" t="s">
        <v>4</v>
      </c>
      <c r="M181" s="14" t="s">
        <v>85</v>
      </c>
      <c r="N181" s="14" t="s">
        <v>1190</v>
      </c>
      <c r="O181" s="14" t="s">
        <v>519</v>
      </c>
      <c r="P181" s="17" t="s">
        <v>1191</v>
      </c>
      <c r="Q181" s="14" t="s">
        <v>224</v>
      </c>
      <c r="R181" s="14" t="s">
        <v>225</v>
      </c>
      <c r="S181" s="28">
        <v>3182433298</v>
      </c>
      <c r="T181" s="28" t="s">
        <v>276</v>
      </c>
      <c r="U181" s="38" t="s">
        <v>1192</v>
      </c>
      <c r="V181">
        <f t="shared" si="37"/>
        <v>32</v>
      </c>
      <c r="W181">
        <f t="shared" si="38"/>
        <v>8</v>
      </c>
      <c r="X181">
        <f t="shared" si="39"/>
        <v>2026</v>
      </c>
      <c r="Y181" t="str">
        <f t="shared" si="40"/>
        <v>32-2026</v>
      </c>
      <c r="Z181" t="s">
        <v>255</v>
      </c>
      <c r="AC181" t="s">
        <v>996</v>
      </c>
      <c r="AD181" t="s">
        <v>58</v>
      </c>
      <c r="AE181">
        <v>5</v>
      </c>
      <c r="AF181" t="s">
        <v>50</v>
      </c>
    </row>
    <row r="182" spans="1:35" ht="29.1">
      <c r="A182" s="14">
        <v>3742517</v>
      </c>
      <c r="B182" s="14" t="s">
        <v>8</v>
      </c>
      <c r="C182" s="14" t="s">
        <v>81</v>
      </c>
      <c r="D182" s="24">
        <v>46242</v>
      </c>
      <c r="E182" s="24">
        <v>46242</v>
      </c>
      <c r="F182" s="25">
        <v>0.34930555555555554</v>
      </c>
      <c r="G182" s="14">
        <v>2026</v>
      </c>
      <c r="H182" s="14">
        <v>8</v>
      </c>
      <c r="I182" s="14" t="s">
        <v>138</v>
      </c>
      <c r="J182" s="14" t="s">
        <v>1193</v>
      </c>
      <c r="K182" s="14"/>
      <c r="L182" s="14" t="s">
        <v>4</v>
      </c>
      <c r="M182" s="14" t="s">
        <v>85</v>
      </c>
      <c r="N182" s="14" t="s">
        <v>1194</v>
      </c>
      <c r="O182" s="14" t="s">
        <v>519</v>
      </c>
      <c r="P182" s="17" t="s">
        <v>1195</v>
      </c>
      <c r="Q182" s="14" t="s">
        <v>224</v>
      </c>
      <c r="R182" s="14" t="s">
        <v>225</v>
      </c>
      <c r="S182" s="28">
        <v>3202713662</v>
      </c>
      <c r="T182" s="28" t="s">
        <v>1196</v>
      </c>
      <c r="U182" s="38" t="s">
        <v>1197</v>
      </c>
      <c r="V182">
        <f t="shared" si="37"/>
        <v>32</v>
      </c>
      <c r="W182">
        <f t="shared" si="38"/>
        <v>8</v>
      </c>
      <c r="X182">
        <f t="shared" si="39"/>
        <v>2026</v>
      </c>
      <c r="Y182" t="str">
        <f t="shared" si="40"/>
        <v>32-2026</v>
      </c>
      <c r="Z182" t="s">
        <v>147</v>
      </c>
      <c r="AD182" t="s">
        <v>59</v>
      </c>
      <c r="AE182">
        <v>5</v>
      </c>
    </row>
    <row r="183" spans="1:35" ht="29.1">
      <c r="A183" s="14">
        <v>3742543</v>
      </c>
      <c r="B183" s="14" t="s">
        <v>8</v>
      </c>
      <c r="C183" s="14" t="s">
        <v>81</v>
      </c>
      <c r="D183" s="24">
        <v>46242</v>
      </c>
      <c r="E183" s="24">
        <v>46242</v>
      </c>
      <c r="F183" s="25">
        <v>0.37916666666666665</v>
      </c>
      <c r="G183" s="14">
        <v>2026</v>
      </c>
      <c r="H183" s="14">
        <v>8</v>
      </c>
      <c r="I183" s="14" t="s">
        <v>138</v>
      </c>
      <c r="J183" s="14" t="s">
        <v>1198</v>
      </c>
      <c r="K183" s="14"/>
      <c r="L183" s="14" t="s">
        <v>4</v>
      </c>
      <c r="M183" s="14" t="s">
        <v>85</v>
      </c>
      <c r="N183" s="14" t="s">
        <v>1199</v>
      </c>
      <c r="O183" s="14" t="s">
        <v>519</v>
      </c>
      <c r="P183" s="17" t="s">
        <v>1200</v>
      </c>
      <c r="Q183" s="14" t="s">
        <v>143</v>
      </c>
      <c r="R183" s="14" t="s">
        <v>225</v>
      </c>
      <c r="S183" s="28">
        <v>3112622844</v>
      </c>
      <c r="T183" s="28" t="s">
        <v>276</v>
      </c>
      <c r="U183" s="38" t="s">
        <v>1201</v>
      </c>
      <c r="V183">
        <f t="shared" si="37"/>
        <v>32</v>
      </c>
      <c r="W183">
        <f t="shared" si="38"/>
        <v>8</v>
      </c>
      <c r="X183">
        <f t="shared" si="39"/>
        <v>2026</v>
      </c>
      <c r="Y183" t="str">
        <f t="shared" si="40"/>
        <v>32-2026</v>
      </c>
      <c r="Z183" t="s">
        <v>147</v>
      </c>
      <c r="AD183" t="s">
        <v>59</v>
      </c>
      <c r="AE183">
        <v>5</v>
      </c>
    </row>
    <row r="184" spans="1:35" ht="29.1">
      <c r="A184" s="14">
        <v>3742663</v>
      </c>
      <c r="B184" s="14" t="s">
        <v>8</v>
      </c>
      <c r="C184" s="14" t="s">
        <v>81</v>
      </c>
      <c r="D184" s="24">
        <v>46242</v>
      </c>
      <c r="E184" s="24">
        <v>46242</v>
      </c>
      <c r="F184" s="25">
        <v>0.60763888888888884</v>
      </c>
      <c r="G184" s="14">
        <v>2026</v>
      </c>
      <c r="H184" s="14">
        <v>8</v>
      </c>
      <c r="I184" s="14" t="s">
        <v>138</v>
      </c>
      <c r="J184" s="14" t="s">
        <v>1202</v>
      </c>
      <c r="K184" s="14" t="s">
        <v>1203</v>
      </c>
      <c r="L184" s="14" t="s">
        <v>4</v>
      </c>
      <c r="M184" s="14" t="s">
        <v>85</v>
      </c>
      <c r="N184" s="14" t="s">
        <v>1204</v>
      </c>
      <c r="O184" s="14" t="s">
        <v>519</v>
      </c>
      <c r="P184" s="17" t="s">
        <v>1205</v>
      </c>
      <c r="Q184" s="14" t="s">
        <v>143</v>
      </c>
      <c r="R184" s="14" t="s">
        <v>225</v>
      </c>
      <c r="S184" s="28">
        <v>3118989600</v>
      </c>
      <c r="T184" s="28" t="s">
        <v>276</v>
      </c>
      <c r="U184" s="38" t="s">
        <v>1206</v>
      </c>
      <c r="V184">
        <f t="shared" si="37"/>
        <v>32</v>
      </c>
      <c r="W184">
        <f t="shared" si="38"/>
        <v>8</v>
      </c>
      <c r="X184">
        <f t="shared" si="39"/>
        <v>2026</v>
      </c>
      <c r="Y184" t="str">
        <f t="shared" si="40"/>
        <v>32-2026</v>
      </c>
      <c r="Z184" t="s">
        <v>147</v>
      </c>
      <c r="AD184" t="s">
        <v>58</v>
      </c>
      <c r="AE184">
        <v>5</v>
      </c>
      <c r="AF184" t="s">
        <v>29</v>
      </c>
    </row>
    <row r="185" spans="1:35" ht="29.1">
      <c r="A185" s="14">
        <v>3748950</v>
      </c>
      <c r="B185" s="14" t="s">
        <v>66</v>
      </c>
      <c r="C185" s="14" t="s">
        <v>417</v>
      </c>
      <c r="D185" s="24">
        <v>46244</v>
      </c>
      <c r="E185" s="24">
        <v>46244</v>
      </c>
      <c r="F185" s="25">
        <v>0.41111111111111109</v>
      </c>
      <c r="G185" s="14">
        <v>2026</v>
      </c>
      <c r="H185" s="14">
        <v>8</v>
      </c>
      <c r="I185" s="14" t="s">
        <v>138</v>
      </c>
      <c r="J185" s="14" t="s">
        <v>1207</v>
      </c>
      <c r="K185" s="14"/>
      <c r="L185" s="14" t="s">
        <v>5</v>
      </c>
      <c r="M185" s="14" t="s">
        <v>140</v>
      </c>
      <c r="N185" s="14" t="s">
        <v>1208</v>
      </c>
      <c r="O185" s="14" t="s">
        <v>566</v>
      </c>
      <c r="P185" s="17" t="s">
        <v>1209</v>
      </c>
      <c r="Q185" s="14" t="s">
        <v>143</v>
      </c>
      <c r="R185" s="14" t="s">
        <v>144</v>
      </c>
      <c r="S185" s="28">
        <v>3005997366</v>
      </c>
      <c r="T185" s="28" t="s">
        <v>1210</v>
      </c>
      <c r="U185" s="38" t="s">
        <v>1211</v>
      </c>
      <c r="V185">
        <f t="shared" si="37"/>
        <v>33</v>
      </c>
      <c r="W185">
        <f t="shared" si="38"/>
        <v>8</v>
      </c>
      <c r="X185">
        <f t="shared" si="39"/>
        <v>2026</v>
      </c>
      <c r="Y185" t="str">
        <f t="shared" si="40"/>
        <v>33-2026</v>
      </c>
      <c r="Z185" t="s">
        <v>147</v>
      </c>
      <c r="AD185" t="s">
        <v>59</v>
      </c>
      <c r="AE185">
        <v>6</v>
      </c>
    </row>
    <row r="186" spans="1:35" ht="19.5" customHeight="1">
      <c r="A186" s="14">
        <v>3748965</v>
      </c>
      <c r="B186" s="14" t="s">
        <v>71</v>
      </c>
      <c r="C186" s="14"/>
      <c r="D186" s="24">
        <v>46244</v>
      </c>
      <c r="E186" s="24">
        <v>46244</v>
      </c>
      <c r="F186" s="25">
        <v>0.42430555555555555</v>
      </c>
      <c r="G186" s="14">
        <v>2026</v>
      </c>
      <c r="H186" s="14">
        <v>8</v>
      </c>
      <c r="I186" s="14" t="s">
        <v>138</v>
      </c>
      <c r="J186" s="14" t="s">
        <v>1212</v>
      </c>
      <c r="K186" s="14"/>
      <c r="L186" s="14" t="s">
        <v>4</v>
      </c>
      <c r="M186" s="14" t="s">
        <v>92</v>
      </c>
      <c r="N186" s="14" t="s">
        <v>1213</v>
      </c>
      <c r="O186" s="14" t="s">
        <v>473</v>
      </c>
      <c r="P186" s="17" t="s">
        <v>1214</v>
      </c>
      <c r="Q186" s="14" t="s">
        <v>168</v>
      </c>
      <c r="R186" s="14" t="s">
        <v>535</v>
      </c>
      <c r="S186" s="28">
        <v>3144474791</v>
      </c>
      <c r="T186" s="28" t="s">
        <v>737</v>
      </c>
      <c r="U186" s="38" t="s">
        <v>1215</v>
      </c>
      <c r="V186">
        <f t="shared" si="37"/>
        <v>33</v>
      </c>
      <c r="W186">
        <f t="shared" si="38"/>
        <v>8</v>
      </c>
      <c r="X186">
        <f t="shared" si="39"/>
        <v>2026</v>
      </c>
      <c r="Y186" t="str">
        <f t="shared" si="40"/>
        <v>33-2026</v>
      </c>
      <c r="Z186" t="s">
        <v>147</v>
      </c>
      <c r="AD186" t="s">
        <v>57</v>
      </c>
      <c r="AE186">
        <v>6</v>
      </c>
      <c r="AG186" t="s">
        <v>1033</v>
      </c>
    </row>
    <row r="187" spans="1:35" ht="29.1">
      <c r="A187" s="14">
        <v>3749171</v>
      </c>
      <c r="B187" s="14" t="s">
        <v>67</v>
      </c>
      <c r="C187" s="14" t="s">
        <v>433</v>
      </c>
      <c r="D187" s="24">
        <v>46244</v>
      </c>
      <c r="E187" s="24">
        <v>46244</v>
      </c>
      <c r="F187" s="25">
        <v>0.62916666666666665</v>
      </c>
      <c r="G187" s="14">
        <v>2026</v>
      </c>
      <c r="H187" s="14">
        <v>8</v>
      </c>
      <c r="I187" s="14" t="s">
        <v>138</v>
      </c>
      <c r="J187" s="14" t="s">
        <v>1216</v>
      </c>
      <c r="K187" s="14"/>
      <c r="L187" s="14" t="s">
        <v>4</v>
      </c>
      <c r="M187" s="14" t="s">
        <v>85</v>
      </c>
      <c r="N187" s="14" t="s">
        <v>1217</v>
      </c>
      <c r="O187" s="14" t="s">
        <v>519</v>
      </c>
      <c r="P187" s="17" t="s">
        <v>1218</v>
      </c>
      <c r="Q187" s="14" t="s">
        <v>224</v>
      </c>
      <c r="R187" s="14" t="s">
        <v>144</v>
      </c>
      <c r="S187" s="28" t="s">
        <v>1219</v>
      </c>
      <c r="T187" s="28" t="s">
        <v>643</v>
      </c>
      <c r="U187" s="38" t="s">
        <v>1220</v>
      </c>
      <c r="V187">
        <f t="shared" ref="V187:V191" si="41">WEEKNUM(E187)</f>
        <v>33</v>
      </c>
      <c r="W187">
        <f t="shared" ref="W187:W191" si="42">MONTH(E187)</f>
        <v>8</v>
      </c>
      <c r="X187">
        <f t="shared" ref="X187:X191" si="43">YEAR(E187)</f>
        <v>2026</v>
      </c>
      <c r="Y187" t="str">
        <f t="shared" ref="Y187:Y191" si="44">_xlfn.CONCAT(V187,"-",X187)</f>
        <v>33-2026</v>
      </c>
      <c r="Z187" t="s">
        <v>147</v>
      </c>
      <c r="AD187" t="s">
        <v>59</v>
      </c>
      <c r="AE187">
        <v>6</v>
      </c>
    </row>
    <row r="188" spans="1:35" ht="29.1">
      <c r="A188" s="14">
        <v>3749175</v>
      </c>
      <c r="B188" s="14" t="s">
        <v>67</v>
      </c>
      <c r="C188" s="14" t="s">
        <v>433</v>
      </c>
      <c r="D188" s="24">
        <v>46244</v>
      </c>
      <c r="E188" s="24">
        <v>46244</v>
      </c>
      <c r="F188" s="25">
        <v>0.6333333333333333</v>
      </c>
      <c r="G188" s="14">
        <v>2026</v>
      </c>
      <c r="H188" s="14">
        <v>8</v>
      </c>
      <c r="I188" s="14" t="s">
        <v>138</v>
      </c>
      <c r="J188" s="14" t="s">
        <v>1221</v>
      </c>
      <c r="K188" s="14"/>
      <c r="L188" s="14" t="s">
        <v>4</v>
      </c>
      <c r="M188" s="14" t="s">
        <v>85</v>
      </c>
      <c r="N188" s="14" t="s">
        <v>1222</v>
      </c>
      <c r="O188" s="14" t="s">
        <v>519</v>
      </c>
      <c r="P188" s="17" t="s">
        <v>1223</v>
      </c>
      <c r="Q188" s="14" t="s">
        <v>224</v>
      </c>
      <c r="R188" s="14" t="s">
        <v>144</v>
      </c>
      <c r="S188" s="28">
        <v>3202758832</v>
      </c>
      <c r="T188" s="28" t="s">
        <v>643</v>
      </c>
      <c r="U188" s="38" t="s">
        <v>1224</v>
      </c>
      <c r="V188">
        <f t="shared" si="41"/>
        <v>33</v>
      </c>
      <c r="W188">
        <f t="shared" si="42"/>
        <v>8</v>
      </c>
      <c r="X188">
        <f t="shared" si="43"/>
        <v>2026</v>
      </c>
      <c r="Y188" t="str">
        <f t="shared" si="44"/>
        <v>33-2026</v>
      </c>
      <c r="Z188" t="s">
        <v>147</v>
      </c>
      <c r="AD188" t="s">
        <v>59</v>
      </c>
      <c r="AE188">
        <v>6</v>
      </c>
    </row>
    <row r="189" spans="1:35" ht="29.1">
      <c r="A189" s="14">
        <v>3749005</v>
      </c>
      <c r="B189" s="14" t="s">
        <v>11</v>
      </c>
      <c r="C189" s="14" t="s">
        <v>346</v>
      </c>
      <c r="D189" s="24">
        <v>46244</v>
      </c>
      <c r="E189" s="24">
        <v>46244</v>
      </c>
      <c r="F189" s="25">
        <v>0.46875</v>
      </c>
      <c r="G189" s="14">
        <v>2026</v>
      </c>
      <c r="H189" s="14">
        <v>8</v>
      </c>
      <c r="I189" s="14" t="s">
        <v>138</v>
      </c>
      <c r="J189" s="14" t="s">
        <v>1225</v>
      </c>
      <c r="K189" s="14"/>
      <c r="L189" s="14" t="s">
        <v>4</v>
      </c>
      <c r="M189" s="14" t="s">
        <v>85</v>
      </c>
      <c r="N189" s="14" t="s">
        <v>1226</v>
      </c>
      <c r="O189" s="14" t="s">
        <v>519</v>
      </c>
      <c r="P189" s="17" t="s">
        <v>1227</v>
      </c>
      <c r="Q189" s="14" t="s">
        <v>143</v>
      </c>
      <c r="R189" s="14" t="s">
        <v>144</v>
      </c>
      <c r="S189" s="28" t="s">
        <v>1228</v>
      </c>
      <c r="T189" s="28" t="s">
        <v>460</v>
      </c>
      <c r="U189" s="38" t="s">
        <v>1229</v>
      </c>
      <c r="V189">
        <f t="shared" si="41"/>
        <v>33</v>
      </c>
      <c r="W189">
        <f t="shared" si="42"/>
        <v>8</v>
      </c>
      <c r="X189">
        <f t="shared" si="43"/>
        <v>2026</v>
      </c>
      <c r="Y189" t="str">
        <f t="shared" si="44"/>
        <v>33-2026</v>
      </c>
      <c r="Z189" t="s">
        <v>147</v>
      </c>
      <c r="AD189" t="s">
        <v>57</v>
      </c>
      <c r="AE189">
        <v>6</v>
      </c>
      <c r="AG189" t="s">
        <v>31</v>
      </c>
      <c r="AH189" t="s">
        <v>36</v>
      </c>
      <c r="AI189" s="23">
        <v>46252</v>
      </c>
    </row>
    <row r="190" spans="1:35" ht="27" customHeight="1">
      <c r="A190" s="14">
        <v>3754063</v>
      </c>
      <c r="B190" s="14" t="s">
        <v>17</v>
      </c>
      <c r="C190" s="14" t="s">
        <v>290</v>
      </c>
      <c r="D190" s="24">
        <v>46245</v>
      </c>
      <c r="E190" s="24">
        <v>46245</v>
      </c>
      <c r="F190" s="25">
        <v>0.46250000000000002</v>
      </c>
      <c r="G190" s="14">
        <v>2026</v>
      </c>
      <c r="H190" s="14">
        <v>8</v>
      </c>
      <c r="I190" s="14" t="s">
        <v>138</v>
      </c>
      <c r="J190" s="14" t="s">
        <v>1230</v>
      </c>
      <c r="K190" s="14"/>
      <c r="L190" s="14" t="s">
        <v>4</v>
      </c>
      <c r="M190" s="14" t="s">
        <v>85</v>
      </c>
      <c r="N190" s="14" t="s">
        <v>1231</v>
      </c>
      <c r="O190" s="14" t="s">
        <v>473</v>
      </c>
      <c r="P190" s="17" t="s">
        <v>1232</v>
      </c>
      <c r="Q190" s="14" t="s">
        <v>143</v>
      </c>
      <c r="R190" s="14" t="s">
        <v>144</v>
      </c>
      <c r="S190" s="28" t="s">
        <v>1233</v>
      </c>
      <c r="T190" s="28">
        <v>3176550456</v>
      </c>
      <c r="U190" s="38" t="s">
        <v>1234</v>
      </c>
      <c r="V190">
        <f t="shared" si="41"/>
        <v>33</v>
      </c>
      <c r="W190">
        <f t="shared" si="42"/>
        <v>8</v>
      </c>
      <c r="X190">
        <f t="shared" si="43"/>
        <v>2026</v>
      </c>
      <c r="Y190" t="str">
        <f t="shared" si="44"/>
        <v>33-2026</v>
      </c>
      <c r="Z190" t="s">
        <v>147</v>
      </c>
      <c r="AD190" t="s">
        <v>59</v>
      </c>
      <c r="AE190">
        <v>6</v>
      </c>
    </row>
    <row r="191" spans="1:35" ht="30.95" customHeight="1">
      <c r="A191" s="14">
        <v>3754068</v>
      </c>
      <c r="B191" s="14" t="s">
        <v>17</v>
      </c>
      <c r="C191" s="14" t="s">
        <v>290</v>
      </c>
      <c r="D191" s="24">
        <v>46245</v>
      </c>
      <c r="E191" s="24">
        <v>46245</v>
      </c>
      <c r="F191" s="25">
        <v>0.46597222222222223</v>
      </c>
      <c r="G191" s="14">
        <v>2026</v>
      </c>
      <c r="H191" s="14">
        <v>8</v>
      </c>
      <c r="I191" s="14" t="s">
        <v>138</v>
      </c>
      <c r="J191" s="14" t="s">
        <v>1235</v>
      </c>
      <c r="K191" s="14"/>
      <c r="L191" s="14" t="s">
        <v>4</v>
      </c>
      <c r="M191" s="14" t="s">
        <v>85</v>
      </c>
      <c r="N191" s="14" t="s">
        <v>1236</v>
      </c>
      <c r="O191" s="14" t="s">
        <v>473</v>
      </c>
      <c r="P191" s="17" t="s">
        <v>1237</v>
      </c>
      <c r="Q191" s="14" t="s">
        <v>168</v>
      </c>
      <c r="R191" s="14" t="s">
        <v>176</v>
      </c>
      <c r="S191" s="28">
        <v>3103468092</v>
      </c>
      <c r="T191" s="28" t="s">
        <v>295</v>
      </c>
      <c r="U191" s="38" t="s">
        <v>1238</v>
      </c>
      <c r="V191">
        <f t="shared" si="41"/>
        <v>33</v>
      </c>
      <c r="W191">
        <f t="shared" si="42"/>
        <v>8</v>
      </c>
      <c r="X191">
        <f t="shared" si="43"/>
        <v>2026</v>
      </c>
      <c r="Y191" t="str">
        <f t="shared" si="44"/>
        <v>33-2026</v>
      </c>
      <c r="Z191" t="s">
        <v>147</v>
      </c>
      <c r="AD191" t="s">
        <v>57</v>
      </c>
      <c r="AE191">
        <v>6</v>
      </c>
      <c r="AG191" t="s">
        <v>28</v>
      </c>
    </row>
    <row r="192" spans="1:35" ht="29.1">
      <c r="A192" s="14">
        <v>3754324</v>
      </c>
      <c r="B192" s="14" t="s">
        <v>64</v>
      </c>
      <c r="C192" s="14" t="s">
        <v>656</v>
      </c>
      <c r="D192" s="24">
        <v>46245</v>
      </c>
      <c r="E192" s="24">
        <v>46245</v>
      </c>
      <c r="F192" s="25">
        <v>0.85486111111111107</v>
      </c>
      <c r="G192" s="14">
        <v>2026</v>
      </c>
      <c r="H192" s="14">
        <v>8</v>
      </c>
      <c r="I192" s="14" t="s">
        <v>138</v>
      </c>
      <c r="J192" s="14" t="s">
        <v>1239</v>
      </c>
      <c r="K192" s="14"/>
      <c r="L192" s="14" t="s">
        <v>4</v>
      </c>
      <c r="M192" s="14" t="s">
        <v>243</v>
      </c>
      <c r="N192" s="14" t="s">
        <v>1240</v>
      </c>
      <c r="O192" s="14" t="s">
        <v>519</v>
      </c>
      <c r="P192" s="17" t="s">
        <v>1241</v>
      </c>
      <c r="Q192" s="14" t="s">
        <v>605</v>
      </c>
      <c r="R192" s="14" t="s">
        <v>144</v>
      </c>
      <c r="S192" s="28" t="s">
        <v>1242</v>
      </c>
      <c r="T192" s="28">
        <v>3142853675</v>
      </c>
      <c r="U192" s="38" t="s">
        <v>1243</v>
      </c>
      <c r="V192">
        <f t="shared" ref="V192" si="45">WEEKNUM(E192)</f>
        <v>33</v>
      </c>
      <c r="W192">
        <f t="shared" ref="W192" si="46">MONTH(E192)</f>
        <v>8</v>
      </c>
      <c r="X192">
        <f t="shared" ref="X192" si="47">YEAR(E192)</f>
        <v>2026</v>
      </c>
      <c r="Y192" t="str">
        <f t="shared" ref="Y192" si="48">_xlfn.CONCAT(V192,"-",X192)</f>
        <v>33-2026</v>
      </c>
      <c r="Z192" t="s">
        <v>147</v>
      </c>
      <c r="AD192" t="s">
        <v>57</v>
      </c>
      <c r="AE192">
        <v>6</v>
      </c>
      <c r="AG192" t="s">
        <v>31</v>
      </c>
      <c r="AH192" t="s">
        <v>44</v>
      </c>
      <c r="AI192" s="23">
        <v>46252</v>
      </c>
    </row>
    <row r="193" spans="1:35" ht="29.1">
      <c r="A193" s="14">
        <v>3757444</v>
      </c>
      <c r="B193" s="14" t="s">
        <v>70</v>
      </c>
      <c r="C193" s="14" t="s">
        <v>554</v>
      </c>
      <c r="D193" s="24">
        <v>46246</v>
      </c>
      <c r="E193" s="24">
        <v>46246</v>
      </c>
      <c r="F193" s="25">
        <v>0.38958333333333334</v>
      </c>
      <c r="G193" s="14">
        <v>2026</v>
      </c>
      <c r="H193" s="14">
        <v>8</v>
      </c>
      <c r="I193" s="14" t="s">
        <v>138</v>
      </c>
      <c r="J193" s="14" t="s">
        <v>1244</v>
      </c>
      <c r="K193" s="14"/>
      <c r="L193" s="14" t="s">
        <v>4</v>
      </c>
      <c r="M193" s="14" t="s">
        <v>85</v>
      </c>
      <c r="N193" s="14" t="s">
        <v>1245</v>
      </c>
      <c r="O193" s="14" t="s">
        <v>519</v>
      </c>
      <c r="P193" s="17" t="s">
        <v>1246</v>
      </c>
      <c r="Q193" s="14" t="s">
        <v>224</v>
      </c>
      <c r="R193" s="14" t="s">
        <v>144</v>
      </c>
      <c r="S193" s="28">
        <v>3196925525</v>
      </c>
      <c r="T193" s="28" t="s">
        <v>1247</v>
      </c>
      <c r="U193" s="38" t="s">
        <v>1248</v>
      </c>
      <c r="V193">
        <f t="shared" ref="V193:V221" si="49">WEEKNUM(E193)</f>
        <v>33</v>
      </c>
      <c r="W193">
        <f t="shared" ref="W193:W221" si="50">MONTH(E193)</f>
        <v>8</v>
      </c>
      <c r="X193">
        <f t="shared" ref="X193:X221" si="51">YEAR(E193)</f>
        <v>2026</v>
      </c>
      <c r="Y193" t="str">
        <f t="shared" ref="Y193:Y221" si="52">_xlfn.CONCAT(V193,"-",X193)</f>
        <v>33-2026</v>
      </c>
      <c r="Z193" t="s">
        <v>147</v>
      </c>
      <c r="AD193" t="s">
        <v>59</v>
      </c>
      <c r="AE193">
        <v>6</v>
      </c>
    </row>
    <row r="194" spans="1:35" ht="29.1">
      <c r="A194" s="14">
        <v>3757464</v>
      </c>
      <c r="B194" s="14" t="s">
        <v>70</v>
      </c>
      <c r="C194" s="14" t="s">
        <v>554</v>
      </c>
      <c r="D194" s="24">
        <v>46246</v>
      </c>
      <c r="E194" s="24">
        <v>46246</v>
      </c>
      <c r="F194" s="25">
        <v>0.40902777777777777</v>
      </c>
      <c r="G194" s="14">
        <v>2026</v>
      </c>
      <c r="H194" s="14">
        <v>8</v>
      </c>
      <c r="I194" s="14" t="s">
        <v>138</v>
      </c>
      <c r="J194" s="14" t="s">
        <v>1249</v>
      </c>
      <c r="K194" s="14"/>
      <c r="L194" s="14" t="s">
        <v>4</v>
      </c>
      <c r="M194" s="14" t="s">
        <v>85</v>
      </c>
      <c r="N194" s="14" t="s">
        <v>1250</v>
      </c>
      <c r="O194" s="14" t="s">
        <v>519</v>
      </c>
      <c r="P194" s="17" t="s">
        <v>1251</v>
      </c>
      <c r="Q194" s="14" t="s">
        <v>143</v>
      </c>
      <c r="R194" s="14" t="s">
        <v>144</v>
      </c>
      <c r="S194" s="28">
        <v>3196925525</v>
      </c>
      <c r="T194" s="28" t="s">
        <v>1252</v>
      </c>
      <c r="U194" s="38" t="s">
        <v>1253</v>
      </c>
      <c r="V194">
        <f t="shared" si="49"/>
        <v>33</v>
      </c>
      <c r="W194">
        <f t="shared" si="50"/>
        <v>8</v>
      </c>
      <c r="X194">
        <f t="shared" si="51"/>
        <v>2026</v>
      </c>
      <c r="Y194" t="str">
        <f t="shared" si="52"/>
        <v>33-2026</v>
      </c>
      <c r="Z194" t="s">
        <v>147</v>
      </c>
      <c r="AD194" t="s">
        <v>59</v>
      </c>
      <c r="AE194">
        <v>6</v>
      </c>
    </row>
    <row r="195" spans="1:35" ht="29.1">
      <c r="A195" s="14">
        <v>3757531</v>
      </c>
      <c r="B195" s="14" t="s">
        <v>70</v>
      </c>
      <c r="C195" s="14" t="s">
        <v>554</v>
      </c>
      <c r="D195" s="24">
        <v>46246</v>
      </c>
      <c r="E195" s="24">
        <v>46246</v>
      </c>
      <c r="F195" s="25">
        <v>0.46527777777777779</v>
      </c>
      <c r="G195" s="14">
        <v>2026</v>
      </c>
      <c r="H195" s="14">
        <v>8</v>
      </c>
      <c r="I195" s="14" t="s">
        <v>138</v>
      </c>
      <c r="J195" s="14" t="s">
        <v>875</v>
      </c>
      <c r="K195" s="14"/>
      <c r="L195" s="14" t="s">
        <v>4</v>
      </c>
      <c r="M195" s="14" t="s">
        <v>85</v>
      </c>
      <c r="N195" s="14" t="s">
        <v>1254</v>
      </c>
      <c r="O195" s="14" t="s">
        <v>519</v>
      </c>
      <c r="P195" s="17" t="s">
        <v>1255</v>
      </c>
      <c r="Q195" s="14" t="s">
        <v>168</v>
      </c>
      <c r="R195" s="14" t="s">
        <v>144</v>
      </c>
      <c r="S195" s="28">
        <v>3007369473</v>
      </c>
      <c r="T195" s="28" t="s">
        <v>1256</v>
      </c>
      <c r="U195" s="38" t="s">
        <v>1257</v>
      </c>
      <c r="V195">
        <f t="shared" si="49"/>
        <v>33</v>
      </c>
      <c r="W195">
        <f t="shared" si="50"/>
        <v>8</v>
      </c>
      <c r="X195">
        <f t="shared" si="51"/>
        <v>2026</v>
      </c>
      <c r="Y195" t="str">
        <f t="shared" si="52"/>
        <v>33-2026</v>
      </c>
      <c r="Z195" t="s">
        <v>147</v>
      </c>
      <c r="AD195" t="s">
        <v>59</v>
      </c>
      <c r="AE195">
        <v>6</v>
      </c>
    </row>
    <row r="196" spans="1:35" ht="29.1">
      <c r="A196" s="14">
        <v>3757542</v>
      </c>
      <c r="B196" s="14" t="s">
        <v>8</v>
      </c>
      <c r="C196" s="14" t="s">
        <v>81</v>
      </c>
      <c r="D196" s="24">
        <v>46246</v>
      </c>
      <c r="E196" s="24">
        <v>46246</v>
      </c>
      <c r="F196" s="25">
        <v>0.47847222222222224</v>
      </c>
      <c r="G196" s="14">
        <v>2026</v>
      </c>
      <c r="H196" s="14">
        <v>8</v>
      </c>
      <c r="I196" s="14" t="s">
        <v>138</v>
      </c>
      <c r="J196" s="14" t="s">
        <v>1258</v>
      </c>
      <c r="K196" s="14"/>
      <c r="L196" s="14" t="s">
        <v>4</v>
      </c>
      <c r="M196" s="14" t="s">
        <v>85</v>
      </c>
      <c r="N196" s="14" t="s">
        <v>1259</v>
      </c>
      <c r="O196" s="14" t="s">
        <v>519</v>
      </c>
      <c r="P196" s="17" t="s">
        <v>1260</v>
      </c>
      <c r="Q196" s="14" t="s">
        <v>224</v>
      </c>
      <c r="R196" s="14" t="s">
        <v>225</v>
      </c>
      <c r="S196" s="28">
        <v>3203995654</v>
      </c>
      <c r="T196" s="28" t="s">
        <v>276</v>
      </c>
      <c r="U196" s="38" t="s">
        <v>1261</v>
      </c>
      <c r="V196">
        <f t="shared" si="49"/>
        <v>33</v>
      </c>
      <c r="W196">
        <f t="shared" si="50"/>
        <v>8</v>
      </c>
      <c r="X196">
        <f t="shared" si="51"/>
        <v>2026</v>
      </c>
      <c r="Y196" t="str">
        <f t="shared" si="52"/>
        <v>33-2026</v>
      </c>
      <c r="Z196" t="s">
        <v>147</v>
      </c>
      <c r="AD196" t="s">
        <v>57</v>
      </c>
      <c r="AE196">
        <v>6</v>
      </c>
      <c r="AG196" t="s">
        <v>31</v>
      </c>
      <c r="AH196" t="s">
        <v>46</v>
      </c>
      <c r="AI196" s="23">
        <v>46252</v>
      </c>
    </row>
    <row r="197" spans="1:35" ht="29.1">
      <c r="A197" s="14">
        <v>3757636</v>
      </c>
      <c r="B197" s="14" t="s">
        <v>77</v>
      </c>
      <c r="C197" s="14" t="s">
        <v>743</v>
      </c>
      <c r="D197" s="24">
        <v>46246</v>
      </c>
      <c r="E197" s="24">
        <v>46246</v>
      </c>
      <c r="F197" s="25">
        <v>0.54166666666666663</v>
      </c>
      <c r="G197" s="14">
        <v>2026</v>
      </c>
      <c r="H197" s="14">
        <v>8</v>
      </c>
      <c r="I197" s="14" t="s">
        <v>138</v>
      </c>
      <c r="J197" s="14" t="s">
        <v>1262</v>
      </c>
      <c r="K197" s="14"/>
      <c r="L197" s="14" t="s">
        <v>4</v>
      </c>
      <c r="M197" s="14" t="s">
        <v>85</v>
      </c>
      <c r="N197" s="14" t="s">
        <v>1263</v>
      </c>
      <c r="O197" s="14" t="s">
        <v>519</v>
      </c>
      <c r="P197" s="17" t="s">
        <v>1264</v>
      </c>
      <c r="Q197" s="14" t="s">
        <v>224</v>
      </c>
      <c r="R197" s="14" t="s">
        <v>225</v>
      </c>
      <c r="S197" s="28">
        <v>3167222692</v>
      </c>
      <c r="T197" s="28" t="s">
        <v>1265</v>
      </c>
      <c r="U197" s="38" t="s">
        <v>1266</v>
      </c>
      <c r="V197">
        <f t="shared" si="49"/>
        <v>33</v>
      </c>
      <c r="W197">
        <f t="shared" si="50"/>
        <v>8</v>
      </c>
      <c r="X197">
        <f t="shared" si="51"/>
        <v>2026</v>
      </c>
      <c r="Y197" t="str">
        <f t="shared" si="52"/>
        <v>33-2026</v>
      </c>
      <c r="Z197" t="s">
        <v>147</v>
      </c>
      <c r="AD197" t="s">
        <v>59</v>
      </c>
      <c r="AE197">
        <v>6</v>
      </c>
    </row>
    <row r="198" spans="1:35" ht="29.1">
      <c r="A198" s="14">
        <v>3757717</v>
      </c>
      <c r="B198" s="14" t="s">
        <v>77</v>
      </c>
      <c r="C198" s="14" t="s">
        <v>743</v>
      </c>
      <c r="D198" s="24">
        <v>46246</v>
      </c>
      <c r="E198" s="24">
        <v>46246</v>
      </c>
      <c r="F198" s="25">
        <v>0.61875000000000002</v>
      </c>
      <c r="G198" s="14">
        <v>2026</v>
      </c>
      <c r="H198" s="14">
        <v>8</v>
      </c>
      <c r="I198" s="14" t="s">
        <v>138</v>
      </c>
      <c r="J198" s="14" t="s">
        <v>1267</v>
      </c>
      <c r="K198" s="14"/>
      <c r="L198" s="14" t="s">
        <v>4</v>
      </c>
      <c r="M198" s="14" t="s">
        <v>85</v>
      </c>
      <c r="N198" s="14" t="s">
        <v>1268</v>
      </c>
      <c r="O198" s="14" t="s">
        <v>519</v>
      </c>
      <c r="P198" s="17" t="s">
        <v>1269</v>
      </c>
      <c r="Q198" s="14" t="s">
        <v>168</v>
      </c>
      <c r="R198" s="14" t="s">
        <v>144</v>
      </c>
      <c r="S198" s="28">
        <v>3133921926</v>
      </c>
      <c r="T198" s="14" t="s">
        <v>1270</v>
      </c>
      <c r="U198" s="38" t="s">
        <v>1271</v>
      </c>
      <c r="V198">
        <f t="shared" si="49"/>
        <v>33</v>
      </c>
      <c r="W198">
        <f t="shared" si="50"/>
        <v>8</v>
      </c>
      <c r="X198">
        <f t="shared" si="51"/>
        <v>2026</v>
      </c>
      <c r="Y198" t="str">
        <f t="shared" si="52"/>
        <v>33-2026</v>
      </c>
      <c r="Z198" t="s">
        <v>147</v>
      </c>
      <c r="AD198" t="s">
        <v>59</v>
      </c>
      <c r="AE198">
        <v>6</v>
      </c>
    </row>
    <row r="199" spans="1:35" ht="29.1">
      <c r="A199" s="14">
        <v>3761019</v>
      </c>
      <c r="B199" s="14" t="s">
        <v>68</v>
      </c>
      <c r="C199" s="14" t="s">
        <v>541</v>
      </c>
      <c r="D199" s="24">
        <v>46247</v>
      </c>
      <c r="E199" s="24">
        <v>46247</v>
      </c>
      <c r="F199" s="25">
        <v>0.4375</v>
      </c>
      <c r="G199" s="14">
        <v>2026</v>
      </c>
      <c r="H199" s="14">
        <v>8</v>
      </c>
      <c r="I199" s="14" t="s">
        <v>138</v>
      </c>
      <c r="J199" s="14" t="s">
        <v>1272</v>
      </c>
      <c r="K199" s="14"/>
      <c r="L199" s="14" t="s">
        <v>4</v>
      </c>
      <c r="M199" s="14" t="s">
        <v>85</v>
      </c>
      <c r="N199" s="14" t="s">
        <v>1273</v>
      </c>
      <c r="O199" s="14" t="s">
        <v>473</v>
      </c>
      <c r="P199" s="17" t="s">
        <v>1274</v>
      </c>
      <c r="Q199" s="14" t="s">
        <v>224</v>
      </c>
      <c r="R199" s="14" t="s">
        <v>225</v>
      </c>
      <c r="S199" s="28">
        <v>3228435227</v>
      </c>
      <c r="T199" s="14" t="s">
        <v>295</v>
      </c>
      <c r="U199" s="38" t="s">
        <v>1275</v>
      </c>
      <c r="V199">
        <f t="shared" si="49"/>
        <v>33</v>
      </c>
      <c r="W199">
        <f t="shared" si="50"/>
        <v>8</v>
      </c>
      <c r="X199">
        <f t="shared" si="51"/>
        <v>2026</v>
      </c>
      <c r="Y199" t="str">
        <f t="shared" si="52"/>
        <v>33-2026</v>
      </c>
      <c r="Z199" t="s">
        <v>147</v>
      </c>
      <c r="AD199" t="s">
        <v>59</v>
      </c>
      <c r="AE199">
        <v>6</v>
      </c>
    </row>
    <row r="200" spans="1:35" ht="29.1">
      <c r="A200" s="14">
        <v>3761121</v>
      </c>
      <c r="B200" s="14" t="s">
        <v>64</v>
      </c>
      <c r="C200" s="14" t="s">
        <v>656</v>
      </c>
      <c r="D200" s="24">
        <v>46247</v>
      </c>
      <c r="E200" s="24">
        <v>46247</v>
      </c>
      <c r="F200" s="25">
        <v>0.5180555555555556</v>
      </c>
      <c r="G200" s="14">
        <v>2026</v>
      </c>
      <c r="H200" s="14">
        <v>8</v>
      </c>
      <c r="I200" s="14" t="s">
        <v>138</v>
      </c>
      <c r="J200" s="14" t="s">
        <v>1276</v>
      </c>
      <c r="K200" s="14"/>
      <c r="L200" s="14" t="s">
        <v>4</v>
      </c>
      <c r="M200" s="14" t="s">
        <v>85</v>
      </c>
      <c r="N200" s="14" t="s">
        <v>1277</v>
      </c>
      <c r="O200" s="14" t="s">
        <v>519</v>
      </c>
      <c r="P200" s="17" t="s">
        <v>1278</v>
      </c>
      <c r="Q200" s="14" t="s">
        <v>143</v>
      </c>
      <c r="R200" s="14" t="s">
        <v>144</v>
      </c>
      <c r="S200" s="28">
        <v>3112163546</v>
      </c>
      <c r="T200" s="14" t="s">
        <v>453</v>
      </c>
      <c r="U200" s="38" t="s">
        <v>1279</v>
      </c>
      <c r="V200">
        <f t="shared" si="49"/>
        <v>33</v>
      </c>
      <c r="W200">
        <f t="shared" si="50"/>
        <v>8</v>
      </c>
      <c r="X200">
        <f t="shared" si="51"/>
        <v>2026</v>
      </c>
      <c r="Y200" t="str">
        <f t="shared" si="52"/>
        <v>33-2026</v>
      </c>
      <c r="Z200" t="s">
        <v>147</v>
      </c>
      <c r="AD200" t="s">
        <v>57</v>
      </c>
      <c r="AE200">
        <v>6</v>
      </c>
      <c r="AG200" t="s">
        <v>31</v>
      </c>
      <c r="AH200" t="s">
        <v>30</v>
      </c>
      <c r="AI200" s="23">
        <v>46252</v>
      </c>
    </row>
    <row r="201" spans="1:35" ht="29.1">
      <c r="A201" s="14">
        <v>3761331</v>
      </c>
      <c r="B201" s="14" t="s">
        <v>67</v>
      </c>
      <c r="C201" s="14" t="s">
        <v>433</v>
      </c>
      <c r="D201" s="24">
        <v>46247</v>
      </c>
      <c r="E201" s="24">
        <v>46247</v>
      </c>
      <c r="F201" s="25">
        <v>0.74583333333333335</v>
      </c>
      <c r="G201" s="14">
        <v>2026</v>
      </c>
      <c r="H201" s="14">
        <v>8</v>
      </c>
      <c r="I201" s="14" t="s">
        <v>138</v>
      </c>
      <c r="J201" s="14" t="s">
        <v>1280</v>
      </c>
      <c r="K201" s="14"/>
      <c r="L201" s="14" t="s">
        <v>4</v>
      </c>
      <c r="M201" s="14" t="s">
        <v>85</v>
      </c>
      <c r="N201" s="14" t="s">
        <v>1281</v>
      </c>
      <c r="O201" s="14" t="s">
        <v>519</v>
      </c>
      <c r="P201" s="17" t="s">
        <v>1282</v>
      </c>
      <c r="Q201" s="14" t="s">
        <v>143</v>
      </c>
      <c r="R201" s="14" t="s">
        <v>176</v>
      </c>
      <c r="S201" s="28">
        <v>3202738768</v>
      </c>
      <c r="T201" s="14" t="s">
        <v>1283</v>
      </c>
      <c r="U201" s="38" t="s">
        <v>1284</v>
      </c>
      <c r="V201">
        <f t="shared" si="49"/>
        <v>33</v>
      </c>
      <c r="W201">
        <f t="shared" si="50"/>
        <v>8</v>
      </c>
      <c r="X201">
        <f t="shared" si="51"/>
        <v>2026</v>
      </c>
      <c r="Y201" t="str">
        <f t="shared" si="52"/>
        <v>33-2026</v>
      </c>
      <c r="Z201" t="s">
        <v>147</v>
      </c>
      <c r="AD201" t="s">
        <v>59</v>
      </c>
      <c r="AE201">
        <v>6</v>
      </c>
    </row>
    <row r="202" spans="1:35" ht="29.1">
      <c r="A202" s="14">
        <v>3761334</v>
      </c>
      <c r="B202" s="14" t="s">
        <v>67</v>
      </c>
      <c r="C202" s="14" t="s">
        <v>433</v>
      </c>
      <c r="D202" s="24">
        <v>46247</v>
      </c>
      <c r="E202" s="24">
        <v>46247</v>
      </c>
      <c r="F202" s="25">
        <v>0.75069444444444444</v>
      </c>
      <c r="G202" s="14">
        <v>2026</v>
      </c>
      <c r="H202" s="14">
        <v>8</v>
      </c>
      <c r="I202" s="14" t="s">
        <v>138</v>
      </c>
      <c r="J202" s="14" t="s">
        <v>1285</v>
      </c>
      <c r="K202" s="14"/>
      <c r="L202" s="14" t="s">
        <v>4</v>
      </c>
      <c r="M202" s="14" t="s">
        <v>85</v>
      </c>
      <c r="N202" s="14" t="s">
        <v>1286</v>
      </c>
      <c r="O202" s="14" t="s">
        <v>519</v>
      </c>
      <c r="P202" s="17" t="s">
        <v>1287</v>
      </c>
      <c r="Q202" s="14" t="s">
        <v>224</v>
      </c>
      <c r="R202" s="14" t="s">
        <v>193</v>
      </c>
      <c r="S202" s="28">
        <v>3182432298</v>
      </c>
      <c r="T202" s="14" t="s">
        <v>1288</v>
      </c>
      <c r="U202" s="38" t="s">
        <v>1289</v>
      </c>
      <c r="V202">
        <f t="shared" si="49"/>
        <v>33</v>
      </c>
      <c r="W202">
        <f t="shared" si="50"/>
        <v>8</v>
      </c>
      <c r="X202">
        <f t="shared" si="51"/>
        <v>2026</v>
      </c>
      <c r="Y202" t="str">
        <f t="shared" si="52"/>
        <v>33-2026</v>
      </c>
      <c r="Z202" t="s">
        <v>255</v>
      </c>
      <c r="AC202" t="s">
        <v>1290</v>
      </c>
      <c r="AD202" t="s">
        <v>58</v>
      </c>
      <c r="AE202">
        <v>6</v>
      </c>
    </row>
    <row r="203" spans="1:35" ht="29.1">
      <c r="A203" s="14">
        <v>3761354</v>
      </c>
      <c r="B203" s="14" t="s">
        <v>19</v>
      </c>
      <c r="C203" s="14" t="s">
        <v>256</v>
      </c>
      <c r="D203" s="24">
        <v>46247</v>
      </c>
      <c r="E203" s="24">
        <v>46247</v>
      </c>
      <c r="F203" s="25">
        <v>0.78333333333333333</v>
      </c>
      <c r="G203" s="14">
        <v>2026</v>
      </c>
      <c r="H203" s="14">
        <v>8</v>
      </c>
      <c r="I203" s="14" t="s">
        <v>138</v>
      </c>
      <c r="J203" s="14" t="s">
        <v>1291</v>
      </c>
      <c r="K203" s="14"/>
      <c r="L203" s="14" t="s">
        <v>4</v>
      </c>
      <c r="M203" s="14" t="s">
        <v>243</v>
      </c>
      <c r="N203" s="14" t="s">
        <v>1292</v>
      </c>
      <c r="O203" s="14" t="s">
        <v>519</v>
      </c>
      <c r="P203" s="17" t="s">
        <v>1293</v>
      </c>
      <c r="Q203" s="14" t="s">
        <v>143</v>
      </c>
      <c r="R203" s="14" t="s">
        <v>144</v>
      </c>
      <c r="S203" s="28">
        <v>3204032618</v>
      </c>
      <c r="T203" s="14" t="s">
        <v>513</v>
      </c>
      <c r="U203" s="38" t="s">
        <v>1294</v>
      </c>
      <c r="V203">
        <f t="shared" si="49"/>
        <v>33</v>
      </c>
      <c r="W203">
        <f t="shared" si="50"/>
        <v>8</v>
      </c>
      <c r="X203">
        <f t="shared" si="51"/>
        <v>2026</v>
      </c>
      <c r="Y203" t="str">
        <f t="shared" si="52"/>
        <v>33-2026</v>
      </c>
      <c r="Z203" t="s">
        <v>147</v>
      </c>
      <c r="AD203" t="s">
        <v>59</v>
      </c>
      <c r="AE203">
        <v>6</v>
      </c>
    </row>
    <row r="204" spans="1:35" ht="29.1">
      <c r="A204" s="14">
        <v>3761356</v>
      </c>
      <c r="B204" s="14" t="s">
        <v>19</v>
      </c>
      <c r="C204" s="14" t="s">
        <v>256</v>
      </c>
      <c r="D204" s="24">
        <v>46247</v>
      </c>
      <c r="E204" s="24">
        <v>46247</v>
      </c>
      <c r="F204" s="25">
        <v>0.79027777777777775</v>
      </c>
      <c r="G204" s="14">
        <v>2026</v>
      </c>
      <c r="H204" s="14">
        <v>8</v>
      </c>
      <c r="I204" s="14" t="s">
        <v>138</v>
      </c>
      <c r="J204" s="14" t="s">
        <v>1295</v>
      </c>
      <c r="K204" s="14"/>
      <c r="L204" s="14" t="s">
        <v>4</v>
      </c>
      <c r="M204" s="14" t="s">
        <v>243</v>
      </c>
      <c r="N204" s="14" t="s">
        <v>1296</v>
      </c>
      <c r="O204" s="14" t="s">
        <v>519</v>
      </c>
      <c r="P204" s="17" t="s">
        <v>1297</v>
      </c>
      <c r="Q204" s="14" t="s">
        <v>224</v>
      </c>
      <c r="R204" s="14" t="s">
        <v>225</v>
      </c>
      <c r="S204" s="28">
        <v>3204032618</v>
      </c>
      <c r="T204" s="14" t="s">
        <v>513</v>
      </c>
      <c r="U204" s="38" t="s">
        <v>1298</v>
      </c>
      <c r="V204">
        <f t="shared" si="49"/>
        <v>33</v>
      </c>
      <c r="W204">
        <f t="shared" si="50"/>
        <v>8</v>
      </c>
      <c r="X204">
        <f t="shared" si="51"/>
        <v>2026</v>
      </c>
      <c r="Y204" t="str">
        <f t="shared" si="52"/>
        <v>33-2026</v>
      </c>
      <c r="Z204" t="s">
        <v>147</v>
      </c>
      <c r="AD204" t="s">
        <v>59</v>
      </c>
      <c r="AE204">
        <v>6</v>
      </c>
    </row>
    <row r="205" spans="1:35" ht="29.1">
      <c r="A205" s="14">
        <v>3761358</v>
      </c>
      <c r="B205" s="14" t="s">
        <v>19</v>
      </c>
      <c r="C205" s="14" t="s">
        <v>256</v>
      </c>
      <c r="D205" s="24">
        <v>46247</v>
      </c>
      <c r="E205" s="24">
        <v>46247</v>
      </c>
      <c r="F205" s="25">
        <v>0.79583333333333328</v>
      </c>
      <c r="G205" s="14">
        <v>2026</v>
      </c>
      <c r="H205" s="14">
        <v>8</v>
      </c>
      <c r="I205" s="14" t="s">
        <v>138</v>
      </c>
      <c r="J205" s="14" t="s">
        <v>1299</v>
      </c>
      <c r="K205" s="14"/>
      <c r="L205" s="14" t="s">
        <v>4</v>
      </c>
      <c r="M205" s="14" t="s">
        <v>243</v>
      </c>
      <c r="N205" s="14" t="s">
        <v>1300</v>
      </c>
      <c r="O205" s="14" t="s">
        <v>519</v>
      </c>
      <c r="P205" s="17" t="s">
        <v>1301</v>
      </c>
      <c r="Q205" s="14" t="s">
        <v>143</v>
      </c>
      <c r="R205" s="14" t="s">
        <v>144</v>
      </c>
      <c r="S205" s="28">
        <v>3115576168</v>
      </c>
      <c r="T205" s="14" t="s">
        <v>513</v>
      </c>
      <c r="U205" s="38" t="s">
        <v>1302</v>
      </c>
      <c r="V205">
        <f t="shared" si="49"/>
        <v>33</v>
      </c>
      <c r="W205">
        <f t="shared" si="50"/>
        <v>8</v>
      </c>
      <c r="X205">
        <f t="shared" si="51"/>
        <v>2026</v>
      </c>
      <c r="Y205" t="str">
        <f t="shared" si="52"/>
        <v>33-2026</v>
      </c>
      <c r="Z205" t="s">
        <v>147</v>
      </c>
      <c r="AD205" t="s">
        <v>59</v>
      </c>
      <c r="AE205">
        <v>6</v>
      </c>
    </row>
    <row r="206" spans="1:35" ht="29.1">
      <c r="A206" s="14">
        <v>3764578</v>
      </c>
      <c r="B206" s="14" t="s">
        <v>8</v>
      </c>
      <c r="C206" s="14" t="s">
        <v>81</v>
      </c>
      <c r="D206" s="24">
        <v>46248</v>
      </c>
      <c r="E206" s="24">
        <v>46248</v>
      </c>
      <c r="F206" s="25">
        <v>0.49166666666666664</v>
      </c>
      <c r="G206" s="14">
        <v>2026</v>
      </c>
      <c r="H206" s="14">
        <v>8</v>
      </c>
      <c r="I206" s="14" t="s">
        <v>138</v>
      </c>
      <c r="J206" s="14" t="s">
        <v>1303</v>
      </c>
      <c r="K206" s="14"/>
      <c r="L206" s="14" t="s">
        <v>4</v>
      </c>
      <c r="M206" s="14" t="s">
        <v>85</v>
      </c>
      <c r="N206" s="14" t="s">
        <v>1304</v>
      </c>
      <c r="O206" s="14" t="s">
        <v>519</v>
      </c>
      <c r="P206" s="17" t="s">
        <v>1305</v>
      </c>
      <c r="Q206" s="14" t="s">
        <v>143</v>
      </c>
      <c r="R206" s="14" t="s">
        <v>144</v>
      </c>
      <c r="S206" s="28">
        <v>3168322676</v>
      </c>
      <c r="T206" s="14" t="s">
        <v>276</v>
      </c>
      <c r="U206" s="38" t="s">
        <v>1306</v>
      </c>
      <c r="V206">
        <f t="shared" si="49"/>
        <v>33</v>
      </c>
      <c r="W206">
        <f t="shared" si="50"/>
        <v>8</v>
      </c>
      <c r="X206">
        <f t="shared" si="51"/>
        <v>2026</v>
      </c>
      <c r="Y206" t="str">
        <f t="shared" si="52"/>
        <v>33-2026</v>
      </c>
      <c r="Z206" t="s">
        <v>147</v>
      </c>
      <c r="AD206" t="s">
        <v>59</v>
      </c>
      <c r="AE206">
        <v>6</v>
      </c>
    </row>
    <row r="207" spans="1:35" ht="29.1">
      <c r="A207" s="14">
        <v>3764631</v>
      </c>
      <c r="B207" s="14" t="s">
        <v>1307</v>
      </c>
      <c r="C207" s="14" t="s">
        <v>1308</v>
      </c>
      <c r="D207" s="24">
        <v>46248</v>
      </c>
      <c r="E207" s="24">
        <v>46248</v>
      </c>
      <c r="F207" s="25">
        <v>0.57152777777777775</v>
      </c>
      <c r="G207" s="14">
        <v>2026</v>
      </c>
      <c r="H207" s="14">
        <v>8</v>
      </c>
      <c r="I207" s="14" t="s">
        <v>138</v>
      </c>
      <c r="J207" s="14" t="s">
        <v>1309</v>
      </c>
      <c r="K207" s="14"/>
      <c r="L207" s="14" t="s">
        <v>5</v>
      </c>
      <c r="M207" s="14" t="s">
        <v>90</v>
      </c>
      <c r="N207" s="14" t="s">
        <v>1310</v>
      </c>
      <c r="O207" s="14" t="s">
        <v>566</v>
      </c>
      <c r="P207" s="17" t="s">
        <v>1311</v>
      </c>
      <c r="Q207" s="14" t="s">
        <v>224</v>
      </c>
      <c r="R207" s="14" t="s">
        <v>144</v>
      </c>
      <c r="S207" s="28">
        <v>3145478410</v>
      </c>
      <c r="T207" s="14" t="s">
        <v>1312</v>
      </c>
      <c r="U207" s="38" t="s">
        <v>1313</v>
      </c>
      <c r="V207">
        <f t="shared" si="49"/>
        <v>33</v>
      </c>
      <c r="W207">
        <f t="shared" si="50"/>
        <v>8</v>
      </c>
      <c r="X207">
        <f t="shared" si="51"/>
        <v>2026</v>
      </c>
      <c r="Y207" t="str">
        <f t="shared" si="52"/>
        <v>33-2026</v>
      </c>
      <c r="Z207" t="s">
        <v>147</v>
      </c>
      <c r="AD207" t="s">
        <v>59</v>
      </c>
      <c r="AE207">
        <v>6</v>
      </c>
    </row>
    <row r="208" spans="1:35" ht="29.1">
      <c r="A208" s="14">
        <v>3764657</v>
      </c>
      <c r="B208" s="14" t="s">
        <v>10</v>
      </c>
      <c r="C208" s="14" t="s">
        <v>269</v>
      </c>
      <c r="D208" s="24">
        <v>46248</v>
      </c>
      <c r="E208" s="24">
        <v>46248</v>
      </c>
      <c r="F208" s="25">
        <v>0.59513888888888888</v>
      </c>
      <c r="G208" s="14">
        <v>2026</v>
      </c>
      <c r="H208" s="14">
        <v>8</v>
      </c>
      <c r="I208" s="14" t="s">
        <v>138</v>
      </c>
      <c r="J208" s="14" t="s">
        <v>1314</v>
      </c>
      <c r="K208" s="14"/>
      <c r="L208" s="14" t="s">
        <v>4</v>
      </c>
      <c r="M208" s="14" t="s">
        <v>85</v>
      </c>
      <c r="N208" s="14" t="s">
        <v>1315</v>
      </c>
      <c r="O208" s="14" t="s">
        <v>519</v>
      </c>
      <c r="P208" s="17" t="s">
        <v>1316</v>
      </c>
      <c r="Q208" s="14" t="s">
        <v>143</v>
      </c>
      <c r="R208" s="14" t="s">
        <v>535</v>
      </c>
      <c r="S208" s="28">
        <v>3108787862</v>
      </c>
      <c r="T208" s="14" t="s">
        <v>1317</v>
      </c>
      <c r="U208" s="38" t="s">
        <v>1318</v>
      </c>
      <c r="V208">
        <f t="shared" si="49"/>
        <v>33</v>
      </c>
      <c r="W208">
        <f t="shared" si="50"/>
        <v>8</v>
      </c>
      <c r="X208">
        <f t="shared" si="51"/>
        <v>2026</v>
      </c>
      <c r="Y208" t="str">
        <f t="shared" si="52"/>
        <v>33-2026</v>
      </c>
      <c r="Z208" t="s">
        <v>147</v>
      </c>
      <c r="AD208" t="s">
        <v>59</v>
      </c>
      <c r="AE208">
        <v>6</v>
      </c>
    </row>
    <row r="209" spans="1:25" ht="30.75">
      <c r="A209" s="48">
        <v>3764701</v>
      </c>
      <c r="B209" s="48" t="s">
        <v>22</v>
      </c>
      <c r="C209" s="48" t="s">
        <v>196</v>
      </c>
      <c r="D209" s="49">
        <v>46248</v>
      </c>
      <c r="E209" s="49">
        <v>46248</v>
      </c>
      <c r="F209" s="50">
        <v>0.63749999999999996</v>
      </c>
      <c r="G209" s="48">
        <v>2026</v>
      </c>
      <c r="H209" s="48">
        <v>8</v>
      </c>
      <c r="I209" s="48" t="s">
        <v>138</v>
      </c>
      <c r="J209" s="48" t="s">
        <v>1319</v>
      </c>
      <c r="K209" s="48"/>
      <c r="L209" s="48" t="s">
        <v>4</v>
      </c>
      <c r="M209" s="48" t="s">
        <v>85</v>
      </c>
      <c r="N209" s="48" t="s">
        <v>1320</v>
      </c>
      <c r="O209" s="48" t="s">
        <v>473</v>
      </c>
      <c r="P209" s="54" t="s">
        <v>1321</v>
      </c>
      <c r="Q209" s="48" t="s">
        <v>168</v>
      </c>
      <c r="R209" s="48" t="s">
        <v>144</v>
      </c>
      <c r="S209" s="28">
        <v>3108098024</v>
      </c>
      <c r="T209" s="14" t="s">
        <v>203</v>
      </c>
      <c r="U209" s="38" t="s">
        <v>1322</v>
      </c>
      <c r="V209">
        <f t="shared" si="49"/>
        <v>33</v>
      </c>
      <c r="W209">
        <f t="shared" si="50"/>
        <v>8</v>
      </c>
      <c r="X209">
        <f t="shared" si="51"/>
        <v>2026</v>
      </c>
      <c r="Y209" t="str">
        <f t="shared" si="52"/>
        <v>33-2026</v>
      </c>
    </row>
    <row r="210" spans="1:25" ht="29.1">
      <c r="A210" s="51">
        <v>3764709</v>
      </c>
      <c r="B210" s="51" t="s">
        <v>22</v>
      </c>
      <c r="C210" s="51" t="s">
        <v>196</v>
      </c>
      <c r="D210" s="52">
        <v>46248</v>
      </c>
      <c r="E210" s="52">
        <v>46248</v>
      </c>
      <c r="F210" s="53">
        <v>0.6479166666666667</v>
      </c>
      <c r="G210" s="51">
        <v>2026</v>
      </c>
      <c r="H210" s="51">
        <v>8</v>
      </c>
      <c r="I210" s="51" t="s">
        <v>138</v>
      </c>
      <c r="J210" s="51" t="s">
        <v>1323</v>
      </c>
      <c r="K210" s="51"/>
      <c r="L210" s="51" t="s">
        <v>4</v>
      </c>
      <c r="M210" s="51" t="s">
        <v>85</v>
      </c>
      <c r="N210" s="51" t="s">
        <v>1324</v>
      </c>
      <c r="O210" s="51" t="s">
        <v>473</v>
      </c>
      <c r="P210" s="17" t="s">
        <v>1325</v>
      </c>
      <c r="Q210" s="51" t="s">
        <v>168</v>
      </c>
      <c r="R210" s="51" t="s">
        <v>144</v>
      </c>
      <c r="S210" s="28">
        <v>3178533517</v>
      </c>
      <c r="T210" s="14" t="s">
        <v>1326</v>
      </c>
      <c r="U210" s="38" t="s">
        <v>1327</v>
      </c>
      <c r="V210">
        <f t="shared" si="49"/>
        <v>33</v>
      </c>
      <c r="W210">
        <f t="shared" si="50"/>
        <v>8</v>
      </c>
      <c r="X210">
        <f t="shared" si="51"/>
        <v>2026</v>
      </c>
      <c r="Y210" t="str">
        <f t="shared" si="52"/>
        <v>33-2026</v>
      </c>
    </row>
    <row r="211" spans="1:25" ht="29.1">
      <c r="A211" s="48">
        <v>3764725</v>
      </c>
      <c r="B211" s="48" t="s">
        <v>1307</v>
      </c>
      <c r="C211" s="48" t="s">
        <v>1308</v>
      </c>
      <c r="D211" s="49">
        <v>46248</v>
      </c>
      <c r="E211" s="49">
        <v>46248</v>
      </c>
      <c r="F211" s="50">
        <v>0.67083333333333328</v>
      </c>
      <c r="G211" s="48">
        <v>2026</v>
      </c>
      <c r="H211" s="48">
        <v>8</v>
      </c>
      <c r="I211" s="48" t="s">
        <v>138</v>
      </c>
      <c r="J211" s="48" t="s">
        <v>1328</v>
      </c>
      <c r="K211" s="48"/>
      <c r="L211" s="48" t="s">
        <v>5</v>
      </c>
      <c r="M211" s="48" t="s">
        <v>90</v>
      </c>
      <c r="N211" s="48" t="s">
        <v>1329</v>
      </c>
      <c r="O211" s="48" t="s">
        <v>566</v>
      </c>
      <c r="P211" s="17" t="s">
        <v>1330</v>
      </c>
      <c r="Q211" s="48" t="s">
        <v>143</v>
      </c>
      <c r="R211" s="48" t="s">
        <v>225</v>
      </c>
      <c r="S211" s="28" t="s">
        <v>1331</v>
      </c>
      <c r="T211" s="28">
        <v>6053303333</v>
      </c>
      <c r="U211" s="38" t="s">
        <v>1332</v>
      </c>
      <c r="V211">
        <f t="shared" si="49"/>
        <v>33</v>
      </c>
      <c r="W211">
        <f t="shared" si="50"/>
        <v>8</v>
      </c>
      <c r="X211">
        <f t="shared" si="51"/>
        <v>2026</v>
      </c>
      <c r="Y211" t="str">
        <f t="shared" si="52"/>
        <v>33-2026</v>
      </c>
    </row>
    <row r="212" spans="1:25" ht="29.1">
      <c r="A212" s="48">
        <v>3764735</v>
      </c>
      <c r="B212" s="48" t="s">
        <v>1307</v>
      </c>
      <c r="C212" s="48" t="s">
        <v>1308</v>
      </c>
      <c r="D212" s="49">
        <v>46248</v>
      </c>
      <c r="E212" s="49">
        <v>46248</v>
      </c>
      <c r="F212" s="50">
        <v>0.67986111111111114</v>
      </c>
      <c r="G212" s="48">
        <v>2026</v>
      </c>
      <c r="H212" s="48">
        <v>8</v>
      </c>
      <c r="I212" s="48" t="s">
        <v>138</v>
      </c>
      <c r="J212" s="48" t="s">
        <v>1333</v>
      </c>
      <c r="K212" s="48"/>
      <c r="L212" s="48" t="s">
        <v>5</v>
      </c>
      <c r="M212" s="48" t="s">
        <v>90</v>
      </c>
      <c r="N212" s="48" t="s">
        <v>1334</v>
      </c>
      <c r="O212" s="48" t="s">
        <v>566</v>
      </c>
      <c r="P212" s="17" t="s">
        <v>1335</v>
      </c>
      <c r="Q212" s="48" t="s">
        <v>224</v>
      </c>
      <c r="R212" s="48" t="s">
        <v>225</v>
      </c>
      <c r="S212" s="28">
        <v>3112377166</v>
      </c>
      <c r="T212" s="14" t="s">
        <v>1288</v>
      </c>
      <c r="U212" s="38" t="s">
        <v>1336</v>
      </c>
      <c r="V212">
        <f t="shared" si="49"/>
        <v>33</v>
      </c>
      <c r="W212">
        <f t="shared" si="50"/>
        <v>8</v>
      </c>
      <c r="X212">
        <f t="shared" si="51"/>
        <v>2026</v>
      </c>
      <c r="Y212" t="str">
        <f t="shared" si="52"/>
        <v>33-2026</v>
      </c>
    </row>
    <row r="213" spans="1:25" ht="29.1">
      <c r="A213" s="51">
        <v>3764780</v>
      </c>
      <c r="B213" s="51" t="s">
        <v>67</v>
      </c>
      <c r="C213" s="51" t="s">
        <v>433</v>
      </c>
      <c r="D213" s="52">
        <v>46248</v>
      </c>
      <c r="E213" s="52">
        <v>46248</v>
      </c>
      <c r="F213" s="53">
        <v>0.76388888888888884</v>
      </c>
      <c r="G213" s="51">
        <v>2026</v>
      </c>
      <c r="H213" s="51">
        <v>8</v>
      </c>
      <c r="I213" s="51" t="s">
        <v>138</v>
      </c>
      <c r="J213" s="51" t="s">
        <v>1337</v>
      </c>
      <c r="K213" s="51"/>
      <c r="L213" s="51" t="s">
        <v>4</v>
      </c>
      <c r="M213" s="51" t="s">
        <v>85</v>
      </c>
      <c r="N213" s="51" t="s">
        <v>1338</v>
      </c>
      <c r="O213" s="51" t="s">
        <v>519</v>
      </c>
      <c r="P213" s="17" t="s">
        <v>1339</v>
      </c>
      <c r="Q213" s="51" t="s">
        <v>168</v>
      </c>
      <c r="R213" s="51" t="s">
        <v>144</v>
      </c>
      <c r="S213" s="28">
        <v>3114551639</v>
      </c>
      <c r="T213" s="14" t="s">
        <v>643</v>
      </c>
      <c r="U213" s="38" t="s">
        <v>1340</v>
      </c>
      <c r="V213">
        <f t="shared" si="49"/>
        <v>33</v>
      </c>
      <c r="W213">
        <f t="shared" si="50"/>
        <v>8</v>
      </c>
      <c r="X213">
        <f t="shared" si="51"/>
        <v>2026</v>
      </c>
      <c r="Y213" t="str">
        <f t="shared" si="52"/>
        <v>33-2026</v>
      </c>
    </row>
    <row r="214" spans="1:25" ht="29.1">
      <c r="A214" s="48">
        <v>3767870</v>
      </c>
      <c r="B214" s="48" t="s">
        <v>67</v>
      </c>
      <c r="C214" s="48" t="s">
        <v>433</v>
      </c>
      <c r="D214" s="49">
        <v>46249</v>
      </c>
      <c r="E214" s="49">
        <v>46249</v>
      </c>
      <c r="F214" s="50">
        <v>0.44374999999999998</v>
      </c>
      <c r="G214" s="48">
        <v>2026</v>
      </c>
      <c r="H214" s="48">
        <v>8</v>
      </c>
      <c r="I214" s="48" t="s">
        <v>138</v>
      </c>
      <c r="J214" s="48" t="s">
        <v>1341</v>
      </c>
      <c r="K214" s="48"/>
      <c r="L214" s="48" t="s">
        <v>4</v>
      </c>
      <c r="M214" s="48" t="s">
        <v>85</v>
      </c>
      <c r="N214" s="48" t="s">
        <v>1342</v>
      </c>
      <c r="O214" s="48" t="s">
        <v>519</v>
      </c>
      <c r="P214" s="17" t="s">
        <v>1343</v>
      </c>
      <c r="Q214" s="48" t="s">
        <v>168</v>
      </c>
      <c r="R214" s="48" t="s">
        <v>144</v>
      </c>
      <c r="S214" s="28">
        <v>3204119941</v>
      </c>
      <c r="T214" s="14" t="s">
        <v>1344</v>
      </c>
      <c r="U214" s="38" t="s">
        <v>1345</v>
      </c>
      <c r="V214">
        <f t="shared" si="49"/>
        <v>33</v>
      </c>
      <c r="W214">
        <f t="shared" si="50"/>
        <v>8</v>
      </c>
      <c r="X214">
        <f t="shared" si="51"/>
        <v>2026</v>
      </c>
      <c r="Y214" t="str">
        <f t="shared" si="52"/>
        <v>33-2026</v>
      </c>
    </row>
    <row r="215" spans="1:25" ht="29.1">
      <c r="A215" s="48">
        <v>3767875</v>
      </c>
      <c r="B215" s="48" t="s">
        <v>67</v>
      </c>
      <c r="C215" s="48" t="s">
        <v>433</v>
      </c>
      <c r="D215" s="49">
        <v>46249</v>
      </c>
      <c r="E215" s="49">
        <v>46249</v>
      </c>
      <c r="F215" s="50">
        <v>0.4513888888888889</v>
      </c>
      <c r="G215" s="48">
        <v>2026</v>
      </c>
      <c r="H215" s="48">
        <v>8</v>
      </c>
      <c r="I215" s="48" t="s">
        <v>138</v>
      </c>
      <c r="J215" s="48" t="s">
        <v>1346</v>
      </c>
      <c r="K215" s="48"/>
      <c r="L215" s="48" t="s">
        <v>4</v>
      </c>
      <c r="M215" s="48" t="s">
        <v>85</v>
      </c>
      <c r="N215" s="48" t="s">
        <v>1347</v>
      </c>
      <c r="O215" s="48" t="s">
        <v>519</v>
      </c>
      <c r="P215" s="17" t="s">
        <v>1348</v>
      </c>
      <c r="Q215" s="48" t="s">
        <v>168</v>
      </c>
      <c r="R215" s="48" t="s">
        <v>480</v>
      </c>
      <c r="S215" s="28">
        <v>3112914286</v>
      </c>
      <c r="T215" s="14" t="s">
        <v>1349</v>
      </c>
      <c r="U215" s="38" t="s">
        <v>1350</v>
      </c>
      <c r="V215">
        <f t="shared" si="49"/>
        <v>33</v>
      </c>
      <c r="W215">
        <f t="shared" si="50"/>
        <v>8</v>
      </c>
      <c r="X215">
        <f t="shared" si="51"/>
        <v>2026</v>
      </c>
      <c r="Y215" t="str">
        <f t="shared" si="52"/>
        <v>33-2026</v>
      </c>
    </row>
    <row r="216" spans="1:25" ht="29.1">
      <c r="A216" s="48">
        <v>3770954</v>
      </c>
      <c r="B216" s="48" t="s">
        <v>81</v>
      </c>
      <c r="C216" s="48" t="s">
        <v>81</v>
      </c>
      <c r="D216" s="49">
        <v>46250</v>
      </c>
      <c r="E216" s="49">
        <v>46250</v>
      </c>
      <c r="F216" s="50">
        <v>0.60972222222222228</v>
      </c>
      <c r="G216" s="48">
        <v>2026</v>
      </c>
      <c r="H216" s="48">
        <v>8</v>
      </c>
      <c r="I216" s="48" t="s">
        <v>138</v>
      </c>
      <c r="J216" s="48" t="s">
        <v>1351</v>
      </c>
      <c r="K216" s="48"/>
      <c r="L216" s="48" t="s">
        <v>4</v>
      </c>
      <c r="M216" s="48" t="s">
        <v>85</v>
      </c>
      <c r="N216" s="48" t="s">
        <v>1352</v>
      </c>
      <c r="O216" s="48" t="s">
        <v>519</v>
      </c>
      <c r="P216" s="17" t="s">
        <v>1353</v>
      </c>
      <c r="Q216" s="48" t="s">
        <v>143</v>
      </c>
      <c r="R216" s="48" t="s">
        <v>144</v>
      </c>
      <c r="S216" s="28">
        <v>3164705512</v>
      </c>
      <c r="T216" s="14" t="s">
        <v>276</v>
      </c>
      <c r="U216" s="38" t="s">
        <v>1354</v>
      </c>
      <c r="V216">
        <f t="shared" si="49"/>
        <v>34</v>
      </c>
      <c r="W216">
        <f t="shared" si="50"/>
        <v>8</v>
      </c>
      <c r="X216">
        <f t="shared" si="51"/>
        <v>2026</v>
      </c>
      <c r="Y216" t="str">
        <f t="shared" si="52"/>
        <v>34-2026</v>
      </c>
    </row>
    <row r="217" spans="1:25" ht="29.1">
      <c r="A217" s="51">
        <v>3774021</v>
      </c>
      <c r="B217" s="51" t="s">
        <v>79</v>
      </c>
      <c r="C217" s="51" t="s">
        <v>630</v>
      </c>
      <c r="D217" s="52">
        <v>46251</v>
      </c>
      <c r="E217" s="52">
        <v>46251</v>
      </c>
      <c r="F217" s="53">
        <v>0.47847222222222224</v>
      </c>
      <c r="G217" s="51">
        <v>2026</v>
      </c>
      <c r="H217" s="51">
        <v>8</v>
      </c>
      <c r="I217" s="51" t="s">
        <v>138</v>
      </c>
      <c r="J217" s="51" t="s">
        <v>1355</v>
      </c>
      <c r="K217" s="51"/>
      <c r="L217" s="51" t="s">
        <v>4</v>
      </c>
      <c r="M217" s="51" t="s">
        <v>243</v>
      </c>
      <c r="N217" s="51" t="s">
        <v>1356</v>
      </c>
      <c r="O217" s="51" t="s">
        <v>519</v>
      </c>
      <c r="P217" s="17" t="s">
        <v>1357</v>
      </c>
      <c r="Q217" s="51" t="s">
        <v>224</v>
      </c>
      <c r="R217" s="51" t="s">
        <v>913</v>
      </c>
      <c r="S217" s="28" t="s">
        <v>1358</v>
      </c>
      <c r="T217" s="28">
        <v>3168160724</v>
      </c>
      <c r="U217" s="38" t="s">
        <v>1359</v>
      </c>
      <c r="V217">
        <f t="shared" si="49"/>
        <v>34</v>
      </c>
      <c r="W217">
        <f t="shared" si="50"/>
        <v>8</v>
      </c>
      <c r="X217">
        <f t="shared" si="51"/>
        <v>2026</v>
      </c>
      <c r="Y217" t="str">
        <f t="shared" si="52"/>
        <v>34-2026</v>
      </c>
    </row>
    <row r="218" spans="1:25" ht="29.1">
      <c r="A218" s="48">
        <v>3774028</v>
      </c>
      <c r="B218" s="48" t="s">
        <v>79</v>
      </c>
      <c r="C218" s="48" t="s">
        <v>630</v>
      </c>
      <c r="D218" s="49">
        <v>46251</v>
      </c>
      <c r="E218" s="49">
        <v>46251</v>
      </c>
      <c r="F218" s="50">
        <v>0.48958333333333331</v>
      </c>
      <c r="G218" s="48">
        <v>2026</v>
      </c>
      <c r="H218" s="48">
        <v>8</v>
      </c>
      <c r="I218" s="48" t="s">
        <v>138</v>
      </c>
      <c r="J218" s="48" t="s">
        <v>1360</v>
      </c>
      <c r="K218" s="48"/>
      <c r="L218" s="48" t="s">
        <v>4</v>
      </c>
      <c r="M218" s="48" t="s">
        <v>243</v>
      </c>
      <c r="N218" s="48" t="s">
        <v>1361</v>
      </c>
      <c r="O218" s="48" t="s">
        <v>519</v>
      </c>
      <c r="P218" s="17" t="s">
        <v>1362</v>
      </c>
      <c r="Q218" s="48" t="s">
        <v>224</v>
      </c>
      <c r="R218" s="48" t="s">
        <v>913</v>
      </c>
      <c r="S218" s="28" t="s">
        <v>1363</v>
      </c>
      <c r="T218" s="28">
        <v>3202415408</v>
      </c>
      <c r="U218" s="38" t="s">
        <v>1364</v>
      </c>
      <c r="V218">
        <f t="shared" si="49"/>
        <v>34</v>
      </c>
      <c r="W218">
        <f t="shared" si="50"/>
        <v>8</v>
      </c>
      <c r="X218">
        <f t="shared" si="51"/>
        <v>2026</v>
      </c>
      <c r="Y218" t="str">
        <f t="shared" si="52"/>
        <v>34-2026</v>
      </c>
    </row>
    <row r="219" spans="1:25" ht="29.1">
      <c r="A219" s="48">
        <v>3774099</v>
      </c>
      <c r="B219" s="48" t="s">
        <v>81</v>
      </c>
      <c r="C219" s="48" t="s">
        <v>81</v>
      </c>
      <c r="D219" s="49">
        <v>46251</v>
      </c>
      <c r="E219" s="49">
        <v>46251</v>
      </c>
      <c r="F219" s="50">
        <v>0.89375000000000004</v>
      </c>
      <c r="G219" s="48">
        <v>2026</v>
      </c>
      <c r="H219" s="48">
        <v>8</v>
      </c>
      <c r="I219" s="48" t="s">
        <v>138</v>
      </c>
      <c r="J219" s="48" t="s">
        <v>1365</v>
      </c>
      <c r="K219" s="48"/>
      <c r="L219" s="48" t="s">
        <v>4</v>
      </c>
      <c r="M219" s="48" t="s">
        <v>85</v>
      </c>
      <c r="N219" s="48" t="s">
        <v>1366</v>
      </c>
      <c r="O219" s="48" t="s">
        <v>519</v>
      </c>
      <c r="P219" s="17" t="s">
        <v>1367</v>
      </c>
      <c r="Q219" s="48" t="s">
        <v>143</v>
      </c>
      <c r="R219" s="48" t="s">
        <v>501</v>
      </c>
      <c r="S219" s="28">
        <v>3176427845</v>
      </c>
      <c r="T219" s="14" t="s">
        <v>276</v>
      </c>
      <c r="U219" s="38" t="s">
        <v>1368</v>
      </c>
      <c r="V219">
        <f t="shared" si="49"/>
        <v>34</v>
      </c>
      <c r="W219">
        <f t="shared" si="50"/>
        <v>8</v>
      </c>
      <c r="X219">
        <f t="shared" si="51"/>
        <v>2026</v>
      </c>
      <c r="Y219" t="str">
        <f t="shared" si="52"/>
        <v>34-2026</v>
      </c>
    </row>
    <row r="220" spans="1:25" ht="29.1">
      <c r="A220" s="48">
        <v>3778996</v>
      </c>
      <c r="B220" s="48" t="s">
        <v>21</v>
      </c>
      <c r="C220" s="48" t="s">
        <v>149</v>
      </c>
      <c r="D220" s="49">
        <v>46252</v>
      </c>
      <c r="E220" s="49">
        <v>46252</v>
      </c>
      <c r="F220" s="50">
        <v>0.47430555555555554</v>
      </c>
      <c r="G220" s="48">
        <v>2026</v>
      </c>
      <c r="H220" s="48">
        <v>8</v>
      </c>
      <c r="I220" s="48" t="s">
        <v>138</v>
      </c>
      <c r="J220" s="48" t="s">
        <v>1369</v>
      </c>
      <c r="K220" s="48"/>
      <c r="L220" s="48" t="s">
        <v>4</v>
      </c>
      <c r="M220" s="48" t="s">
        <v>92</v>
      </c>
      <c r="N220" s="48" t="s">
        <v>1370</v>
      </c>
      <c r="O220" s="48" t="s">
        <v>473</v>
      </c>
      <c r="P220" s="17" t="s">
        <v>1371</v>
      </c>
      <c r="Q220" s="48" t="s">
        <v>143</v>
      </c>
      <c r="R220" s="48" t="s">
        <v>144</v>
      </c>
      <c r="S220" s="28">
        <v>3107937349</v>
      </c>
      <c r="T220" s="14" t="s">
        <v>1372</v>
      </c>
      <c r="U220" s="38" t="s">
        <v>1373</v>
      </c>
      <c r="V220">
        <f t="shared" si="49"/>
        <v>34</v>
      </c>
      <c r="W220">
        <f t="shared" si="50"/>
        <v>8</v>
      </c>
      <c r="X220">
        <f t="shared" si="51"/>
        <v>2026</v>
      </c>
      <c r="Y220" t="str">
        <f t="shared" si="52"/>
        <v>34-2026</v>
      </c>
    </row>
    <row r="221" spans="1:25" ht="29.1">
      <c r="A221" s="48">
        <v>3779178</v>
      </c>
      <c r="B221" s="48" t="s">
        <v>21</v>
      </c>
      <c r="C221" s="48" t="s">
        <v>149</v>
      </c>
      <c r="D221" s="49">
        <v>46252</v>
      </c>
      <c r="E221" s="49">
        <v>46252</v>
      </c>
      <c r="F221" s="50">
        <v>0.67708333333333337</v>
      </c>
      <c r="G221" s="48">
        <v>2026</v>
      </c>
      <c r="H221" s="48">
        <v>8</v>
      </c>
      <c r="I221" s="48" t="s">
        <v>138</v>
      </c>
      <c r="J221" s="48" t="s">
        <v>1374</v>
      </c>
      <c r="K221" s="48"/>
      <c r="L221" s="48" t="s">
        <v>4</v>
      </c>
      <c r="M221" s="48" t="s">
        <v>85</v>
      </c>
      <c r="N221" s="48" t="s">
        <v>1375</v>
      </c>
      <c r="O221" s="48" t="s">
        <v>519</v>
      </c>
      <c r="P221" s="17" t="s">
        <v>1376</v>
      </c>
      <c r="Q221" s="48" t="s">
        <v>143</v>
      </c>
      <c r="R221" s="48" t="s">
        <v>501</v>
      </c>
      <c r="S221" s="28">
        <v>3246458336</v>
      </c>
      <c r="T221" s="14" t="s">
        <v>1377</v>
      </c>
      <c r="U221" s="38" t="s">
        <v>1378</v>
      </c>
      <c r="V221">
        <f t="shared" si="49"/>
        <v>34</v>
      </c>
      <c r="W221">
        <f t="shared" si="50"/>
        <v>8</v>
      </c>
      <c r="X221">
        <f t="shared" si="51"/>
        <v>2026</v>
      </c>
      <c r="Y221" t="str">
        <f t="shared" si="52"/>
        <v>34-2026</v>
      </c>
    </row>
  </sheetData>
  <autoFilter ref="A1:AN221" xr:uid="{66F9F202-4214-4BA7-8AEF-C4DBB6400BB1}"/>
  <hyperlinks>
    <hyperlink ref="P3" r:id="rId1" xr:uid="{D42D7EF3-3D46-4E54-8C69-3FBA36D0709C}"/>
    <hyperlink ref="P4" r:id="rId2" xr:uid="{30746116-5705-4D4E-9BDA-784804282991}"/>
    <hyperlink ref="P5" r:id="rId3" xr:uid="{EEFDC895-F2FF-487F-8289-B50C094BEB17}"/>
    <hyperlink ref="P6" r:id="rId4" xr:uid="{4F03A30A-15C4-44D7-99B4-15C9F8AB6D1F}"/>
    <hyperlink ref="T6" r:id="rId5" xr:uid="{B6FBBEE1-F535-4141-A6EC-B010DE42326B}"/>
    <hyperlink ref="P7" r:id="rId6" xr:uid="{461AD067-2B3B-420C-A3D3-0BE4B50A4A56}"/>
    <hyperlink ref="P8" r:id="rId7" xr:uid="{E79601BB-DEBD-4DA8-BB71-18ACFD9B6815}"/>
    <hyperlink ref="P9" r:id="rId8" xr:uid="{7C77FB56-C3FD-4493-86AB-D20A41AA64B6}"/>
    <hyperlink ref="P10" r:id="rId9" xr:uid="{05505495-AED5-4336-9C1D-BADDC5E7BF19}"/>
    <hyperlink ref="P11" r:id="rId10" xr:uid="{FE167FE7-4190-484E-862C-743DEFF9E0FF}"/>
    <hyperlink ref="P12" r:id="rId11" xr:uid="{C1649F27-7A32-4364-9B70-7A805041FD53}"/>
    <hyperlink ref="P13" r:id="rId12" xr:uid="{9BBB34D6-131C-4C1A-8682-33A8E53836E6}"/>
    <hyperlink ref="P14" r:id="rId13" xr:uid="{14A93640-90B1-4A22-80DA-78943F577899}"/>
    <hyperlink ref="P15" r:id="rId14" xr:uid="{EB4CA6F7-4197-4BFA-80D0-C6C5EF313397}"/>
    <hyperlink ref="P16" r:id="rId15" xr:uid="{6E9EBDC5-7E23-4472-B11A-4E617E1F3D3C}"/>
    <hyperlink ref="P17" r:id="rId16" xr:uid="{64FDEBC3-1188-4947-8940-AB21C6137660}"/>
    <hyperlink ref="P19" r:id="rId17" xr:uid="{97B090AC-C2A3-45F8-94CE-B91E53D0599D}"/>
    <hyperlink ref="P31" r:id="rId18" xr:uid="{DEAA9084-E43D-4E28-87D7-BDA3CDF58BB7}"/>
    <hyperlink ref="U31" r:id="rId19" xr:uid="{3828DF41-962A-47B8-9618-198281FBDE1B}"/>
    <hyperlink ref="P30" r:id="rId20" xr:uid="{FFBEE314-6579-40D7-B30C-4CDB69244572}"/>
    <hyperlink ref="P20" r:id="rId21" xr:uid="{DEFCA8DA-7777-49DC-AF5F-F5F37E45F107}"/>
    <hyperlink ref="P18" r:id="rId22" xr:uid="{52940E86-CF48-4055-9254-6F98C5F9EA3D}"/>
    <hyperlink ref="P21" r:id="rId23" xr:uid="{F01C8CE3-DD63-4C78-931D-371FA93EB1F6}"/>
    <hyperlink ref="P22" r:id="rId24" xr:uid="{265AB82D-C694-476B-A2F5-2C08D3A2AB75}"/>
    <hyperlink ref="P23" r:id="rId25" xr:uid="{C86FBA5A-87F3-4928-8C15-50CF52C38DF0}"/>
    <hyperlink ref="P24" r:id="rId26" xr:uid="{A3A88DEC-735C-479C-92F9-25750C110E47}"/>
    <hyperlink ref="P25" r:id="rId27" xr:uid="{D3766897-01AB-4458-8600-AFDA41111112}"/>
    <hyperlink ref="P26" r:id="rId28" xr:uid="{7BC2A519-7AF6-4F5E-A7A7-17D174A81874}"/>
    <hyperlink ref="P27" r:id="rId29" xr:uid="{6D936714-4786-4AE4-B009-86D565842A39}"/>
    <hyperlink ref="P28" r:id="rId30" xr:uid="{80B86197-BA4D-4FC6-8E34-B7D6006B4DE7}"/>
    <hyperlink ref="P29" r:id="rId31" xr:uid="{DEE0B57C-80AC-4535-A1A8-F233559319A6}"/>
    <hyperlink ref="P49" r:id="rId32" xr:uid="{160EE43E-A79E-43F5-A3DB-AFE7CBE8F9DF}"/>
    <hyperlink ref="P32" r:id="rId33" xr:uid="{D4568CF8-1ECC-4993-97A7-F4F52ED32E9B}"/>
    <hyperlink ref="P33" r:id="rId34" xr:uid="{D5CF5314-78A4-4129-93E0-3B3154D9D695}"/>
    <hyperlink ref="P34" r:id="rId35" xr:uid="{FA6A3C2C-27A4-442B-9B6C-DAFEC3815695}"/>
    <hyperlink ref="P35" r:id="rId36" xr:uid="{73E9A42B-C0C0-46F3-91D2-A01C76449A90}"/>
    <hyperlink ref="P50" r:id="rId37" xr:uid="{E9E5A520-3029-45F9-8274-E2BB998E3117}"/>
    <hyperlink ref="P51" r:id="rId38" xr:uid="{85C91D85-B6BB-43D8-AFFE-3A7F9A76605A}"/>
    <hyperlink ref="P52" r:id="rId39" xr:uid="{20666010-067D-44D5-BDF6-2E793D0D34A5}"/>
    <hyperlink ref="P53" r:id="rId40" xr:uid="{BA48157E-E523-4843-BC81-AC64B26D23DF}"/>
    <hyperlink ref="P54" r:id="rId41" xr:uid="{576956EE-C10D-43C9-92AE-FFF737DB4010}"/>
    <hyperlink ref="P55" r:id="rId42" xr:uid="{0DB5A089-FE2D-49CC-B2B0-68ECA8203462}"/>
    <hyperlink ref="P56" r:id="rId43" xr:uid="{BA5D016C-C33F-4EDB-8D1C-0FD8054F3EA6}"/>
    <hyperlink ref="P57" r:id="rId44" xr:uid="{BB3FC060-AECF-460E-800C-6BB92B531F3B}"/>
    <hyperlink ref="P58" r:id="rId45" xr:uid="{FF25A481-7EAF-4D53-BDF8-CAA3C5AEB571}"/>
    <hyperlink ref="P59" r:id="rId46" xr:uid="{527FA487-434C-49D1-BA06-F36F893C183F}"/>
    <hyperlink ref="P60" r:id="rId47" xr:uid="{C7E41D1A-1C72-4559-BD67-8388F23F8F3E}"/>
    <hyperlink ref="P61" r:id="rId48" xr:uid="{D194A7C0-B46D-4639-93C9-FEB557B71939}"/>
    <hyperlink ref="P63" r:id="rId49" xr:uid="{73B4E233-D066-410C-B778-97D191F85A99}"/>
    <hyperlink ref="P64" r:id="rId50" xr:uid="{1504E186-D660-4437-822F-2A9F5B383F5B}"/>
    <hyperlink ref="P66" r:id="rId51" xr:uid="{DE06D4F5-5F23-4DBF-A007-C8D00DF941B1}"/>
    <hyperlink ref="P36" r:id="rId52" xr:uid="{ADD39286-3C76-4B7E-AEF6-024A7F54A138}"/>
    <hyperlink ref="P37" r:id="rId53" xr:uid="{EA9D5A12-D1B0-4581-B0BE-FC0F6858665F}"/>
    <hyperlink ref="P38" r:id="rId54" xr:uid="{9277703B-CC4C-4CBC-8953-0AA62AD06A86}"/>
    <hyperlink ref="P39" r:id="rId55" xr:uid="{ECAEA39E-C705-4490-8950-E967888221A5}"/>
    <hyperlink ref="P40" r:id="rId56" xr:uid="{512443D3-883F-4E5B-B27B-2581BC91DFD2}"/>
    <hyperlink ref="U14" r:id="rId57" xr:uid="{DDE68B08-1000-480B-959F-45934D98576D}"/>
    <hyperlink ref="P44" r:id="rId58" xr:uid="{BC5BA9B6-463F-4869-B1CE-6AC3180BD2E6}"/>
    <hyperlink ref="P43" r:id="rId59" xr:uid="{2A960EC5-E997-423E-B9B1-BA54FD7A6165}"/>
    <hyperlink ref="P42" r:id="rId60" xr:uid="{1E4844FB-1061-40E5-AD6D-70D9041D7501}"/>
    <hyperlink ref="P41" r:id="rId61" xr:uid="{61642A34-976A-4C0A-B5A2-BB4A28ADA6BF}"/>
    <hyperlink ref="U68" r:id="rId62" display="https://oxxo-colombia.oneapp.cl/static/img/Respuesta/63234643/fc05e86c5b9aa2c4db94266f19506d37.jpg" xr:uid="{BF68681A-1211-441F-A4BF-3DA820081EFB}"/>
    <hyperlink ref="U69" r:id="rId63" display="https://oxxo-colombia.oneapp.cl/static/img/Respuesta/63235378/ba7e80d8123a945309a14b94fa26aff4.jpg" xr:uid="{96646300-6DA6-47C8-915A-2724CDA76259}"/>
    <hyperlink ref="U71" r:id="rId64" display="https://oxxo-colombia.oneapp.cl/static/img/Respuesta/63235704/1cbcf88bc193677f42e920ff2e2cedc4.jpg" xr:uid="{B181F868-E8D7-45DA-AD76-4EDB1C304879}"/>
    <hyperlink ref="U72" r:id="rId65" display="https://oxxo-colombia.oneapp.cl/static/img/Respuesta/63235758/c10391636aa52d896f9c53fc97b340ed.jpg" xr:uid="{3C52DA61-FBB1-4D6F-9749-2F6EBAB64F8A}"/>
    <hyperlink ref="U73" r:id="rId66" display="https://oxxo-colombia.oneapp.cl/static/img/Respuesta/63235871/7145912e4d14bfd5caa7936f3a4fec12.jpg" xr:uid="{BA205500-6774-40CF-9A4D-E1A962B205A3}"/>
    <hyperlink ref="U74" r:id="rId67" display="https://oxxo-colombia.oneapp.cl/static/img/Respuesta/63235847/6b506c7cab4e01f44d9398d3f2f8e012.jpg" xr:uid="{C86D965E-272D-4453-ADF7-A517EDF70C6F}"/>
    <hyperlink ref="U67" r:id="rId68" display="https://oxxo-colombia.oneapp.cl/static/img/Respuesta/63234280/1eb00ebff368e6719f9c1bc3b3edb8fd.jpg" xr:uid="{72669910-067C-4FC7-98A1-6A9BB24BC8B5}"/>
    <hyperlink ref="U70" r:id="rId69" display="https://oxxo-colombia.oneapp.cl/static/img/Respuesta/63235652/1fb2d400043bca38cf104da0f63ee849.jpg" xr:uid="{AC8C939F-AEF7-4A3A-9F78-778B95CBD55D}"/>
    <hyperlink ref="P67" r:id="rId70" xr:uid="{E37987FE-AF5D-4DEB-B664-891DC4852D0B}"/>
    <hyperlink ref="P70" r:id="rId71" xr:uid="{1338734E-D00E-44A9-9DF5-722C3F25A620}"/>
    <hyperlink ref="P75" r:id="rId72" xr:uid="{51B031BE-F5CD-4ACE-8FCE-F639FB0CC5EA}"/>
    <hyperlink ref="U75" r:id="rId73" display="https://oxxo-colombia.oneapp.cl/static/img/Respuesta/63236023/ac75ede8715a9f362f4a8edbdac1b1ba.jpg" xr:uid="{6A702970-6BB1-4BB1-9DAD-FE6DBBAA1342}"/>
    <hyperlink ref="U76" r:id="rId74" display="https://oxxo-colombia.oneapp.cl/static/img/Respuesta/63236045/61f38cb8a2537eb126a93f4752a4f3cf.jpg" xr:uid="{8BE8A29D-D913-43B8-8C20-8190AAAAB310}"/>
    <hyperlink ref="U77" r:id="rId75" display="https://oxxo-colombia.oneapp.cl/static/img/Respuesta/63236068/c868ccb2be43c2d4111c12a827094da7.jpg" xr:uid="{EDC74B54-9D2F-47F7-80A3-D26A94A57E13}"/>
    <hyperlink ref="U78" r:id="rId76" display="https://oxxo-colombia.oneapp.cl/static/img/Respuesta/63236267/086de637da14c4093d2c2bbe9e337aab.jpg" xr:uid="{052256C2-72DC-4FCB-B662-868FF9FDEE2F}"/>
    <hyperlink ref="U79" r:id="rId77" display="https://oxxo-colombia.oneapp.cl/static/img/Respuesta/63283434/7cc75b63444a0be61f41df29f8e2f7fe.jpg" xr:uid="{FF7AC104-2101-4419-9D5F-7A440D050A74}"/>
    <hyperlink ref="U80" r:id="rId78" display="https://oxxo-colombia.oneapp.cl/static/img/Respuesta/63290615/fe38ff36a53c7b1ce4c348c31beafeea.jpg" xr:uid="{A36ABA83-6F19-475A-873F-A964F55F810E}"/>
    <hyperlink ref="U81" r:id="rId79" display="https://oxxo-colombia.oneapp.cl/static/img/Respuesta/63291098/925b5afb34e9d861486cda56304edf36.jpg" xr:uid="{6433A232-305A-4C55-B11E-3D526F58D7B6}"/>
    <hyperlink ref="U82" r:id="rId80" display="https://oxxo-colombia.oneapp.cl/static/img/Respuesta/63293537/48e2c5117bc1a0a0052f685f2e7aa552.jpg" xr:uid="{696BDD28-CB3C-4509-95E6-BA6B486CAFB2}"/>
    <hyperlink ref="U83" r:id="rId81" display="https://oxxo-colombia.oneapp.cl/static/img/Respuesta/63293647/9188c0495b21b3c3d21ec7a66cbd5560.jpg" xr:uid="{0CFD8235-E62C-47AE-A839-D52D26688997}"/>
    <hyperlink ref="U84" r:id="rId82" display="https://oxxo-colombia.oneapp.cl/static/img/Respuesta/63293713/30ff14b7ee68ac494983b41968add7a0.jpg" xr:uid="{661FC6E5-5084-4668-9D92-55363BC65475}"/>
    <hyperlink ref="U85" r:id="rId83" display="https://oxxo-colombia.oneapp.cl/static/img/Respuesta/63294087/8e132cc7d7522521b5f96d14bd4e2184.jpg" xr:uid="{021C7EA7-EEE3-4B48-B1B7-58DEC58C9ABD}"/>
    <hyperlink ref="U86" r:id="rId84" display="https://oxxo-colombia.oneapp.cl/static/img/Respuesta/63294600/7253b93995d8241c71ecc67ada873de3.jpg" xr:uid="{0976F6E3-D5FA-47D9-8A66-DE4575A633F2}"/>
    <hyperlink ref="U87" r:id="rId85" display="https://oxxo-colombia.oneapp.cl/static/img/Respuesta/63294622/fccf04f93e0c28772b29a0162ac620e3.jpg" xr:uid="{49FCAC14-83F3-4341-A7D8-A611959CA214}"/>
    <hyperlink ref="U88" r:id="rId86" display="https://oxxo-colombia.oneapp.cl/static/img/Respuesta/63294725/7a5a93d337453201c642d86559be42f6.jpg" xr:uid="{010E6D05-0104-49F1-A63B-4AE3FFA2E159}"/>
    <hyperlink ref="U89" r:id="rId87" display="https://oxxo-colombia.oneapp.cl/static/img/Respuesta/63339353/7705c68cb3cdebfb03b58f15fa9ec0c1.jpg" xr:uid="{555481A0-2FDF-45F1-9C53-F54054577077}"/>
    <hyperlink ref="U99" r:id="rId88" display="https://oxxo-colombia.oneapp.cl/static/img/Respuesta/63380340/dd79b6fe5bba15fc123c186fe236a1da.jpg" xr:uid="{5B3150EB-48A4-4179-811C-9D103E2FB96E}"/>
    <hyperlink ref="U90" r:id="rId89" display="https://oxxo-colombia.oneapp.cl/static/img/Respuesta/63387714/f124d584558a775b084329f8f42f49cf.jpg" xr:uid="{569502A2-B7EC-420F-AE15-BE9035EC329A}"/>
    <hyperlink ref="U91" r:id="rId90" display="https://oxxo-colombia.oneapp.cl/static/img/Respuesta/63388027/680b1b6f582e2dd2d7445085ee62dc31.jpg" xr:uid="{B542BBB1-8FEC-40F5-B257-E3BA68425489}"/>
    <hyperlink ref="U92" r:id="rId91" display="https://oxxo-colombia.oneapp.cl/static/img/Respuesta/63388253/8450c81c64856218bb75aca92028cb1f.jpg" xr:uid="{1F4370D0-9E4C-4C28-AA80-55DA1B90C95F}"/>
    <hyperlink ref="U93" r:id="rId92" display="https://oxxo-colombia.oneapp.cl/static/img/Respuesta/63388428/172038a89dc04695c868088d514e5543.jpg" xr:uid="{46F49280-7858-450C-B9C6-32B3754C7101}"/>
    <hyperlink ref="U94" r:id="rId93" display="https://oxxo-colombia.oneapp.cl/static/img/Respuesta/63393109/ef98d3e838bb69e0a3158b1069057235.jpg" xr:uid="{9DA1D71E-F6C9-42EF-A8AE-5F3228937089}"/>
    <hyperlink ref="U95" r:id="rId94" display="https://oxxo-colombia.oneapp.cl/static/img/Respuesta/63393355/30fd5d94d97855af9d13c23b09032a59.jpg" xr:uid="{49E18154-205C-47B8-AC2D-D13169CAEC67}"/>
    <hyperlink ref="U96" r:id="rId95" display="https://oxxo-colombia.oneapp.cl/static/img/Respuesta/63394453/4ce43c6a140a896060f568d78a9c6b47.jpg" xr:uid="{DA0FFE79-8190-48A6-8D3A-D37A2E4CD697}"/>
    <hyperlink ref="U97" r:id="rId96" display="https://oxxo-colombia.oneapp.cl/static/img/Respuesta/63394569/5e176010cd3a3d3e5cef11dfd46a4adc.jpg" xr:uid="{240A7D0F-2561-4F04-92FA-F73440B5C7A1}"/>
    <hyperlink ref="U100" r:id="rId97" display="https://oxxo-colombia.oneapp.cl/static/img/Respuesta/63397732/f30122521ce1f02acb830415f1166331.jpg" xr:uid="{2A895B35-9DA8-4E59-9DF8-FF3FBCDB5295}"/>
    <hyperlink ref="U101" r:id="rId98" display="https://oxxo-colombia.oneapp.cl/static/img/Respuesta/63400250/fe4023da6d233af07cc9ae77e06bbf53.jpg" xr:uid="{33E5768A-595A-4FAC-AB72-BE592950464E}"/>
    <hyperlink ref="U98" r:id="rId99" display="https://oxxo-colombia.oneapp.cl/static/img/Respuesta/63401994/a2d2c202bcad290c05f7064100e1b996.jpg" xr:uid="{F4D9F691-40D1-4E06-BB2F-AA263E500BF9}"/>
    <hyperlink ref="P98" r:id="rId100" xr:uid="{312BF6C5-CC46-4C09-BE16-666B309F56D2}"/>
    <hyperlink ref="P99" r:id="rId101" xr:uid="{416DE95D-C959-4A65-B965-21E8208B767A}"/>
    <hyperlink ref="P100" r:id="rId102" xr:uid="{312D9F5C-AE04-413C-BE14-2F6E009EC12B}"/>
    <hyperlink ref="P101" r:id="rId103" xr:uid="{9361843F-6499-4FFA-BE66-46C084E8F479}"/>
    <hyperlink ref="U102" r:id="rId104" display="https://oxxo-colombia.oneapp.cl/static/img/Respuesta/63468888/e21c224365c6b6fbd1bf9e26ead23e92.jpg" xr:uid="{5C0DE082-F07E-48E8-9F71-33CB7D5A1DFF}"/>
    <hyperlink ref="U103" r:id="rId105" display="https://oxxo-colombia.oneapp.cl/static/img/Respuesta/63470672/ee68e71181e2f90364fcf0ea3365e8f0.jpg" xr:uid="{4B12E777-0FFA-4554-8979-7908BA8A0079}"/>
    <hyperlink ref="U104" r:id="rId106" display="https://oxxo-colombia.oneapp.cl/static/img/Respuesta/63472069/f53bdcedd8d975c27547092f9995220b.jpg" xr:uid="{7636AA66-C18E-4FFB-A497-2F701827FA82}"/>
    <hyperlink ref="U105" r:id="rId107" display="https://oxxo-colombia.oneapp.cl/static/img/Respuesta/63472348/12261a71bb8bb40f9cbf719a9710877a.jpg" xr:uid="{2A753C56-E6C1-47E5-8459-222CBAD58754}"/>
    <hyperlink ref="U106" r:id="rId108" display="https://oxxo-colombia.oneapp.cl/static/img/Respuesta/63473872/8ced33c2aa175cdc87cce1e11e84289d.jpg" xr:uid="{C4897E51-3845-40FB-BAAC-2BC3942D594A}"/>
    <hyperlink ref="U107" r:id="rId109" display="https://oxxo-colombia.oneapp.cl/static/img/Respuesta/63479989/0d67d0038cba0e2747d103ff8d71578a.jpg" xr:uid="{887C847C-8D78-4FAC-B216-039CCFF51FD5}"/>
    <hyperlink ref="U108" r:id="rId110" display="https://oxxo-colombia.oneapp.cl/static/img/Respuesta/63480559/b4e8d1bb66dbafb897aca7ddf8cf17fe.jpg" xr:uid="{6CDD3848-9FB0-43C2-B491-A5742FCF1784}"/>
    <hyperlink ref="P102" r:id="rId111" xr:uid="{A906118C-3E10-4B32-9927-871261B081AD}"/>
    <hyperlink ref="P104" r:id="rId112" xr:uid="{AD7C6033-EE88-4460-8C69-5C342D4AE27B}"/>
    <hyperlink ref="P105" r:id="rId113" xr:uid="{C92FE86F-20B9-4879-BBAB-09BCC99F66E5}"/>
    <hyperlink ref="P106" r:id="rId114" xr:uid="{5B3A8757-03DC-49C4-8648-FE7CE19BF2F2}"/>
    <hyperlink ref="P107" r:id="rId115" xr:uid="{11533F0E-802E-4E7C-8914-21F694E92568}"/>
    <hyperlink ref="P108" r:id="rId116" xr:uid="{BC63F9A0-C65B-49A0-A279-61DE003024E0}"/>
    <hyperlink ref="P80" r:id="rId117" xr:uid="{27F95568-36B6-4101-AFA1-885DEF7CBCAF}"/>
    <hyperlink ref="U109" r:id="rId118" display="https://oxxo-colombia.oneapp.cl/static/img/Respuesta/63481463/ec3b5f4110968e87a1580adf4a6fa097.jpg" xr:uid="{1931275B-A9B2-4CD7-9867-DF2948929D5A}"/>
    <hyperlink ref="P109" r:id="rId119" xr:uid="{B25D9217-27EA-4523-849D-6356CE1C4032}"/>
    <hyperlink ref="P45" r:id="rId120" xr:uid="{017E543F-08C4-40DC-8E31-E69A3F7901B4}"/>
    <hyperlink ref="P46" r:id="rId121" xr:uid="{338A2160-BD42-418A-AAA3-9929D5D65C68}"/>
    <hyperlink ref="U110" r:id="rId122" display="https://oxxo-colombia.oneapp.cl/static/img/Respuesta/63531072/40f0ec34b6a6d208a3be21783609d112.jpg" xr:uid="{451441FD-5B52-48FA-B5E9-419AA33A2A42}"/>
    <hyperlink ref="U111" r:id="rId123" display="https://oxxo-colombia.oneapp.cl/static/img/Respuesta/63542159/8c778d83efbfb90bada865369b9af7ea.jpg" xr:uid="{ACC29341-5AD3-421A-9B70-73C7639E529D}"/>
    <hyperlink ref="U112" r:id="rId124" display="https://oxxo-colombia.oneapp.cl/static/img/Respuesta/63544029/695857ab517fc87a28d8771d12e45a5d.jpg" xr:uid="{EA5898FF-D4FB-411E-AD33-DD45059BE6AF}"/>
    <hyperlink ref="U113" r:id="rId125" display="https://oxxo-colombia.oneapp.cl/static/img/Respuesta/63546844/38eb463ec99868d56379ebddff280999.jpg" xr:uid="{6C685DA9-4A48-46EE-9F9B-9C334197D5EA}"/>
    <hyperlink ref="P110" r:id="rId126" xr:uid="{B54F31A4-467B-4126-9CFA-87912EB59245}"/>
    <hyperlink ref="P111" r:id="rId127" xr:uid="{40B15014-BAAB-4649-B597-D66A09EDCAD9}"/>
    <hyperlink ref="P112" r:id="rId128" xr:uid="{B8655B0B-5A6C-4C25-8DCD-D23D6BB9487A}"/>
    <hyperlink ref="P113" r:id="rId129" xr:uid="{D417A849-1B1B-4C3D-833F-78B1ACEC270C}"/>
    <hyperlink ref="P116" r:id="rId130" xr:uid="{2D1CF5F6-5343-4B39-AF1D-3A0F77B27FDF}"/>
    <hyperlink ref="P117" r:id="rId131" xr:uid="{7EE615A1-AA47-496F-B4AC-C9239DD480CE}"/>
    <hyperlink ref="P118" r:id="rId132" xr:uid="{99EE3668-5161-497A-A713-7B9100813FA4}"/>
    <hyperlink ref="P119" r:id="rId133" xr:uid="{FBEC87B9-F905-42AB-8005-613D5EF2BDCF}"/>
    <hyperlink ref="P124" r:id="rId134" xr:uid="{34A8224D-B280-4B21-BB56-B30A4D7D0927}"/>
    <hyperlink ref="U114" r:id="rId135" display="https://oxxo-colombia.oneapp.cl/static/img/Respuesta/63550799/7fce2bef814c0ddfc87ad38f65ead5f1.jpg" xr:uid="{A38A515D-C06B-477B-BB64-F52AAFCAA49F}"/>
    <hyperlink ref="U115" r:id="rId136" display="https://oxxo-colombia.oneapp.cl/static/img/Respuesta/63551759/d9ded4f3477658d8a847ca77fdc6eb52.jpg" xr:uid="{B5595ABE-1F5F-461C-AC35-AB0F8243D7B2}"/>
    <hyperlink ref="U123" r:id="rId137" display="https://oxxo-colombia.oneapp.cl/static/img/Respuesta/63552412/6d1a4ffcf3090591e70f721aebd54634.jpg" xr:uid="{3F356F7D-004B-464D-AD35-029EC06DD182}"/>
    <hyperlink ref="U116" r:id="rId138" display="https://oxxo-colombia.oneapp.cl/static/img/Respuesta/63552544/4e6e5085a213140e3a0a0ee1a09dee63.jpg" xr:uid="{33655276-52AC-4CAE-BB6F-EBD24753FC47}"/>
    <hyperlink ref="U117" r:id="rId139" display="https://oxxo-colombia.oneapp.cl/static/img/Respuesta/63602816/63ef684524001c49443e257a3e4fc932.jpg" xr:uid="{39CD3522-4438-42D7-8315-53CB0F5B0A87}"/>
    <hyperlink ref="U118" r:id="rId140" display="https://oxxo-colombia.oneapp.cl/static/img/Respuesta/63603361/76d8a2201e44acc91d02e90d683a8ca0.jpg" xr:uid="{216C2711-DBA1-4DEE-A615-B4C4F911CEF9}"/>
    <hyperlink ref="U119" r:id="rId141" display="https://oxxo-colombia.oneapp.cl/static/img/Respuesta/63604911/efd5ad2dfdba24240a315d39fda3f20b.jpg" xr:uid="{CA991122-F78A-4303-AA7E-E8D626F14560}"/>
    <hyperlink ref="U124" r:id="rId142" display="https://oxxo-colombia.oneapp.cl/static/img/Respuesta/63608431/f303c5307da69bdb8cf2e38945bf5bcd.jpg" xr:uid="{453A2D4E-1AD5-4CCB-A1F5-77059B776A24}"/>
    <hyperlink ref="P120" r:id="rId143" xr:uid="{314DC89B-C056-4403-B84F-A30E454DA91C}"/>
    <hyperlink ref="P121" r:id="rId144" xr:uid="{95B49313-0FC1-4BE9-BA20-CEA408D485AC}"/>
    <hyperlink ref="P122" r:id="rId145" xr:uid="{1518557A-D41D-4B62-AC41-C05B6C8EA657}"/>
    <hyperlink ref="U120" r:id="rId146" display="https://oxxo-colombia.oneapp.cl/static/img/Respuesta/63610159/3130ce22bb65b3eb2b7b35c38695115a.jpg" xr:uid="{5BEA16EB-05D0-4502-B715-6E9F24982C06}"/>
    <hyperlink ref="U121" r:id="rId147" display="https://oxxo-colombia.oneapp.cl/static/img/Respuesta/63611056/daf685ade0811b4512d8cf488d4a0419.jpg" xr:uid="{46BA86D1-99C3-4ACE-B20F-00E4D0783406}"/>
    <hyperlink ref="U122" r:id="rId148" display="https://oxxo-colombia.oneapp.cl/static/img/Respuesta/63611910/8411c8a500eacba5053c516ec5abd6f7.jpg" xr:uid="{38F41E34-D167-4F8C-B63F-3B5E89BDDBEE}"/>
    <hyperlink ref="P74" r:id="rId149" xr:uid="{407E9F66-A1FD-48CD-9FD9-1EFD18D82E52}"/>
    <hyperlink ref="P82" r:id="rId150" xr:uid="{17C51A6B-2713-4084-9E84-58DC54047564}"/>
    <hyperlink ref="U125" r:id="rId151" display="https://oxxo-colombia.oneapp.cl/static/img/Respuesta/63615183/39c6bdf89140586583c69a268ec958ea.jpg" xr:uid="{0CA7CFED-9A1F-42E6-A82C-A558D3AC1C30}"/>
    <hyperlink ref="U126" r:id="rId152" display="https://oxxo-colombia.oneapp.cl/static/img/Respuesta/63615669/1b70479b062c09a6161d12f15560be13.jpg" xr:uid="{478734AD-89E9-4708-BAFA-222E631543D5}"/>
    <hyperlink ref="U127" r:id="rId153" display="https://oxxo-colombia.oneapp.cl/static/img/Respuesta/63615803/cf06b379161dcd2edc87a7cf9d6289ac.jpg" xr:uid="{A28132A8-8913-4ABF-ACFE-7C53162CEF7C}"/>
    <hyperlink ref="U128" r:id="rId154" display="https://oxxo-colombia.oneapp.cl/static/img/Respuesta/63616513/e0a83f29fdfc72f089fadd4ee3a9a25c.jpg" xr:uid="{9509A55B-1943-471C-8438-E8BEB18D1180}"/>
    <hyperlink ref="U129" r:id="rId155" display="https://oxxo-colombia.oneapp.cl/static/img/Respuesta/63617738/009005a4e3cf71649eb1ecea4c3aba4e.jpg" xr:uid="{9DEFB84A-649F-4DB4-B77B-FDF52C28DED6}"/>
    <hyperlink ref="U130" r:id="rId156" display="https://oxxo-colombia.oneapp.cl/static/img/Respuesta/63617893/ea56504d8670899d3cf6c59247f55f22.jpg" xr:uid="{35D4BB59-BD31-4ED6-9621-01A8A9CF73F8}"/>
    <hyperlink ref="U131" r:id="rId157" display="https://oxxo-colombia.oneapp.cl/static/img/Respuesta/63618069/218ef180b9bea0990063544db4477aef.jpg" xr:uid="{962CA75F-1C90-4511-A545-7B04FDD0CB3A}"/>
    <hyperlink ref="U132" r:id="rId158" display="https://oxxo-colombia.oneapp.cl/static/img/Respuesta/63619629/932a368830c05903f15012da698e3198.jpg" xr:uid="{9DFB30CE-4B88-4392-9EE4-55053B54D427}"/>
    <hyperlink ref="U133" r:id="rId159" display="https://oxxo-colombia.oneapp.cl/static/img/Respuesta/63619721/ab35ce95c2db06bc22fb977b2f1ebdd1.jpg" xr:uid="{C8807C79-D7E6-4CF3-9099-DBAE753D8839}"/>
    <hyperlink ref="U134" r:id="rId160" display="https://oxxo-colombia.oneapp.cl/static/img/Respuesta/63620119/cff219be46492f11749c51fe867cd02c.jpg" xr:uid="{4435A24A-AFA8-4DDD-86D5-6DF8309D3A2A}"/>
    <hyperlink ref="U135" r:id="rId161" display="https://oxxo-colombia.oneapp.cl/static/img/Respuesta/63618223/front_0_1785455383_15.jpg" xr:uid="{713AF84F-32ED-466A-BFCC-64AD13645BA8}"/>
    <hyperlink ref="U136" r:id="rId162" display="https://oxxo-colombia.oneapp.cl/static/img/Respuesta/63618509/front_0_1785456379_15.jpg" xr:uid="{CAF56031-D341-4859-8D33-7123CE97683A}"/>
    <hyperlink ref="P145" r:id="rId163" xr:uid="{8381D61D-91A0-45BA-A91E-0EE4DFC10297}"/>
    <hyperlink ref="P72" r:id="rId164" xr:uid="{B706BA24-B1F6-4F4B-8F48-E8AB86A1E684}"/>
    <hyperlink ref="P150" r:id="rId165" xr:uid="{6BF2C107-4F97-4BB0-AB6E-43B32DFDF817}"/>
    <hyperlink ref="P153" r:id="rId166" xr:uid="{56013C55-03F1-4EB7-8391-751EAC976CE5}"/>
    <hyperlink ref="P62" r:id="rId167" display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 xr:uid="{4EAFF942-5D06-43F3-8BE5-B1D556F779FF}"/>
    <hyperlink ref="P159" r:id="rId168" xr:uid="{7E6882B2-C07B-4D0F-ADF0-8267FFE9EE30}"/>
    <hyperlink ref="P160" r:id="rId169" xr:uid="{834F6A5D-9668-4B79-8D41-71A4D90D1E54}"/>
    <hyperlink ref="P161" r:id="rId170" xr:uid="{65DE0728-16A3-47C3-98A4-5652BB7589AB}"/>
    <hyperlink ref="P162" r:id="rId171" xr:uid="{20AB9C14-5979-4A6C-8DCC-56784298DC9D}"/>
    <hyperlink ref="P163" r:id="rId172" xr:uid="{A7F2C141-1B1C-46E5-93E0-65E7A00368A4}"/>
    <hyperlink ref="P148" r:id="rId173" xr:uid="{A568D2FA-64B8-4A22-B37D-C81C89F461E2}"/>
    <hyperlink ref="P128" r:id="rId174" xr:uid="{05A405AE-83DE-4646-BF12-8863C5C995E1}"/>
    <hyperlink ref="P164" r:id="rId175" xr:uid="{A87BF8C5-1EF7-4CC8-9A25-72D74F391D8B}"/>
    <hyperlink ref="P165" r:id="rId176" xr:uid="{4717F827-891C-41CC-BDBE-AD876B5E8BBC}"/>
    <hyperlink ref="P166" r:id="rId177" xr:uid="{A516C4B1-1E88-4163-B84A-7BB7D1425606}"/>
    <hyperlink ref="P167" r:id="rId178" xr:uid="{856E4DFB-00D7-4C83-8B62-98564611238E}"/>
    <hyperlink ref="P168" r:id="rId179" xr:uid="{24E7CEF0-8BBD-47FF-99D2-9B49011C900C}"/>
    <hyperlink ref="P169" r:id="rId180" xr:uid="{96AD288C-ED0C-4044-B2B7-396857596F15}"/>
    <hyperlink ref="P171" r:id="rId181" xr:uid="{78705013-7D5C-411D-BD21-95EA764A04BC}"/>
    <hyperlink ref="P174" r:id="rId182" xr:uid="{AF80EA2C-6DBB-4BC9-A644-A0AA493FACB4}"/>
    <hyperlink ref="P173" r:id="rId183" xr:uid="{6D1115D8-6B74-424B-B3FF-3EB4762E1E90}"/>
    <hyperlink ref="P170" r:id="rId184" xr:uid="{30F033E2-313A-4F1F-82A8-6318DA5C22F4}"/>
    <hyperlink ref="P175" r:id="rId185" xr:uid="{35E7954A-7783-47BA-A081-CB2987FF863A}"/>
    <hyperlink ref="P176" r:id="rId186" xr:uid="{C1EED8F6-7811-45DA-8FB1-11338D029DCB}"/>
    <hyperlink ref="P180" r:id="rId187" xr:uid="{118BAEB5-5CAE-4DAC-AF67-246D7DFCE4F1}"/>
    <hyperlink ref="P181" r:id="rId188" xr:uid="{FE7EAE5D-A166-4606-9CB4-9AF99D2B6021}"/>
    <hyperlink ref="P182" r:id="rId189" xr:uid="{64A4099E-C063-412F-BA91-9AA5283378E6}"/>
    <hyperlink ref="P183" r:id="rId190" xr:uid="{67E89B19-9464-43F5-A093-0B00464EED55}"/>
    <hyperlink ref="P178" r:id="rId191" xr:uid="{BDEB322F-432E-49CB-97DE-DCF3C242031A}"/>
    <hyperlink ref="P184" r:id="rId192" xr:uid="{D09C96BA-7492-410A-ADAB-CBF8F9B12FCA}"/>
    <hyperlink ref="P185" r:id="rId193" xr:uid="{1E25F9BC-9A8F-4F99-8A1B-52BDA63F934E}"/>
    <hyperlink ref="P186" r:id="rId194" xr:uid="{EE666B65-D69E-494A-BBC8-F73BB4C1D491}"/>
    <hyperlink ref="P187" r:id="rId195" xr:uid="{B9B9E0DA-A898-4636-B522-69262E6CF889}"/>
    <hyperlink ref="P190" r:id="rId196" xr:uid="{775B5FE6-3CAA-4DD0-93A3-0FD7E54EFDDE}"/>
    <hyperlink ref="P191" r:id="rId197" xr:uid="{00897C9D-A7EE-4E2B-A01B-D056EE41B80D}"/>
    <hyperlink ref="P192" r:id="rId198" xr:uid="{63BCECA4-CA59-4C43-8AF4-E997E2BCF30E}"/>
    <hyperlink ref="P127" r:id="rId199" xr:uid="{B6EBE24C-CD06-4C97-B35B-9A2E16FB7AF4}"/>
    <hyperlink ref="P195" r:id="rId200" xr:uid="{9C8D52F2-03A6-4CCC-898A-D7685077859D}"/>
    <hyperlink ref="P196" r:id="rId201" xr:uid="{C01EC464-0B60-41C6-B4EA-3894547146AE}"/>
    <hyperlink ref="P197" r:id="rId202" xr:uid="{EDACD463-83AD-4F85-9CD6-072996257403}"/>
    <hyperlink ref="P198" r:id="rId203" xr:uid="{37FDA104-1738-4C83-AE2A-E0A200C546AE}"/>
    <hyperlink ref="P193" r:id="rId204" xr:uid="{ABF816AF-9982-4DD0-9027-1CAA40B43571}"/>
    <hyperlink ref="P199" r:id="rId205" xr:uid="{E6AAF908-03BC-47E8-B6B3-00CD7110845D}"/>
    <hyperlink ref="U199" r:id="rId206" xr:uid="{DDDA19CB-DC7F-4AE7-BA57-011903B740B1}"/>
    <hyperlink ref="P200" r:id="rId207" xr:uid="{7289486C-4F63-43A0-9ADD-5D62FDFFF3C4}"/>
    <hyperlink ref="U200" r:id="rId208" xr:uid="{1150D38C-0CFE-429A-A7F3-515EE9ACB7C0}"/>
    <hyperlink ref="P202" r:id="rId209" xr:uid="{45F0C4F7-275A-4CDE-B84C-48B657377821}"/>
    <hyperlink ref="P201" r:id="rId210" xr:uid="{740C7439-73C9-4871-A739-30FC69EAE109}"/>
    <hyperlink ref="P203" r:id="rId211" xr:uid="{0235E501-6E65-4D18-B6AA-3E7B06730598}"/>
    <hyperlink ref="P204" r:id="rId212" xr:uid="{1F490030-893C-4E82-8B88-3405D41CE89B}"/>
    <hyperlink ref="P205" r:id="rId213" xr:uid="{1EDB4C47-D17F-451B-9BC4-2251FCFC9EA0}"/>
    <hyperlink ref="P206" r:id="rId214" xr:uid="{0FAB452C-E82D-4AC3-97AD-3A564E83CFA4}"/>
    <hyperlink ref="P207" r:id="rId215" xr:uid="{7C6991D2-8734-4E87-9465-305796C2DE6C}"/>
    <hyperlink ref="P208" r:id="rId216" xr:uid="{D54E68D3-1EA6-487F-87AA-3044FC55C86C}"/>
    <hyperlink ref="P209" r:id="rId217" xr:uid="{F1B82BF8-2CE4-41A8-B3DE-E974C36674A1}"/>
    <hyperlink ref="P210" r:id="rId218" xr:uid="{1E9A1E5A-E8B5-4A4E-AE80-E90B4DD1B855}"/>
    <hyperlink ref="P213" r:id="rId219" xr:uid="{4ACA2C44-E1F4-4CD6-9CDC-09F997AF2B82}"/>
    <hyperlink ref="P215" r:id="rId220" xr:uid="{CC2AB340-B592-4D9E-92C0-850FCAAC06DF}"/>
    <hyperlink ref="P216" r:id="rId221" xr:uid="{C0D7D83F-7CAB-47EE-811C-5437C4B503FB}"/>
    <hyperlink ref="P219" r:id="rId222" xr:uid="{32E6835B-B6DC-4DA3-A808-8D351B79545D}"/>
    <hyperlink ref="P221" r:id="rId223" xr:uid="{9DFF40D9-CAA4-47DA-A9FF-11E7044DF04D}"/>
  </hyperlinks>
  <pageMargins left="0.75" right="0.75" top="1" bottom="1" header="0.5" footer="0.5"/>
  <headerFooter>
    <oddFooter>&amp;C_x000D_&amp;1#&amp;"Calibri"&amp;10&amp;K000000 OXXO | Uso Interno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A460201-850D-40BF-B552-8CDD0B213A94}">
          <x14:formula1>
            <xm:f>Listas!$A$2:$A$11</xm:f>
          </x14:formula1>
          <xm:sqref>AH2:AH101 AH107:AH110 AH103:AH105 AH121:AH125 AH130 AH150:AH152 AH145:AH147 AH159 AH154 AH116:AH119 AH134 AH142 AH140 AH137 AH163:AH166 AH192 AH189 AH196 AH171:AH172 AH128 AH200</xm:sqref>
        </x14:dataValidation>
        <x14:dataValidation type="list" allowBlank="1" showInputMessage="1" showErrorMessage="1" xr:uid="{732435FC-2F13-4434-9C66-E0D6B66D389B}">
          <x14:formula1>
            <xm:f>Listas!$C$2:$C$14</xm:f>
          </x14:formula1>
          <xm:sqref>AF2:AF110</xm:sqref>
        </x14:dataValidation>
      </x14:dataValidations>
    </ext>
    <ext xmlns:x15="http://schemas.microsoft.com/office/spreadsheetml/2010/11/main" uri="{F7C9EE02-42E1-4005-9D12-6889AFFD525C}">
      <x15:webExtensions xmlns:xm="http://schemas.microsoft.com/office/excel/2006/main">
        <x15:webExtension appRef="{D1D96084-D2D0-44CF-A08D-F551EC34CEFB}">
          <xm:f>Visitas_Operaciones!#REF!</xm:f>
        </x15:webExtension>
      </x15:webExtens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1DA9B-C438-4B10-A258-1F0596C915A6}">
  <dimension ref="A1:U13"/>
  <sheetViews>
    <sheetView workbookViewId="0">
      <selection activeCell="O3" sqref="O3"/>
    </sheetView>
  </sheetViews>
  <sheetFormatPr defaultColWidth="11.42578125" defaultRowHeight="14.45"/>
  <sheetData>
    <row r="1" spans="1:21" ht="174">
      <c r="A1" s="48">
        <v>3764701</v>
      </c>
      <c r="B1" s="48" t="s">
        <v>22</v>
      </c>
      <c r="C1" s="48" t="s">
        <v>196</v>
      </c>
      <c r="D1" s="49">
        <v>46248</v>
      </c>
      <c r="E1" s="49">
        <v>46248</v>
      </c>
      <c r="F1" s="50">
        <v>0.63749999999999996</v>
      </c>
      <c r="G1" s="48">
        <v>2026</v>
      </c>
      <c r="H1" s="48">
        <v>8</v>
      </c>
      <c r="I1" s="48" t="s">
        <v>138</v>
      </c>
      <c r="J1" s="48" t="s">
        <v>1319</v>
      </c>
      <c r="K1" s="48"/>
      <c r="L1" s="48" t="s">
        <v>1320</v>
      </c>
      <c r="M1" s="48" t="s">
        <v>4</v>
      </c>
      <c r="N1" s="48" t="s">
        <v>85</v>
      </c>
      <c r="O1" s="48" t="s">
        <v>473</v>
      </c>
      <c r="P1" s="48" t="s">
        <v>1379</v>
      </c>
      <c r="Q1" s="48" t="s">
        <v>168</v>
      </c>
      <c r="R1" s="48" t="s">
        <v>144</v>
      </c>
      <c r="S1" s="48">
        <v>3108098024</v>
      </c>
      <c r="T1" s="48" t="s">
        <v>203</v>
      </c>
      <c r="U1" s="48" t="s">
        <v>1322</v>
      </c>
    </row>
    <row r="2" spans="1:21" ht="43.5" customHeight="1">
      <c r="A2" s="51">
        <v>3764709</v>
      </c>
      <c r="B2" s="51" t="s">
        <v>22</v>
      </c>
      <c r="C2" s="51" t="s">
        <v>196</v>
      </c>
      <c r="D2" s="52">
        <v>46248</v>
      </c>
      <c r="E2" s="52">
        <v>46248</v>
      </c>
      <c r="F2" s="53">
        <v>0.6479166666666667</v>
      </c>
      <c r="G2" s="51">
        <v>2026</v>
      </c>
      <c r="H2" s="51">
        <v>8</v>
      </c>
      <c r="I2" s="51" t="s">
        <v>138</v>
      </c>
      <c r="J2" s="51" t="s">
        <v>1323</v>
      </c>
      <c r="K2" s="51"/>
      <c r="L2" s="51" t="s">
        <v>1324</v>
      </c>
      <c r="M2" s="51" t="s">
        <v>4</v>
      </c>
      <c r="N2" s="51" t="s">
        <v>85</v>
      </c>
      <c r="O2" s="51" t="s">
        <v>473</v>
      </c>
      <c r="P2" s="51" t="s">
        <v>1380</v>
      </c>
      <c r="Q2" s="51" t="s">
        <v>168</v>
      </c>
      <c r="R2" s="51" t="s">
        <v>144</v>
      </c>
      <c r="S2" s="51">
        <v>3178533517</v>
      </c>
      <c r="T2" s="51" t="s">
        <v>1326</v>
      </c>
      <c r="U2" s="48" t="s">
        <v>1327</v>
      </c>
    </row>
    <row r="3" spans="1:21" ht="174">
      <c r="A3" s="48">
        <v>3764725</v>
      </c>
      <c r="B3" s="48" t="s">
        <v>1307</v>
      </c>
      <c r="C3" s="48" t="s">
        <v>1308</v>
      </c>
      <c r="D3" s="49">
        <v>46248</v>
      </c>
      <c r="E3" s="49">
        <v>46248</v>
      </c>
      <c r="F3" s="50">
        <v>0.67083333333333328</v>
      </c>
      <c r="G3" s="48">
        <v>2026</v>
      </c>
      <c r="H3" s="48">
        <v>8</v>
      </c>
      <c r="I3" s="48" t="s">
        <v>138</v>
      </c>
      <c r="J3" s="48" t="s">
        <v>1328</v>
      </c>
      <c r="K3" s="48"/>
      <c r="L3" s="48" t="s">
        <v>1381</v>
      </c>
      <c r="M3" s="48" t="s">
        <v>5</v>
      </c>
      <c r="N3" s="48" t="s">
        <v>90</v>
      </c>
      <c r="O3" s="48" t="s">
        <v>566</v>
      </c>
      <c r="P3" s="48" t="s">
        <v>1382</v>
      </c>
      <c r="Q3" s="48" t="s">
        <v>143</v>
      </c>
      <c r="R3" s="48" t="s">
        <v>225</v>
      </c>
      <c r="S3" s="48" t="s">
        <v>1331</v>
      </c>
      <c r="T3" s="48">
        <v>6053303333</v>
      </c>
      <c r="U3" s="48" t="s">
        <v>1332</v>
      </c>
    </row>
    <row r="4" spans="1:21" ht="174">
      <c r="A4" s="48">
        <v>3764735</v>
      </c>
      <c r="B4" s="48" t="s">
        <v>1307</v>
      </c>
      <c r="C4" s="48" t="s">
        <v>1308</v>
      </c>
      <c r="D4" s="49">
        <v>46248</v>
      </c>
      <c r="E4" s="49">
        <v>46248</v>
      </c>
      <c r="F4" s="50">
        <v>0.67986111111111114</v>
      </c>
      <c r="G4" s="48">
        <v>2026</v>
      </c>
      <c r="H4" s="48">
        <v>8</v>
      </c>
      <c r="I4" s="48" t="s">
        <v>138</v>
      </c>
      <c r="J4" s="48" t="s">
        <v>1333</v>
      </c>
      <c r="K4" s="48"/>
      <c r="L4" s="48" t="s">
        <v>1334</v>
      </c>
      <c r="M4" s="48" t="s">
        <v>5</v>
      </c>
      <c r="N4" s="48" t="s">
        <v>90</v>
      </c>
      <c r="O4" s="48" t="s">
        <v>566</v>
      </c>
      <c r="P4" s="48" t="s">
        <v>1383</v>
      </c>
      <c r="Q4" s="48" t="s">
        <v>224</v>
      </c>
      <c r="R4" s="48" t="s">
        <v>225</v>
      </c>
      <c r="S4" s="48">
        <v>3112377166</v>
      </c>
      <c r="T4" s="48" t="s">
        <v>1288</v>
      </c>
      <c r="U4" s="48" t="s">
        <v>1336</v>
      </c>
    </row>
    <row r="5" spans="1:21" ht="57.95" customHeight="1">
      <c r="A5" s="51">
        <v>3764780</v>
      </c>
      <c r="B5" s="51" t="s">
        <v>67</v>
      </c>
      <c r="C5" s="51" t="s">
        <v>433</v>
      </c>
      <c r="D5" s="52">
        <v>46248</v>
      </c>
      <c r="E5" s="52">
        <v>46248</v>
      </c>
      <c r="F5" s="53">
        <v>0.76388888888888884</v>
      </c>
      <c r="G5" s="51">
        <v>2026</v>
      </c>
      <c r="H5" s="51">
        <v>8</v>
      </c>
      <c r="I5" s="51" t="s">
        <v>138</v>
      </c>
      <c r="J5" s="51" t="s">
        <v>1337</v>
      </c>
      <c r="K5" s="51"/>
      <c r="L5" s="51" t="s">
        <v>1338</v>
      </c>
      <c r="M5" s="51" t="s">
        <v>4</v>
      </c>
      <c r="N5" s="51" t="s">
        <v>85</v>
      </c>
      <c r="O5" s="51" t="s">
        <v>519</v>
      </c>
      <c r="P5" s="51" t="s">
        <v>1339</v>
      </c>
      <c r="Q5" s="51" t="s">
        <v>168</v>
      </c>
      <c r="R5" s="51" t="s">
        <v>144</v>
      </c>
      <c r="S5" s="51">
        <v>3114551639</v>
      </c>
      <c r="T5" s="51" t="s">
        <v>643</v>
      </c>
      <c r="U5" s="48" t="s">
        <v>1340</v>
      </c>
    </row>
    <row r="6" spans="1:21" ht="174">
      <c r="A6" s="48">
        <v>3767870</v>
      </c>
      <c r="B6" s="48" t="s">
        <v>67</v>
      </c>
      <c r="C6" s="48" t="s">
        <v>433</v>
      </c>
      <c r="D6" s="49">
        <v>46249</v>
      </c>
      <c r="E6" s="49">
        <v>46249</v>
      </c>
      <c r="F6" s="50">
        <v>0.44374999999999998</v>
      </c>
      <c r="G6" s="48">
        <v>2026</v>
      </c>
      <c r="H6" s="48">
        <v>8</v>
      </c>
      <c r="I6" s="48" t="s">
        <v>138</v>
      </c>
      <c r="J6" s="48" t="s">
        <v>1341</v>
      </c>
      <c r="K6" s="48"/>
      <c r="L6" s="48" t="s">
        <v>1384</v>
      </c>
      <c r="M6" s="48" t="s">
        <v>4</v>
      </c>
      <c r="N6" s="48" t="s">
        <v>85</v>
      </c>
      <c r="O6" s="48" t="s">
        <v>519</v>
      </c>
      <c r="P6" s="48" t="s">
        <v>1385</v>
      </c>
      <c r="Q6" s="48" t="s">
        <v>168</v>
      </c>
      <c r="R6" s="48" t="s">
        <v>144</v>
      </c>
      <c r="S6" s="48">
        <v>3204119941</v>
      </c>
      <c r="T6" s="48" t="s">
        <v>1344</v>
      </c>
      <c r="U6" s="48" t="s">
        <v>1345</v>
      </c>
    </row>
    <row r="7" spans="1:21" ht="174">
      <c r="A7" s="48">
        <v>3767875</v>
      </c>
      <c r="B7" s="48" t="s">
        <v>67</v>
      </c>
      <c r="C7" s="48" t="s">
        <v>433</v>
      </c>
      <c r="D7" s="49">
        <v>46249</v>
      </c>
      <c r="E7" s="49">
        <v>46249</v>
      </c>
      <c r="F7" s="50">
        <v>0.4513888888888889</v>
      </c>
      <c r="G7" s="48">
        <v>2026</v>
      </c>
      <c r="H7" s="48">
        <v>8</v>
      </c>
      <c r="I7" s="48" t="s">
        <v>138</v>
      </c>
      <c r="J7" s="48" t="s">
        <v>1346</v>
      </c>
      <c r="K7" s="48"/>
      <c r="L7" s="48" t="s">
        <v>1347</v>
      </c>
      <c r="M7" s="48" t="s">
        <v>4</v>
      </c>
      <c r="N7" s="48" t="s">
        <v>85</v>
      </c>
      <c r="O7" s="48" t="s">
        <v>519</v>
      </c>
      <c r="P7" s="48" t="s">
        <v>1348</v>
      </c>
      <c r="Q7" s="48" t="s">
        <v>168</v>
      </c>
      <c r="R7" s="48" t="s">
        <v>480</v>
      </c>
      <c r="S7" s="48">
        <v>3112914286</v>
      </c>
      <c r="T7" s="48" t="s">
        <v>1349</v>
      </c>
      <c r="U7" s="48" t="s">
        <v>1350</v>
      </c>
    </row>
    <row r="8" spans="1:21" ht="174">
      <c r="A8" s="48">
        <v>3770954</v>
      </c>
      <c r="B8" s="48" t="s">
        <v>81</v>
      </c>
      <c r="C8" s="48" t="s">
        <v>81</v>
      </c>
      <c r="D8" s="49">
        <v>46250</v>
      </c>
      <c r="E8" s="49">
        <v>46250</v>
      </c>
      <c r="F8" s="50">
        <v>0.60972222222222228</v>
      </c>
      <c r="G8" s="48">
        <v>2026</v>
      </c>
      <c r="H8" s="48">
        <v>8</v>
      </c>
      <c r="I8" s="48" t="s">
        <v>138</v>
      </c>
      <c r="J8" s="48" t="s">
        <v>1351</v>
      </c>
      <c r="K8" s="48"/>
      <c r="L8" s="48" t="s">
        <v>1352</v>
      </c>
      <c r="M8" s="48" t="s">
        <v>4</v>
      </c>
      <c r="N8" s="48" t="s">
        <v>85</v>
      </c>
      <c r="O8" s="48" t="s">
        <v>519</v>
      </c>
      <c r="P8" s="48" t="s">
        <v>1353</v>
      </c>
      <c r="Q8" s="48" t="s">
        <v>143</v>
      </c>
      <c r="R8" s="48" t="s">
        <v>144</v>
      </c>
      <c r="S8" s="48">
        <v>3164705512</v>
      </c>
      <c r="T8" s="48" t="s">
        <v>276</v>
      </c>
      <c r="U8" s="48" t="s">
        <v>1354</v>
      </c>
    </row>
    <row r="9" spans="1:21" ht="174">
      <c r="A9" s="51">
        <v>3774021</v>
      </c>
      <c r="B9" s="51" t="s">
        <v>79</v>
      </c>
      <c r="C9" s="51" t="s">
        <v>630</v>
      </c>
      <c r="D9" s="52">
        <v>46251</v>
      </c>
      <c r="E9" s="52">
        <v>46251</v>
      </c>
      <c r="F9" s="53">
        <v>0.47847222222222224</v>
      </c>
      <c r="G9" s="51">
        <v>2026</v>
      </c>
      <c r="H9" s="51">
        <v>8</v>
      </c>
      <c r="I9" s="51" t="s">
        <v>138</v>
      </c>
      <c r="J9" s="51" t="s">
        <v>1355</v>
      </c>
      <c r="K9" s="51"/>
      <c r="L9" s="51" t="s">
        <v>1356</v>
      </c>
      <c r="M9" s="51" t="s">
        <v>4</v>
      </c>
      <c r="N9" s="51" t="s">
        <v>243</v>
      </c>
      <c r="O9" s="51" t="s">
        <v>519</v>
      </c>
      <c r="P9" s="51" t="s">
        <v>1386</v>
      </c>
      <c r="Q9" s="51" t="s">
        <v>224</v>
      </c>
      <c r="R9" s="51" t="s">
        <v>913</v>
      </c>
      <c r="S9" s="51" t="s">
        <v>1358</v>
      </c>
      <c r="T9" s="51">
        <v>3168160724</v>
      </c>
      <c r="U9" s="48" t="s">
        <v>1359</v>
      </c>
    </row>
    <row r="10" spans="1:21" ht="174">
      <c r="A10" s="48">
        <v>3774028</v>
      </c>
      <c r="B10" s="48" t="s">
        <v>79</v>
      </c>
      <c r="C10" s="48" t="s">
        <v>630</v>
      </c>
      <c r="D10" s="49">
        <v>46251</v>
      </c>
      <c r="E10" s="49">
        <v>46251</v>
      </c>
      <c r="F10" s="50">
        <v>0.48958333333333331</v>
      </c>
      <c r="G10" s="48">
        <v>2026</v>
      </c>
      <c r="H10" s="48">
        <v>8</v>
      </c>
      <c r="I10" s="48" t="s">
        <v>138</v>
      </c>
      <c r="J10" s="48" t="s">
        <v>1360</v>
      </c>
      <c r="K10" s="48"/>
      <c r="L10" s="48" t="s">
        <v>1361</v>
      </c>
      <c r="M10" s="48" t="s">
        <v>4</v>
      </c>
      <c r="N10" s="48" t="s">
        <v>243</v>
      </c>
      <c r="O10" s="48" t="s">
        <v>519</v>
      </c>
      <c r="P10" s="48" t="s">
        <v>1387</v>
      </c>
      <c r="Q10" s="48" t="s">
        <v>224</v>
      </c>
      <c r="R10" s="48" t="s">
        <v>913</v>
      </c>
      <c r="S10" s="48" t="s">
        <v>1363</v>
      </c>
      <c r="T10" s="48">
        <v>3202415408</v>
      </c>
      <c r="U10" s="48" t="s">
        <v>1364</v>
      </c>
    </row>
    <row r="11" spans="1:21" ht="174">
      <c r="A11" s="48">
        <v>3774099</v>
      </c>
      <c r="B11" s="48" t="s">
        <v>81</v>
      </c>
      <c r="C11" s="48" t="s">
        <v>81</v>
      </c>
      <c r="D11" s="49">
        <v>46251</v>
      </c>
      <c r="E11" s="49">
        <v>46251</v>
      </c>
      <c r="F11" s="50">
        <v>0.89375000000000004</v>
      </c>
      <c r="G11" s="48">
        <v>2026</v>
      </c>
      <c r="H11" s="48">
        <v>8</v>
      </c>
      <c r="I11" s="48" t="s">
        <v>138</v>
      </c>
      <c r="J11" s="48" t="s">
        <v>1365</v>
      </c>
      <c r="K11" s="48"/>
      <c r="L11" s="48" t="s">
        <v>1366</v>
      </c>
      <c r="M11" s="48" t="s">
        <v>4</v>
      </c>
      <c r="N11" s="48" t="s">
        <v>85</v>
      </c>
      <c r="O11" s="48" t="s">
        <v>519</v>
      </c>
      <c r="P11" s="48" t="s">
        <v>1367</v>
      </c>
      <c r="Q11" s="48" t="s">
        <v>143</v>
      </c>
      <c r="R11" s="48" t="s">
        <v>501</v>
      </c>
      <c r="S11" s="48">
        <v>3176427845</v>
      </c>
      <c r="T11" s="48" t="s">
        <v>276</v>
      </c>
      <c r="U11" s="48" t="s">
        <v>1368</v>
      </c>
    </row>
    <row r="12" spans="1:21" ht="174">
      <c r="A12" s="48">
        <v>3778996</v>
      </c>
      <c r="B12" s="48" t="s">
        <v>21</v>
      </c>
      <c r="C12" s="48" t="s">
        <v>149</v>
      </c>
      <c r="D12" s="49">
        <v>46252</v>
      </c>
      <c r="E12" s="49">
        <v>46252</v>
      </c>
      <c r="F12" s="50">
        <v>0.47430555555555554</v>
      </c>
      <c r="G12" s="48">
        <v>2026</v>
      </c>
      <c r="H12" s="48">
        <v>8</v>
      </c>
      <c r="I12" s="48" t="s">
        <v>138</v>
      </c>
      <c r="J12" s="48" t="s">
        <v>1369</v>
      </c>
      <c r="K12" s="48"/>
      <c r="L12" s="48" t="s">
        <v>1370</v>
      </c>
      <c r="M12" s="48" t="s">
        <v>4</v>
      </c>
      <c r="N12" s="48" t="s">
        <v>92</v>
      </c>
      <c r="O12" s="48" t="s">
        <v>473</v>
      </c>
      <c r="P12" s="48" t="s">
        <v>1388</v>
      </c>
      <c r="Q12" s="48" t="s">
        <v>143</v>
      </c>
      <c r="R12" s="48" t="s">
        <v>144</v>
      </c>
      <c r="S12" s="48">
        <v>3107937349</v>
      </c>
      <c r="T12" s="48" t="s">
        <v>1372</v>
      </c>
      <c r="U12" s="48" t="s">
        <v>1373</v>
      </c>
    </row>
    <row r="13" spans="1:21" ht="174">
      <c r="A13" s="48">
        <v>3779178</v>
      </c>
      <c r="B13" s="48" t="s">
        <v>21</v>
      </c>
      <c r="C13" s="48" t="s">
        <v>149</v>
      </c>
      <c r="D13" s="49">
        <v>46252</v>
      </c>
      <c r="E13" s="49">
        <v>46252</v>
      </c>
      <c r="F13" s="50">
        <v>0.67708333333333337</v>
      </c>
      <c r="G13" s="48">
        <v>2026</v>
      </c>
      <c r="H13" s="48">
        <v>8</v>
      </c>
      <c r="I13" s="48" t="s">
        <v>138</v>
      </c>
      <c r="J13" s="48" t="s">
        <v>1374</v>
      </c>
      <c r="K13" s="48"/>
      <c r="L13" s="48" t="s">
        <v>1375</v>
      </c>
      <c r="M13" s="48" t="s">
        <v>4</v>
      </c>
      <c r="N13" s="48" t="s">
        <v>85</v>
      </c>
      <c r="O13" s="48" t="s">
        <v>519</v>
      </c>
      <c r="P13" s="48" t="s">
        <v>1376</v>
      </c>
      <c r="Q13" s="48" t="s">
        <v>143</v>
      </c>
      <c r="R13" s="48" t="s">
        <v>501</v>
      </c>
      <c r="S13" s="48">
        <v>3246458336</v>
      </c>
      <c r="T13" s="48" t="s">
        <v>1377</v>
      </c>
      <c r="U13" s="48" t="s">
        <v>1378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79348-3AA6-4D3A-A2FE-14E557A0B482}">
  <dimension ref="A1:D37"/>
  <sheetViews>
    <sheetView workbookViewId="0">
      <selection activeCell="E14" sqref="E14"/>
    </sheetView>
  </sheetViews>
  <sheetFormatPr defaultColWidth="11.42578125" defaultRowHeight="14.45"/>
  <cols>
    <col min="1" max="1" width="29.85546875" bestFit="1" customWidth="1"/>
    <col min="2" max="2" width="12" bestFit="1" customWidth="1"/>
    <col min="3" max="4" width="7.42578125" bestFit="1" customWidth="1"/>
  </cols>
  <sheetData>
    <row r="1" spans="1:4">
      <c r="A1" t="s">
        <v>0</v>
      </c>
      <c r="B1" s="12" t="s">
        <v>355</v>
      </c>
      <c r="C1" s="12" t="s">
        <v>1389</v>
      </c>
      <c r="D1" s="12" t="s">
        <v>1390</v>
      </c>
    </row>
    <row r="2" spans="1:4">
      <c r="A2" t="str" cm="1">
        <f t="array" ref="A2:A34">_xlfn.UNIQUE(Visitas_Operaciones!B2:B124)</f>
        <v>SANDRA PADILLA</v>
      </c>
      <c r="B2" s="13">
        <f>COUNTIFS(Visitas_Operaciones!$B:$B,'Puntos potenciales Ope'!$A2,Visitas_Operaciones!$Y:$Y,'Puntos potenciales Ope'!B$1)</f>
        <v>1</v>
      </c>
      <c r="C2" s="13">
        <f>COUNTIFS(Visitas_Operaciones!$B:$B,'Puntos potenciales Ope'!$A2,Visitas_Operaciones!$Y:$Y,'Puntos potenciales Ope'!C$1)</f>
        <v>2</v>
      </c>
      <c r="D2" s="13">
        <f>COUNTIFS(Visitas_Operaciones!$B:$B,'Puntos potenciales Ope'!$A2,Visitas_Operaciones!$Y:$Y,'Puntos potenciales Ope'!D$1)</f>
        <v>0</v>
      </c>
    </row>
    <row r="3" spans="1:4">
      <c r="A3" t="str">
        <v>KATERIN  DIAZ ZORRO</v>
      </c>
      <c r="B3" s="13">
        <f>COUNTIFS(Visitas_Operaciones!$B:$B,'Puntos potenciales Ope'!$A3,Visitas_Operaciones!$Y:$Y,'Puntos potenciales Ope'!B$1)</f>
        <v>4</v>
      </c>
      <c r="C3" s="13">
        <f>COUNTIFS(Visitas_Operaciones!$B:$B,'Puntos potenciales Ope'!$A3,Visitas_Operaciones!$Y:$Y,'Puntos potenciales Ope'!C$1)</f>
        <v>0</v>
      </c>
      <c r="D3" s="13">
        <f>COUNTIFS(Visitas_Operaciones!$B:$B,'Puntos potenciales Ope'!$A3,Visitas_Operaciones!$Y:$Y,'Puntos potenciales Ope'!D$1)</f>
        <v>1</v>
      </c>
    </row>
    <row r="4" spans="1:4">
      <c r="A4" t="str">
        <v>JAIRO HERNANDEZ</v>
      </c>
      <c r="B4" s="13">
        <f>COUNTIFS(Visitas_Operaciones!$B:$B,'Puntos potenciales Ope'!$A4,Visitas_Operaciones!$Y:$Y,'Puntos potenciales Ope'!B$1)</f>
        <v>3</v>
      </c>
      <c r="C4" s="13">
        <f>COUNTIFS(Visitas_Operaciones!$B:$B,'Puntos potenciales Ope'!$A4,Visitas_Operaciones!$Y:$Y,'Puntos potenciales Ope'!C$1)</f>
        <v>1</v>
      </c>
      <c r="D4" s="13">
        <f>COUNTIFS(Visitas_Operaciones!$B:$B,'Puntos potenciales Ope'!$A4,Visitas_Operaciones!$Y:$Y,'Puntos potenciales Ope'!D$1)</f>
        <v>0</v>
      </c>
    </row>
    <row r="5" spans="1:4">
      <c r="A5" t="str">
        <v>Alejandro Gomez</v>
      </c>
      <c r="B5" s="13">
        <f>COUNTIFS(Visitas_Operaciones!$B:$B,'Puntos potenciales Ope'!$A5,Visitas_Operaciones!$Y:$Y,'Puntos potenciales Ope'!B$1)</f>
        <v>2</v>
      </c>
      <c r="C5" s="13">
        <f>COUNTIFS(Visitas_Operaciones!$B:$B,'Puntos potenciales Ope'!$A5,Visitas_Operaciones!$Y:$Y,'Puntos potenciales Ope'!C$1)</f>
        <v>1</v>
      </c>
      <c r="D5" s="13">
        <f>COUNTIFS(Visitas_Operaciones!$B:$B,'Puntos potenciales Ope'!$A5,Visitas_Operaciones!$Y:$Y,'Puntos potenciales Ope'!D$1)</f>
        <v>1</v>
      </c>
    </row>
    <row r="6" spans="1:4">
      <c r="A6" t="str">
        <v>CRISTIAN ESTUPIÑAN</v>
      </c>
      <c r="B6" s="13">
        <f>COUNTIFS(Visitas_Operaciones!$B:$B,'Puntos potenciales Ope'!$A6,Visitas_Operaciones!$Y:$Y,'Puntos potenciales Ope'!B$1)</f>
        <v>1</v>
      </c>
      <c r="C6" s="13">
        <f>COUNTIFS(Visitas_Operaciones!$B:$B,'Puntos potenciales Ope'!$A6,Visitas_Operaciones!$Y:$Y,'Puntos potenciales Ope'!C$1)</f>
        <v>0</v>
      </c>
      <c r="D6" s="13">
        <f>COUNTIFS(Visitas_Operaciones!$B:$B,'Puntos potenciales Ope'!$A6,Visitas_Operaciones!$Y:$Y,'Puntos potenciales Ope'!D$1)</f>
        <v>2</v>
      </c>
    </row>
    <row r="7" spans="1:4">
      <c r="A7" t="str">
        <v xml:space="preserve">Daniela  Menasse </v>
      </c>
      <c r="B7" s="13">
        <f>COUNTIFS(Visitas_Operaciones!$B:$B,'Puntos potenciales Ope'!$A7,Visitas_Operaciones!$Y:$Y,'Puntos potenciales Ope'!B$1)</f>
        <v>5</v>
      </c>
      <c r="C7" s="13">
        <f>COUNTIFS(Visitas_Operaciones!$B:$B,'Puntos potenciales Ope'!$A7,Visitas_Operaciones!$Y:$Y,'Puntos potenciales Ope'!C$1)</f>
        <v>0</v>
      </c>
      <c r="D7" s="13">
        <f>COUNTIFS(Visitas_Operaciones!$B:$B,'Puntos potenciales Ope'!$A7,Visitas_Operaciones!$Y:$Y,'Puntos potenciales Ope'!D$1)</f>
        <v>0</v>
      </c>
    </row>
    <row r="8" spans="1:4">
      <c r="A8" t="str">
        <v>Brayan Ortiz</v>
      </c>
      <c r="B8" s="13">
        <f>COUNTIFS(Visitas_Operaciones!$B:$B,'Puntos potenciales Ope'!$A8,Visitas_Operaciones!$Y:$Y,'Puntos potenciales Ope'!B$1)</f>
        <v>2</v>
      </c>
      <c r="C8" s="13">
        <f>COUNTIFS(Visitas_Operaciones!$B:$B,'Puntos potenciales Ope'!$A8,Visitas_Operaciones!$Y:$Y,'Puntos potenciales Ope'!C$1)</f>
        <v>0</v>
      </c>
      <c r="D8" s="13">
        <f>COUNTIFS(Visitas_Operaciones!$B:$B,'Puntos potenciales Ope'!$A8,Visitas_Operaciones!$Y:$Y,'Puntos potenciales Ope'!D$1)</f>
        <v>2</v>
      </c>
    </row>
    <row r="9" spans="1:4">
      <c r="A9" t="str">
        <v>Diana Marcela Arevalo Gonzalez</v>
      </c>
      <c r="B9" s="13">
        <f>COUNTIFS(Visitas_Operaciones!$B:$B,'Puntos potenciales Ope'!$A9,Visitas_Operaciones!$Y:$Y,'Puntos potenciales Ope'!B$1)</f>
        <v>2</v>
      </c>
      <c r="C9" s="13">
        <f>COUNTIFS(Visitas_Operaciones!$B:$B,'Puntos potenciales Ope'!$A9,Visitas_Operaciones!$Y:$Y,'Puntos potenciales Ope'!C$1)</f>
        <v>0</v>
      </c>
      <c r="D9" s="13">
        <f>COUNTIFS(Visitas_Operaciones!$B:$B,'Puntos potenciales Ope'!$A9,Visitas_Operaciones!$Y:$Y,'Puntos potenciales Ope'!D$1)</f>
        <v>1</v>
      </c>
    </row>
    <row r="10" spans="1:4">
      <c r="A10" t="str">
        <v>vicky Duque</v>
      </c>
      <c r="B10" s="13">
        <f>COUNTIFS(Visitas_Operaciones!$B:$B,'Puntos potenciales Ope'!$A10,Visitas_Operaciones!$Y:$Y,'Puntos potenciales Ope'!B$1)</f>
        <v>2</v>
      </c>
      <c r="C10" s="13">
        <f>COUNTIFS(Visitas_Operaciones!$B:$B,'Puntos potenciales Ope'!$A10,Visitas_Operaciones!$Y:$Y,'Puntos potenciales Ope'!C$1)</f>
        <v>0</v>
      </c>
      <c r="D10" s="13">
        <f>COUNTIFS(Visitas_Operaciones!$B:$B,'Puntos potenciales Ope'!$A10,Visitas_Operaciones!$Y:$Y,'Puntos potenciales Ope'!D$1)</f>
        <v>1</v>
      </c>
    </row>
    <row r="11" spans="1:4">
      <c r="A11" t="str">
        <v>CHRISTIAN CAMILO RODRIGUEZ</v>
      </c>
      <c r="B11" s="13">
        <f>COUNTIFS(Visitas_Operaciones!$B:$B,'Puntos potenciales Ope'!$A11,Visitas_Operaciones!$Y:$Y,'Puntos potenciales Ope'!B$1)</f>
        <v>3</v>
      </c>
      <c r="C11" s="13">
        <f>COUNTIFS(Visitas_Operaciones!$B:$B,'Puntos potenciales Ope'!$A11,Visitas_Operaciones!$Y:$Y,'Puntos potenciales Ope'!C$1)</f>
        <v>0</v>
      </c>
      <c r="D11" s="13">
        <f>COUNTIFS(Visitas_Operaciones!$B:$B,'Puntos potenciales Ope'!$A11,Visitas_Operaciones!$Y:$Y,'Puntos potenciales Ope'!D$1)</f>
        <v>2</v>
      </c>
    </row>
    <row r="12" spans="1:4">
      <c r="A12" t="str">
        <v>Danny Bermeo</v>
      </c>
      <c r="B12" s="13">
        <f>COUNTIFS(Visitas_Operaciones!$B:$B,'Puntos potenciales Ope'!$A12,Visitas_Operaciones!$Y:$Y,'Puntos potenciales Ope'!B$1)</f>
        <v>1</v>
      </c>
      <c r="C12" s="13">
        <f>COUNTIFS(Visitas_Operaciones!$B:$B,'Puntos potenciales Ope'!$A12,Visitas_Operaciones!$Y:$Y,'Puntos potenciales Ope'!C$1)</f>
        <v>0</v>
      </c>
      <c r="D12" s="13">
        <f>COUNTIFS(Visitas_Operaciones!$B:$B,'Puntos potenciales Ope'!$A12,Visitas_Operaciones!$Y:$Y,'Puntos potenciales Ope'!D$1)</f>
        <v>2</v>
      </c>
    </row>
    <row r="13" spans="1:4">
      <c r="A13" t="str">
        <v>MASSIEL LORENA GARZON MONTES</v>
      </c>
      <c r="B13" s="13">
        <f>COUNTIFS(Visitas_Operaciones!$B:$B,'Puntos potenciales Ope'!$A13,Visitas_Operaciones!$Y:$Y,'Puntos potenciales Ope'!B$1)</f>
        <v>2</v>
      </c>
      <c r="C13" s="13">
        <f>COUNTIFS(Visitas_Operaciones!$B:$B,'Puntos potenciales Ope'!$A13,Visitas_Operaciones!$Y:$Y,'Puntos potenciales Ope'!C$1)</f>
        <v>0</v>
      </c>
      <c r="D13" s="13">
        <f>COUNTIFS(Visitas_Operaciones!$B:$B,'Puntos potenciales Ope'!$A13,Visitas_Operaciones!$Y:$Y,'Puntos potenciales Ope'!D$1)</f>
        <v>4</v>
      </c>
    </row>
    <row r="14" spans="1:4">
      <c r="A14" t="str">
        <v>Brayan Mogollón</v>
      </c>
      <c r="B14" s="13">
        <f>COUNTIFS(Visitas_Operaciones!$B:$B,'Puntos potenciales Ope'!$A14,Visitas_Operaciones!$Y:$Y,'Puntos potenciales Ope'!B$1)</f>
        <v>1</v>
      </c>
      <c r="C14" s="13">
        <f>COUNTIFS(Visitas_Operaciones!$B:$B,'Puntos potenciales Ope'!$A14,Visitas_Operaciones!$Y:$Y,'Puntos potenciales Ope'!C$1)</f>
        <v>9</v>
      </c>
      <c r="D14" s="13">
        <f>COUNTIFS(Visitas_Operaciones!$B:$B,'Puntos potenciales Ope'!$A14,Visitas_Operaciones!$Y:$Y,'Puntos potenciales Ope'!D$1)</f>
        <v>0</v>
      </c>
    </row>
    <row r="15" spans="1:4">
      <c r="A15" t="str">
        <v>Diana Victoria Bernal Puentes</v>
      </c>
      <c r="B15" s="13">
        <f>COUNTIFS(Visitas_Operaciones!$B:$B,'Puntos potenciales Ope'!$A15,Visitas_Operaciones!$Y:$Y,'Puntos potenciales Ope'!B$1)</f>
        <v>1</v>
      </c>
      <c r="C15" s="13">
        <f>COUNTIFS(Visitas_Operaciones!$B:$B,'Puntos potenciales Ope'!$A15,Visitas_Operaciones!$Y:$Y,'Puntos potenciales Ope'!C$1)</f>
        <v>0</v>
      </c>
      <c r="D15" s="13">
        <f>COUNTIFS(Visitas_Operaciones!$B:$B,'Puntos potenciales Ope'!$A15,Visitas_Operaciones!$Y:$Y,'Puntos potenciales Ope'!D$1)</f>
        <v>3</v>
      </c>
    </row>
    <row r="16" spans="1:4">
      <c r="A16" t="str">
        <v>DANIEL PANQUEBA</v>
      </c>
      <c r="B16" s="13">
        <f>COUNTIFS(Visitas_Operaciones!$B:$B,'Puntos potenciales Ope'!$A16,Visitas_Operaciones!$Y:$Y,'Puntos potenciales Ope'!B$1)</f>
        <v>0</v>
      </c>
      <c r="C16" s="13">
        <f>COUNTIFS(Visitas_Operaciones!$B:$B,'Puntos potenciales Ope'!$A16,Visitas_Operaciones!$Y:$Y,'Puntos potenciales Ope'!C$1)</f>
        <v>4</v>
      </c>
      <c r="D16" s="13">
        <f>COUNTIFS(Visitas_Operaciones!$B:$B,'Puntos potenciales Ope'!$A16,Visitas_Operaciones!$Y:$Y,'Puntos potenciales Ope'!D$1)</f>
        <v>0</v>
      </c>
    </row>
    <row r="17" spans="1:4">
      <c r="A17" t="str">
        <v>DIANA ARAQUE</v>
      </c>
      <c r="B17" s="13">
        <f>COUNTIFS(Visitas_Operaciones!$B:$B,'Puntos potenciales Ope'!$A17,Visitas_Operaciones!$Y:$Y,'Puntos potenciales Ope'!B$1)</f>
        <v>0</v>
      </c>
      <c r="C17" s="13">
        <f>COUNTIFS(Visitas_Operaciones!$B:$B,'Puntos potenciales Ope'!$A17,Visitas_Operaciones!$Y:$Y,'Puntos potenciales Ope'!C$1)</f>
        <v>2</v>
      </c>
      <c r="D17" s="13">
        <f>COUNTIFS(Visitas_Operaciones!$B:$B,'Puntos potenciales Ope'!$A17,Visitas_Operaciones!$Y:$Y,'Puntos potenciales Ope'!D$1)</f>
        <v>0</v>
      </c>
    </row>
    <row r="18" spans="1:4">
      <c r="A18" t="str">
        <v>Dany Ospina</v>
      </c>
      <c r="B18" s="13">
        <f>COUNTIFS(Visitas_Operaciones!$B:$B,'Puntos potenciales Ope'!$A18,Visitas_Operaciones!$Y:$Y,'Puntos potenciales Ope'!B$1)</f>
        <v>0</v>
      </c>
      <c r="C18" s="13">
        <f>COUNTIFS(Visitas_Operaciones!$B:$B,'Puntos potenciales Ope'!$A18,Visitas_Operaciones!$Y:$Y,'Puntos potenciales Ope'!C$1)</f>
        <v>5</v>
      </c>
      <c r="D18" s="13">
        <f>COUNTIFS(Visitas_Operaciones!$B:$B,'Puntos potenciales Ope'!$A18,Visitas_Operaciones!$Y:$Y,'Puntos potenciales Ope'!D$1)</f>
        <v>1</v>
      </c>
    </row>
    <row r="19" spans="1:4">
      <c r="A19" t="str">
        <v>Diana Becerra</v>
      </c>
      <c r="B19" s="13">
        <f>COUNTIFS(Visitas_Operaciones!$B:$B,'Puntos potenciales Ope'!$A19,Visitas_Operaciones!$Y:$Y,'Puntos potenciales Ope'!B$1)</f>
        <v>0</v>
      </c>
      <c r="C19" s="13">
        <f>COUNTIFS(Visitas_Operaciones!$B:$B,'Puntos potenciales Ope'!$A19,Visitas_Operaciones!$Y:$Y,'Puntos potenciales Ope'!C$1)</f>
        <v>8</v>
      </c>
      <c r="D19" s="13">
        <f>COUNTIFS(Visitas_Operaciones!$B:$B,'Puntos potenciales Ope'!$A19,Visitas_Operaciones!$Y:$Y,'Puntos potenciales Ope'!D$1)</f>
        <v>2</v>
      </c>
    </row>
    <row r="20" spans="1:4">
      <c r="A20" t="str">
        <v>Yury Sanchez Diaz</v>
      </c>
      <c r="B20" s="13">
        <f>COUNTIFS(Visitas_Operaciones!$B:$B,'Puntos potenciales Ope'!$A20,Visitas_Operaciones!$Y:$Y,'Puntos potenciales Ope'!B$1)</f>
        <v>0</v>
      </c>
      <c r="C20" s="13">
        <f>COUNTIFS(Visitas_Operaciones!$B:$B,'Puntos potenciales Ope'!$A20,Visitas_Operaciones!$Y:$Y,'Puntos potenciales Ope'!C$1)</f>
        <v>2</v>
      </c>
      <c r="D20" s="13">
        <f>COUNTIFS(Visitas_Operaciones!$B:$B,'Puntos potenciales Ope'!$A20,Visitas_Operaciones!$Y:$Y,'Puntos potenciales Ope'!D$1)</f>
        <v>0</v>
      </c>
    </row>
    <row r="21" spans="1:4">
      <c r="A21" t="str">
        <v>Hermis David Cuicas Diaz</v>
      </c>
      <c r="B21" s="13">
        <f>COUNTIFS(Visitas_Operaciones!$B:$B,'Puntos potenciales Ope'!$A21,Visitas_Operaciones!$Y:$Y,'Puntos potenciales Ope'!B$1)</f>
        <v>0</v>
      </c>
      <c r="C21" s="13">
        <f>COUNTIFS(Visitas_Operaciones!$B:$B,'Puntos potenciales Ope'!$A21,Visitas_Operaciones!$Y:$Y,'Puntos potenciales Ope'!C$1)</f>
        <v>6</v>
      </c>
      <c r="D21" s="13">
        <f>COUNTIFS(Visitas_Operaciones!$B:$B,'Puntos potenciales Ope'!$A21,Visitas_Operaciones!$Y:$Y,'Puntos potenciales Ope'!D$1)</f>
        <v>5</v>
      </c>
    </row>
    <row r="22" spans="1:4">
      <c r="A22" t="str">
        <v>Andres Ortiz</v>
      </c>
      <c r="B22" s="13">
        <f>COUNTIFS(Visitas_Operaciones!$B:$B,'Puntos potenciales Ope'!$A22,Visitas_Operaciones!$Y:$Y,'Puntos potenciales Ope'!B$1)</f>
        <v>0</v>
      </c>
      <c r="C22" s="13">
        <f>COUNTIFS(Visitas_Operaciones!$B:$B,'Puntos potenciales Ope'!$A22,Visitas_Operaciones!$Y:$Y,'Puntos potenciales Ope'!C$1)</f>
        <v>4</v>
      </c>
      <c r="D22" s="13">
        <f>COUNTIFS(Visitas_Operaciones!$B:$B,'Puntos potenciales Ope'!$A22,Visitas_Operaciones!$Y:$Y,'Puntos potenciales Ope'!D$1)</f>
        <v>3</v>
      </c>
    </row>
    <row r="23" spans="1:4">
      <c r="A23" t="str">
        <v>ERNESTO LATORRE</v>
      </c>
      <c r="B23" s="13">
        <f>COUNTIFS(Visitas_Operaciones!$B:$B,'Puntos potenciales Ope'!$A23,Visitas_Operaciones!$Y:$Y,'Puntos potenciales Ope'!B$1)</f>
        <v>0</v>
      </c>
      <c r="C23" s="13">
        <f>COUNTIFS(Visitas_Operaciones!$B:$B,'Puntos potenciales Ope'!$A23,Visitas_Operaciones!$Y:$Y,'Puntos potenciales Ope'!C$1)</f>
        <v>2</v>
      </c>
      <c r="D23" s="13">
        <f>COUNTIFS(Visitas_Operaciones!$B:$B,'Puntos potenciales Ope'!$A23,Visitas_Operaciones!$Y:$Y,'Puntos potenciales Ope'!D$1)</f>
        <v>5</v>
      </c>
    </row>
    <row r="24" spans="1:4">
      <c r="A24" t="str">
        <v>FRANCISCO GOMEZ</v>
      </c>
      <c r="B24" s="13">
        <f>COUNTIFS(Visitas_Operaciones!$B:$B,'Puntos potenciales Ope'!$A24,Visitas_Operaciones!$Y:$Y,'Puntos potenciales Ope'!B$1)</f>
        <v>0</v>
      </c>
      <c r="C24" s="13">
        <f>COUNTIFS(Visitas_Operaciones!$B:$B,'Puntos potenciales Ope'!$A24,Visitas_Operaciones!$Y:$Y,'Puntos potenciales Ope'!C$1)</f>
        <v>1</v>
      </c>
      <c r="D24" s="13">
        <f>COUNTIFS(Visitas_Operaciones!$B:$B,'Puntos potenciales Ope'!$A24,Visitas_Operaciones!$Y:$Y,'Puntos potenciales Ope'!D$1)</f>
        <v>3</v>
      </c>
    </row>
    <row r="25" spans="1:4">
      <c r="A25" t="str">
        <v>JUAN DIEGO GARCIA</v>
      </c>
      <c r="B25" s="13">
        <f>COUNTIFS(Visitas_Operaciones!$B:$B,'Puntos potenciales Ope'!$A25,Visitas_Operaciones!$Y:$Y,'Puntos potenciales Ope'!B$1)</f>
        <v>0</v>
      </c>
      <c r="C25" s="13">
        <f>COUNTIFS(Visitas_Operaciones!$B:$B,'Puntos potenciales Ope'!$A25,Visitas_Operaciones!$Y:$Y,'Puntos potenciales Ope'!C$1)</f>
        <v>1</v>
      </c>
      <c r="D25" s="13">
        <f>COUNTIFS(Visitas_Operaciones!$B:$B,'Puntos potenciales Ope'!$A25,Visitas_Operaciones!$Y:$Y,'Puntos potenciales Ope'!D$1)</f>
        <v>2</v>
      </c>
    </row>
    <row r="26" spans="1:4">
      <c r="A26" t="str">
        <v>LORENA BELTRAN</v>
      </c>
      <c r="B26" s="13">
        <f>COUNTIFS(Visitas_Operaciones!$B:$B,'Puntos potenciales Ope'!$A26,Visitas_Operaciones!$Y:$Y,'Puntos potenciales Ope'!B$1)</f>
        <v>0</v>
      </c>
      <c r="C26" s="13">
        <f>COUNTIFS(Visitas_Operaciones!$B:$B,'Puntos potenciales Ope'!$A26,Visitas_Operaciones!$Y:$Y,'Puntos potenciales Ope'!C$1)</f>
        <v>1</v>
      </c>
      <c r="D26" s="13">
        <f>COUNTIFS(Visitas_Operaciones!$B:$B,'Puntos potenciales Ope'!$A26,Visitas_Operaciones!$Y:$Y,'Puntos potenciales Ope'!D$1)</f>
        <v>2</v>
      </c>
    </row>
    <row r="27" spans="1:4">
      <c r="A27" t="str">
        <v>John Nicolas Espinosa Ramirez</v>
      </c>
      <c r="B27" s="13">
        <f>COUNTIFS(Visitas_Operaciones!$B:$B,'Puntos potenciales Ope'!$A27,Visitas_Operaciones!$Y:$Y,'Puntos potenciales Ope'!B$1)</f>
        <v>0</v>
      </c>
      <c r="C27" s="13">
        <f>COUNTIFS(Visitas_Operaciones!$B:$B,'Puntos potenciales Ope'!$A27,Visitas_Operaciones!$Y:$Y,'Puntos potenciales Ope'!C$1)</f>
        <v>1</v>
      </c>
      <c r="D27" s="13">
        <f>COUNTIFS(Visitas_Operaciones!$B:$B,'Puntos potenciales Ope'!$A27,Visitas_Operaciones!$Y:$Y,'Puntos potenciales Ope'!D$1)</f>
        <v>2</v>
      </c>
    </row>
    <row r="28" spans="1:4">
      <c r="A28" t="str">
        <v>MILENA GONZALEZ</v>
      </c>
      <c r="B28" s="13">
        <f>COUNTIFS(Visitas_Operaciones!$B:$B,'Puntos potenciales Ope'!$A28,Visitas_Operaciones!$Y:$Y,'Puntos potenciales Ope'!B$1)</f>
        <v>0</v>
      </c>
      <c r="C28" s="13">
        <f>COUNTIFS(Visitas_Operaciones!$B:$B,'Puntos potenciales Ope'!$A28,Visitas_Operaciones!$Y:$Y,'Puntos potenciales Ope'!C$1)</f>
        <v>4</v>
      </c>
      <c r="D28" s="13">
        <f>COUNTIFS(Visitas_Operaciones!$B:$B,'Puntos potenciales Ope'!$A28,Visitas_Operaciones!$Y:$Y,'Puntos potenciales Ope'!D$1)</f>
        <v>2</v>
      </c>
    </row>
    <row r="29" spans="1:4">
      <c r="A29" t="str">
        <v>Omar Beltran</v>
      </c>
      <c r="B29" s="13">
        <f>COUNTIFS(Visitas_Operaciones!$B:$B,'Puntos potenciales Ope'!$A29,Visitas_Operaciones!$Y:$Y,'Puntos potenciales Ope'!B$1)</f>
        <v>0</v>
      </c>
      <c r="C29" s="13">
        <f>COUNTIFS(Visitas_Operaciones!$B:$B,'Puntos potenciales Ope'!$A29,Visitas_Operaciones!$Y:$Y,'Puntos potenciales Ope'!C$1)</f>
        <v>1</v>
      </c>
      <c r="D29" s="13">
        <f>COUNTIFS(Visitas_Operaciones!$B:$B,'Puntos potenciales Ope'!$A29,Visitas_Operaciones!$Y:$Y,'Puntos potenciales Ope'!D$1)</f>
        <v>0</v>
      </c>
    </row>
    <row r="30" spans="1:4">
      <c r="A30" t="str">
        <v>DANIEL RAMIREZ</v>
      </c>
      <c r="B30" s="13">
        <f>COUNTIFS(Visitas_Operaciones!$B:$B,'Puntos potenciales Ope'!$A30,Visitas_Operaciones!$Y:$Y,'Puntos potenciales Ope'!B$1)</f>
        <v>0</v>
      </c>
      <c r="C30" s="13">
        <f>COUNTIFS(Visitas_Operaciones!$B:$B,'Puntos potenciales Ope'!$A30,Visitas_Operaciones!$Y:$Y,'Puntos potenciales Ope'!C$1)</f>
        <v>1</v>
      </c>
      <c r="D30" s="13">
        <f>COUNTIFS(Visitas_Operaciones!$B:$B,'Puntos potenciales Ope'!$A30,Visitas_Operaciones!$Y:$Y,'Puntos potenciales Ope'!D$1)</f>
        <v>1</v>
      </c>
    </row>
    <row r="31" spans="1:4">
      <c r="A31" t="str">
        <v>Fabian Cardozo</v>
      </c>
      <c r="B31" s="13">
        <f>COUNTIFS(Visitas_Operaciones!$B:$B,'Puntos potenciales Ope'!$A31,Visitas_Operaciones!$Y:$Y,'Puntos potenciales Ope'!B$1)</f>
        <v>0</v>
      </c>
      <c r="C31" s="13">
        <f>COUNTIFS(Visitas_Operaciones!$B:$B,'Puntos potenciales Ope'!$A31,Visitas_Operaciones!$Y:$Y,'Puntos potenciales Ope'!C$1)</f>
        <v>1</v>
      </c>
      <c r="D31" s="13">
        <f>COUNTIFS(Visitas_Operaciones!$B:$B,'Puntos potenciales Ope'!$A31,Visitas_Operaciones!$Y:$Y,'Puntos potenciales Ope'!D$1)</f>
        <v>2</v>
      </c>
    </row>
    <row r="32" spans="1:4">
      <c r="A32" t="str">
        <v>Luis Felipe Rodelo Bohorquez</v>
      </c>
      <c r="B32" s="13">
        <f>COUNTIFS(Visitas_Operaciones!$B:$B,'Puntos potenciales Ope'!$A32,Visitas_Operaciones!$Y:$Y,'Puntos potenciales Ope'!B$1)</f>
        <v>0</v>
      </c>
      <c r="C32" s="13">
        <f>COUNTIFS(Visitas_Operaciones!$B:$B,'Puntos potenciales Ope'!$A32,Visitas_Operaciones!$Y:$Y,'Puntos potenciales Ope'!C$1)</f>
        <v>0</v>
      </c>
      <c r="D32" s="13">
        <f>COUNTIFS(Visitas_Operaciones!$B:$B,'Puntos potenciales Ope'!$A32,Visitas_Operaciones!$Y:$Y,'Puntos potenciales Ope'!D$1)</f>
        <v>1</v>
      </c>
    </row>
    <row r="33" spans="1:4">
      <c r="A33" t="str">
        <v>JOHN ALEJANDRO ALZATE ALZATE</v>
      </c>
      <c r="B33" s="13">
        <f>COUNTIFS(Visitas_Operaciones!$B:$B,'Puntos potenciales Ope'!$A33,Visitas_Operaciones!$Y:$Y,'Puntos potenciales Ope'!B$1)</f>
        <v>0</v>
      </c>
      <c r="C33" s="13">
        <f>COUNTIFS(Visitas_Operaciones!$B:$B,'Puntos potenciales Ope'!$A33,Visitas_Operaciones!$Y:$Y,'Puntos potenciales Ope'!C$1)</f>
        <v>0</v>
      </c>
      <c r="D33" s="13">
        <f>COUNTIFS(Visitas_Operaciones!$B:$B,'Puntos potenciales Ope'!$A33,Visitas_Operaciones!$Y:$Y,'Puntos potenciales Ope'!D$1)</f>
        <v>3</v>
      </c>
    </row>
    <row r="34" spans="1:4">
      <c r="A34" t="str">
        <v>Juan Gabriel Neira Sierra</v>
      </c>
      <c r="B34" s="13">
        <f>COUNTIFS(Visitas_Operaciones!$B:$B,'Puntos potenciales Ope'!$A34,Visitas_Operaciones!$Y:$Y,'Puntos potenciales Ope'!B$1)</f>
        <v>0</v>
      </c>
      <c r="C34" s="13">
        <f>COUNTIFS(Visitas_Operaciones!$B:$B,'Puntos potenciales Ope'!$A34,Visitas_Operaciones!$Y:$Y,'Puntos potenciales Ope'!C$1)</f>
        <v>0</v>
      </c>
      <c r="D34" s="13">
        <f>COUNTIFS(Visitas_Operaciones!$B:$B,'Puntos potenciales Ope'!$A34,Visitas_Operaciones!$Y:$Y,'Puntos potenciales Ope'!D$1)</f>
        <v>3</v>
      </c>
    </row>
    <row r="35" spans="1:4">
      <c r="B35" s="13">
        <f>COUNTIFS(Visitas_Operaciones!$B:$B,'Puntos potenciales Ope'!$A35,Visitas_Operaciones!$Y:$Y,'Puntos potenciales Ope'!B$1)</f>
        <v>0</v>
      </c>
      <c r="C35" s="13">
        <f>COUNTIFS(Visitas_Operaciones!$B:$B,'Puntos potenciales Ope'!$A35,Visitas_Operaciones!$Y:$Y,'Puntos potenciales Ope'!C$1)</f>
        <v>0</v>
      </c>
      <c r="D35" s="13">
        <f>COUNTIFS(Visitas_Operaciones!$B:$B,'Puntos potenciales Ope'!$A35,Visitas_Operaciones!$Y:$Y,'Puntos potenciales Ope'!D$1)</f>
        <v>0</v>
      </c>
    </row>
    <row r="36" spans="1:4">
      <c r="B36" s="13">
        <f>COUNTIFS(Visitas_Operaciones!$B:$B,'Puntos potenciales Ope'!$A36,Visitas_Operaciones!$Y:$Y,'Puntos potenciales Ope'!B$1)</f>
        <v>0</v>
      </c>
      <c r="C36" s="13">
        <f>COUNTIFS(Visitas_Operaciones!$B:$B,'Puntos potenciales Ope'!$A36,Visitas_Operaciones!$Y:$Y,'Puntos potenciales Ope'!C$1)</f>
        <v>0</v>
      </c>
      <c r="D36" s="13">
        <f>COUNTIFS(Visitas_Operaciones!$B:$B,'Puntos potenciales Ope'!$A36,Visitas_Operaciones!$Y:$Y,'Puntos potenciales Ope'!D$1)</f>
        <v>0</v>
      </c>
    </row>
    <row r="37" spans="1:4">
      <c r="A37" t="s">
        <v>1391</v>
      </c>
      <c r="B37">
        <f>SUM(B2:B36)</f>
        <v>30</v>
      </c>
      <c r="C37">
        <f>SUM(C2:C36)</f>
        <v>57</v>
      </c>
      <c r="D37">
        <f>SUM(D2:D36)</f>
        <v>56</v>
      </c>
    </row>
  </sheetData>
  <autoFilter ref="A1:B15" xr:uid="{17979348-3AA6-4D3A-A2FE-14E557A0B482}">
    <sortState xmlns:xlrd2="http://schemas.microsoft.com/office/spreadsheetml/2017/richdata2" ref="A2:B16">
      <sortCondition descending="1" ref="B1:B15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64806-2444-4FC7-8CFD-D2DDAD0964D9}">
  <dimension ref="A1:B11"/>
  <sheetViews>
    <sheetView workbookViewId="0">
      <selection activeCell="D21" sqref="D21"/>
    </sheetView>
  </sheetViews>
  <sheetFormatPr defaultColWidth="11.42578125" defaultRowHeight="14.45"/>
  <cols>
    <col min="2" max="2" width="29.42578125" bestFit="1" customWidth="1"/>
  </cols>
  <sheetData>
    <row r="1" spans="1:2">
      <c r="A1" t="s">
        <v>1392</v>
      </c>
      <c r="B1" t="s">
        <v>1393</v>
      </c>
    </row>
    <row r="2" spans="1:2">
      <c r="A2" t="s">
        <v>1394</v>
      </c>
      <c r="B2" t="s">
        <v>1395</v>
      </c>
    </row>
    <row r="3" spans="1:2">
      <c r="A3" t="s">
        <v>1396</v>
      </c>
      <c r="B3" t="s">
        <v>1397</v>
      </c>
    </row>
    <row r="4" spans="1:2">
      <c r="A4" t="s">
        <v>1398</v>
      </c>
      <c r="B4" t="s">
        <v>1399</v>
      </c>
    </row>
    <row r="5" spans="1:2">
      <c r="A5" t="s">
        <v>1400</v>
      </c>
      <c r="B5" t="s">
        <v>1401</v>
      </c>
    </row>
    <row r="6" spans="1:2">
      <c r="A6" t="s">
        <v>1402</v>
      </c>
      <c r="B6" t="s">
        <v>1403</v>
      </c>
    </row>
    <row r="7" spans="1:2">
      <c r="A7" t="s">
        <v>1404</v>
      </c>
      <c r="B7" t="s">
        <v>1405</v>
      </c>
    </row>
    <row r="8" spans="1:2">
      <c r="A8" t="s">
        <v>1406</v>
      </c>
      <c r="B8" t="s">
        <v>1407</v>
      </c>
    </row>
    <row r="9" spans="1:2">
      <c r="A9" t="s">
        <v>1408</v>
      </c>
      <c r="B9" t="s">
        <v>1409</v>
      </c>
    </row>
    <row r="10" spans="1:2">
      <c r="A10" t="s">
        <v>1410</v>
      </c>
      <c r="B10" t="s">
        <v>1411</v>
      </c>
    </row>
    <row r="11" spans="1:2">
      <c r="A11" t="s">
        <v>1412</v>
      </c>
      <c r="B11" t="s">
        <v>40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8A84-DD8E-4B72-9070-0A2BCA883ABB}">
  <dimension ref="A1:V4"/>
  <sheetViews>
    <sheetView topLeftCell="Q1" workbookViewId="0"/>
  </sheetViews>
  <sheetFormatPr defaultColWidth="11.42578125" defaultRowHeight="14.45"/>
  <sheetData>
    <row r="1" spans="1:22" ht="53.1" thickBot="1">
      <c r="A1" s="7">
        <v>3556027</v>
      </c>
      <c r="B1" s="7" t="s">
        <v>1413</v>
      </c>
      <c r="C1" s="8"/>
      <c r="D1" s="7" t="s">
        <v>1414</v>
      </c>
      <c r="E1" s="7" t="s">
        <v>1415</v>
      </c>
      <c r="F1" s="7" t="s">
        <v>1416</v>
      </c>
      <c r="G1" s="7" t="s">
        <v>1417</v>
      </c>
      <c r="H1" s="7">
        <v>10101</v>
      </c>
      <c r="I1" s="9">
        <v>46192</v>
      </c>
      <c r="J1" s="9">
        <v>46192</v>
      </c>
      <c r="K1" s="10">
        <v>0.42430555555555555</v>
      </c>
      <c r="L1" s="7">
        <v>2026</v>
      </c>
      <c r="M1" s="7">
        <v>6</v>
      </c>
      <c r="N1" s="7" t="s">
        <v>138</v>
      </c>
      <c r="O1" s="7" t="s">
        <v>1418</v>
      </c>
      <c r="P1" s="11" t="s">
        <v>1419</v>
      </c>
      <c r="Q1" s="7" t="s">
        <v>1420</v>
      </c>
      <c r="R1" s="1" t="s">
        <v>1421</v>
      </c>
      <c r="S1" s="7" t="s">
        <v>1422</v>
      </c>
      <c r="T1" s="8"/>
      <c r="V1" t="str" cm="1">
        <f t="array" ref="V1">ExtraerHipervinculo(R1)</f>
        <v>https://oxxo-colombia.oneapp.cl/static/img/Respuesta/61167871/5160fe0041f643f0e720405bccddf42c.jpg</v>
      </c>
    </row>
    <row r="2" spans="1:22" ht="53.1" thickBot="1">
      <c r="A2" s="7">
        <v>3556039</v>
      </c>
      <c r="B2" s="7" t="s">
        <v>1413</v>
      </c>
      <c r="C2" s="8"/>
      <c r="D2" s="7" t="s">
        <v>1414</v>
      </c>
      <c r="E2" s="7" t="s">
        <v>1415</v>
      </c>
      <c r="F2" s="7" t="s">
        <v>1416</v>
      </c>
      <c r="G2" s="7" t="s">
        <v>1417</v>
      </c>
      <c r="H2" s="7">
        <v>10101</v>
      </c>
      <c r="I2" s="9">
        <v>46192</v>
      </c>
      <c r="J2" s="9">
        <v>46192</v>
      </c>
      <c r="K2" s="10">
        <v>0.43958333333333333</v>
      </c>
      <c r="L2" s="7">
        <v>2026</v>
      </c>
      <c r="M2" s="7">
        <v>6</v>
      </c>
      <c r="N2" s="7" t="s">
        <v>138</v>
      </c>
      <c r="O2" s="7" t="s">
        <v>1418</v>
      </c>
      <c r="P2" s="11" t="s">
        <v>1419</v>
      </c>
      <c r="Q2" s="7" t="s">
        <v>1423</v>
      </c>
      <c r="R2" s="1" t="s">
        <v>1421</v>
      </c>
      <c r="S2" s="7" t="s">
        <v>1424</v>
      </c>
      <c r="T2" s="8"/>
      <c r="V2" t="str" cm="1">
        <f t="array" ref="V2">ExtraerHipervinculo(R2)</f>
        <v>https://oxxo-colombia.oneapp.cl/static/img/Respuesta/61169370/24c75b247668933e2e747b48308fcb1e.jpg</v>
      </c>
    </row>
    <row r="3" spans="1:22" ht="53.1" thickBot="1">
      <c r="A3" s="7">
        <v>3556051</v>
      </c>
      <c r="B3" s="7" t="s">
        <v>1425</v>
      </c>
      <c r="C3" s="8"/>
      <c r="D3" s="7" t="s">
        <v>1426</v>
      </c>
      <c r="E3" s="7" t="s">
        <v>1415</v>
      </c>
      <c r="F3" s="7" t="s">
        <v>1416</v>
      </c>
      <c r="G3" s="7" t="s">
        <v>1427</v>
      </c>
      <c r="H3" s="7">
        <v>33333</v>
      </c>
      <c r="I3" s="9">
        <v>46192</v>
      </c>
      <c r="J3" s="9">
        <v>46192</v>
      </c>
      <c r="K3" s="10">
        <v>0.44722222222222224</v>
      </c>
      <c r="L3" s="7">
        <v>2026</v>
      </c>
      <c r="M3" s="7">
        <v>6</v>
      </c>
      <c r="N3" s="7" t="s">
        <v>138</v>
      </c>
      <c r="O3" s="7" t="s">
        <v>1418</v>
      </c>
      <c r="P3" s="11" t="s">
        <v>1419</v>
      </c>
      <c r="Q3" s="7" t="s">
        <v>1428</v>
      </c>
      <c r="R3" s="1" t="s">
        <v>1421</v>
      </c>
      <c r="S3" s="7" t="s">
        <v>1429</v>
      </c>
      <c r="T3" s="8"/>
      <c r="V3" t="str" cm="1">
        <f t="array" ref="V3">ExtraerHipervinculo(R3)</f>
        <v>https://oxxo-colombia.oneapp.cl/static/img/Respuesta/61169766/f54fac2058f1766ffdba08335c6507cb.jpg</v>
      </c>
    </row>
    <row r="4" spans="1:22" ht="66" thickBot="1">
      <c r="A4" s="7">
        <v>3556166</v>
      </c>
      <c r="B4" s="7" t="s">
        <v>40</v>
      </c>
      <c r="C4" s="8"/>
      <c r="D4" s="7" t="s">
        <v>1430</v>
      </c>
      <c r="E4" s="7" t="s">
        <v>1415</v>
      </c>
      <c r="F4" s="7" t="s">
        <v>1416</v>
      </c>
      <c r="G4" s="7" t="s">
        <v>1431</v>
      </c>
      <c r="H4" s="7">
        <v>99999</v>
      </c>
      <c r="I4" s="9">
        <v>46192</v>
      </c>
      <c r="J4" s="9">
        <v>46192</v>
      </c>
      <c r="K4" s="10">
        <v>0.54374999999999996</v>
      </c>
      <c r="L4" s="7">
        <v>2026</v>
      </c>
      <c r="M4" s="7">
        <v>6</v>
      </c>
      <c r="N4" s="7" t="s">
        <v>138</v>
      </c>
      <c r="O4" s="7" t="s">
        <v>1418</v>
      </c>
      <c r="P4" s="11" t="s">
        <v>1419</v>
      </c>
      <c r="Q4" s="7" t="s">
        <v>1432</v>
      </c>
      <c r="R4" s="1" t="s">
        <v>1421</v>
      </c>
      <c r="S4" s="7" t="s">
        <v>1433</v>
      </c>
      <c r="T4" s="8"/>
      <c r="V4" t="str" cm="1">
        <f t="array" ref="V4">ExtraerHipervinculo(R4)</f>
        <v>https://oxxo-colombia.oneapp.cl/static/img/Respuesta/61174941/ce28ceab02b85d03b664deed5b0055e3.jpg</v>
      </c>
    </row>
  </sheetData>
  <hyperlinks>
    <hyperlink ref="R1" r:id="rId1" display="https://oxxo-colombia.oneapp.cl/static/img/Respuesta/61167871/5160fe0041f643f0e720405bccddf42c.jpg" xr:uid="{7B59C338-7C32-48A1-82C0-D17F5E3B9728}"/>
    <hyperlink ref="R2" r:id="rId2" display="https://oxxo-colombia.oneapp.cl/static/img/Respuesta/61169370/24c75b247668933e2e747b48308fcb1e.jpg" xr:uid="{4728F62C-1A72-4645-B800-EB7523295FE0}"/>
    <hyperlink ref="R3" r:id="rId3" display="https://oxxo-colombia.oneapp.cl/static/img/Respuesta/61169766/f54fac2058f1766ffdba08335c6507cb.jpg" xr:uid="{9751CF6D-69FB-4188-B01D-F5FF6671520C}"/>
    <hyperlink ref="R4" r:id="rId4" display="https://oxxo-colombia.oneapp.cl/static/img/Respuesta/61174941/ce28ceab02b85d03b664deed5b0055e3.jpg" xr:uid="{1DCD86A7-C9A5-41EC-A624-E297C6CDDE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007A4-B94D-4F83-AC2C-23E0BB1AD4F2}">
  <dimension ref="A1:D3"/>
  <sheetViews>
    <sheetView workbookViewId="0">
      <selection activeCell="B2" sqref="B2:B3"/>
    </sheetView>
  </sheetViews>
  <sheetFormatPr defaultColWidth="11.42578125" defaultRowHeight="14.45"/>
  <cols>
    <col min="1" max="1" width="12.42578125" bestFit="1" customWidth="1"/>
    <col min="2" max="2" width="16.5703125" bestFit="1" customWidth="1"/>
    <col min="3" max="3" width="16.7109375" bestFit="1" customWidth="1"/>
    <col min="5" max="5" width="12.42578125" bestFit="1" customWidth="1"/>
  </cols>
  <sheetData>
    <row r="1" spans="1:4">
      <c r="B1" s="12" t="s">
        <v>1434</v>
      </c>
      <c r="C1" s="12" t="s">
        <v>1435</v>
      </c>
      <c r="D1" s="12" t="s">
        <v>1436</v>
      </c>
    </row>
    <row r="2" spans="1:4">
      <c r="A2" t="s">
        <v>1437</v>
      </c>
      <c r="B2" s="12">
        <v>33</v>
      </c>
      <c r="C2" s="12">
        <v>26</v>
      </c>
      <c r="D2" s="12">
        <v>2</v>
      </c>
    </row>
    <row r="3" spans="1:4">
      <c r="A3" t="s">
        <v>1393</v>
      </c>
      <c r="B3" s="12">
        <v>10</v>
      </c>
      <c r="C3" s="12">
        <v>8</v>
      </c>
      <c r="D3" s="12">
        <v>10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BC74E-BB85-42CF-9E9C-14206CFBF464}">
  <dimension ref="A1:G37"/>
  <sheetViews>
    <sheetView topLeftCell="A15" workbookViewId="0">
      <selection activeCell="A30" sqref="A30"/>
    </sheetView>
  </sheetViews>
  <sheetFormatPr defaultColWidth="8.7109375" defaultRowHeight="14.45"/>
  <cols>
    <col min="1" max="1" width="14" customWidth="1"/>
    <col min="2" max="2" width="12" customWidth="1"/>
    <col min="3" max="3" width="14" customWidth="1"/>
    <col min="4" max="4" width="17" customWidth="1"/>
    <col min="5" max="5" width="13" customWidth="1"/>
    <col min="6" max="6" width="43" customWidth="1"/>
    <col min="7" max="7" width="28" customWidth="1"/>
  </cols>
  <sheetData>
    <row r="1" spans="1:7" ht="26.1" customHeight="1">
      <c r="A1" s="6" t="s">
        <v>124</v>
      </c>
      <c r="B1" s="6" t="s">
        <v>102</v>
      </c>
      <c r="C1" s="6" t="s">
        <v>1438</v>
      </c>
      <c r="D1" s="6" t="s">
        <v>1439</v>
      </c>
      <c r="E1" s="6" t="s">
        <v>1440</v>
      </c>
      <c r="F1" s="6" t="s">
        <v>1441</v>
      </c>
      <c r="G1" s="6" t="s">
        <v>1442</v>
      </c>
    </row>
    <row r="2" spans="1:7">
      <c r="A2" s="4">
        <v>1</v>
      </c>
      <c r="B2" s="4">
        <v>2025</v>
      </c>
      <c r="C2" s="4" t="str">
        <f t="shared" ref="C2:C37" si="0">_xlfn.CONCAT(A2,"-",B2)</f>
        <v>1-2025</v>
      </c>
      <c r="D2" s="4" t="s">
        <v>1443</v>
      </c>
      <c r="E2" s="4" t="s">
        <v>1444</v>
      </c>
      <c r="F2" s="5" t="s">
        <v>1445</v>
      </c>
      <c r="G2" s="5" t="s">
        <v>1446</v>
      </c>
    </row>
    <row r="3" spans="1:7">
      <c r="A3" s="3">
        <v>2</v>
      </c>
      <c r="B3" s="3">
        <v>2025</v>
      </c>
      <c r="C3" s="4" t="str">
        <f t="shared" si="0"/>
        <v>2-2025</v>
      </c>
      <c r="D3" s="3" t="s">
        <v>1447</v>
      </c>
      <c r="E3" s="3" t="s">
        <v>1448</v>
      </c>
      <c r="F3" s="2" t="s">
        <v>1449</v>
      </c>
      <c r="G3" s="2" t="s">
        <v>1450</v>
      </c>
    </row>
    <row r="4" spans="1:7">
      <c r="A4" s="4">
        <v>13</v>
      </c>
      <c r="B4" s="4">
        <v>2025</v>
      </c>
      <c r="C4" s="4" t="str">
        <f t="shared" si="0"/>
        <v>13-2025</v>
      </c>
      <c r="D4" s="4" t="s">
        <v>1451</v>
      </c>
      <c r="E4" s="4" t="s">
        <v>1448</v>
      </c>
      <c r="F4" s="5" t="s">
        <v>1452</v>
      </c>
      <c r="G4" s="5" t="s">
        <v>1450</v>
      </c>
    </row>
    <row r="5" spans="1:7">
      <c r="A5" s="3">
        <v>16</v>
      </c>
      <c r="B5" s="3">
        <v>2025</v>
      </c>
      <c r="C5" s="4" t="str">
        <f t="shared" si="0"/>
        <v>16-2025</v>
      </c>
      <c r="D5" s="3" t="s">
        <v>1453</v>
      </c>
      <c r="E5" s="3" t="s">
        <v>1454</v>
      </c>
      <c r="F5" s="2" t="s">
        <v>1455</v>
      </c>
      <c r="G5" s="2" t="s">
        <v>1456</v>
      </c>
    </row>
    <row r="6" spans="1:7">
      <c r="A6" s="4">
        <v>16</v>
      </c>
      <c r="B6" s="4">
        <v>2025</v>
      </c>
      <c r="C6" s="4" t="str">
        <f t="shared" si="0"/>
        <v>16-2025</v>
      </c>
      <c r="D6" s="4" t="s">
        <v>1457</v>
      </c>
      <c r="E6" s="4" t="s">
        <v>1458</v>
      </c>
      <c r="F6" s="5" t="s">
        <v>1459</v>
      </c>
      <c r="G6" s="5" t="s">
        <v>1456</v>
      </c>
    </row>
    <row r="7" spans="1:7">
      <c r="A7" s="3">
        <v>18</v>
      </c>
      <c r="B7" s="3">
        <v>2025</v>
      </c>
      <c r="C7" s="4" t="str">
        <f t="shared" si="0"/>
        <v>18-2025</v>
      </c>
      <c r="D7" s="3" t="s">
        <v>1460</v>
      </c>
      <c r="E7" s="3" t="s">
        <v>1454</v>
      </c>
      <c r="F7" s="2" t="s">
        <v>1461</v>
      </c>
      <c r="G7" s="2" t="s">
        <v>1446</v>
      </c>
    </row>
    <row r="8" spans="1:7">
      <c r="A8" s="4">
        <v>23</v>
      </c>
      <c r="B8" s="4">
        <v>2025</v>
      </c>
      <c r="C8" s="4" t="str">
        <f t="shared" si="0"/>
        <v>23-2025</v>
      </c>
      <c r="D8" s="4" t="s">
        <v>1462</v>
      </c>
      <c r="E8" s="4" t="s">
        <v>1448</v>
      </c>
      <c r="F8" s="5" t="s">
        <v>1463</v>
      </c>
      <c r="G8" s="5" t="s">
        <v>1450</v>
      </c>
    </row>
    <row r="9" spans="1:7">
      <c r="A9" s="3">
        <v>26</v>
      </c>
      <c r="B9" s="3">
        <v>2025</v>
      </c>
      <c r="C9" s="4" t="str">
        <f t="shared" si="0"/>
        <v>26-2025</v>
      </c>
      <c r="D9" s="3" t="s">
        <v>1464</v>
      </c>
      <c r="E9" s="3" t="s">
        <v>1448</v>
      </c>
      <c r="F9" s="2" t="s">
        <v>1465</v>
      </c>
      <c r="G9" s="2" t="s">
        <v>1450</v>
      </c>
    </row>
    <row r="10" spans="1:7">
      <c r="A10" s="4">
        <v>27</v>
      </c>
      <c r="B10" s="4">
        <v>2025</v>
      </c>
      <c r="C10" s="4" t="str">
        <f t="shared" si="0"/>
        <v>27-2025</v>
      </c>
      <c r="D10" s="4" t="s">
        <v>1466</v>
      </c>
      <c r="E10" s="4" t="s">
        <v>1448</v>
      </c>
      <c r="F10" s="5" t="s">
        <v>1467</v>
      </c>
      <c r="G10" s="5" t="s">
        <v>1450</v>
      </c>
    </row>
    <row r="11" spans="1:7">
      <c r="A11" s="3">
        <v>30</v>
      </c>
      <c r="B11" s="3">
        <v>2025</v>
      </c>
      <c r="C11" s="4" t="str">
        <f t="shared" si="0"/>
        <v>30-2025</v>
      </c>
      <c r="D11" s="3" t="s">
        <v>1468</v>
      </c>
      <c r="E11" s="3" t="s">
        <v>1469</v>
      </c>
      <c r="F11" s="2" t="s">
        <v>1470</v>
      </c>
      <c r="G11" s="2" t="s">
        <v>1446</v>
      </c>
    </row>
    <row r="12" spans="1:7">
      <c r="A12" s="4">
        <v>32</v>
      </c>
      <c r="B12" s="4">
        <v>2025</v>
      </c>
      <c r="C12" s="4" t="str">
        <f t="shared" si="0"/>
        <v>32-2025</v>
      </c>
      <c r="D12" s="4" t="s">
        <v>1471</v>
      </c>
      <c r="E12" s="4" t="s">
        <v>1454</v>
      </c>
      <c r="F12" s="5" t="s">
        <v>1472</v>
      </c>
      <c r="G12" s="5" t="s">
        <v>1446</v>
      </c>
    </row>
    <row r="13" spans="1:7">
      <c r="A13" s="3">
        <v>34</v>
      </c>
      <c r="B13" s="3">
        <v>2025</v>
      </c>
      <c r="C13" s="4" t="str">
        <f t="shared" si="0"/>
        <v>34-2025</v>
      </c>
      <c r="D13" s="3" t="s">
        <v>1473</v>
      </c>
      <c r="E13" s="3" t="s">
        <v>1448</v>
      </c>
      <c r="F13" s="2" t="s">
        <v>1474</v>
      </c>
      <c r="G13" s="2" t="s">
        <v>1450</v>
      </c>
    </row>
    <row r="14" spans="1:7">
      <c r="A14" s="4">
        <v>42</v>
      </c>
      <c r="B14" s="4">
        <v>2025</v>
      </c>
      <c r="C14" s="4" t="str">
        <f t="shared" si="0"/>
        <v>42-2025</v>
      </c>
      <c r="D14" s="4" t="s">
        <v>1475</v>
      </c>
      <c r="E14" s="4" t="s">
        <v>1448</v>
      </c>
      <c r="F14" s="5" t="s">
        <v>1476</v>
      </c>
      <c r="G14" s="5" t="s">
        <v>1450</v>
      </c>
    </row>
    <row r="15" spans="1:7">
      <c r="A15" s="3">
        <v>45</v>
      </c>
      <c r="B15" s="3">
        <v>2025</v>
      </c>
      <c r="C15" s="4" t="str">
        <f t="shared" si="0"/>
        <v>45-2025</v>
      </c>
      <c r="D15" s="3" t="s">
        <v>1477</v>
      </c>
      <c r="E15" s="3" t="s">
        <v>1448</v>
      </c>
      <c r="F15" s="2" t="s">
        <v>1478</v>
      </c>
      <c r="G15" s="2" t="s">
        <v>1450</v>
      </c>
    </row>
    <row r="16" spans="1:7">
      <c r="A16" s="4">
        <v>47</v>
      </c>
      <c r="B16" s="4">
        <v>2025</v>
      </c>
      <c r="C16" s="4" t="str">
        <f t="shared" si="0"/>
        <v>47-2025</v>
      </c>
      <c r="D16" s="4" t="s">
        <v>1479</v>
      </c>
      <c r="E16" s="4" t="s">
        <v>1448</v>
      </c>
      <c r="F16" s="5" t="s">
        <v>1480</v>
      </c>
      <c r="G16" s="5" t="s">
        <v>1450</v>
      </c>
    </row>
    <row r="17" spans="1:7">
      <c r="A17" s="3">
        <v>50</v>
      </c>
      <c r="B17" s="3">
        <v>2025</v>
      </c>
      <c r="C17" s="4" t="str">
        <f t="shared" si="0"/>
        <v>50-2025</v>
      </c>
      <c r="D17" s="3" t="s">
        <v>1481</v>
      </c>
      <c r="E17" s="3" t="s">
        <v>1448</v>
      </c>
      <c r="F17" s="2" t="s">
        <v>1482</v>
      </c>
      <c r="G17" s="2" t="s">
        <v>1446</v>
      </c>
    </row>
    <row r="18" spans="1:7">
      <c r="A18" s="4">
        <v>52</v>
      </c>
      <c r="B18" s="4">
        <v>2025</v>
      </c>
      <c r="C18" s="4" t="str">
        <f t="shared" si="0"/>
        <v>52-2025</v>
      </c>
      <c r="D18" s="4" t="s">
        <v>1483</v>
      </c>
      <c r="E18" s="4" t="s">
        <v>1454</v>
      </c>
      <c r="F18" s="5" t="s">
        <v>1484</v>
      </c>
      <c r="G18" s="5" t="s">
        <v>1446</v>
      </c>
    </row>
    <row r="19" spans="1:7">
      <c r="A19" s="3">
        <v>1</v>
      </c>
      <c r="B19" s="3">
        <v>2026</v>
      </c>
      <c r="C19" s="4" t="str">
        <f t="shared" si="0"/>
        <v>1-2026</v>
      </c>
      <c r="D19" s="3" t="s">
        <v>1485</v>
      </c>
      <c r="E19" s="3" t="s">
        <v>1454</v>
      </c>
      <c r="F19" s="2" t="s">
        <v>1445</v>
      </c>
      <c r="G19" s="2" t="s">
        <v>1446</v>
      </c>
    </row>
    <row r="20" spans="1:7">
      <c r="A20" s="4">
        <v>3</v>
      </c>
      <c r="B20" s="4">
        <v>2026</v>
      </c>
      <c r="C20" s="4" t="str">
        <f t="shared" si="0"/>
        <v>3-2026</v>
      </c>
      <c r="D20" s="4" t="s">
        <v>1486</v>
      </c>
      <c r="E20" s="4" t="s">
        <v>1448</v>
      </c>
      <c r="F20" s="5" t="s">
        <v>1449</v>
      </c>
      <c r="G20" s="5" t="s">
        <v>1450</v>
      </c>
    </row>
    <row r="21" spans="1:7">
      <c r="A21" s="3">
        <v>13</v>
      </c>
      <c r="B21" s="3">
        <v>2026</v>
      </c>
      <c r="C21" s="4" t="str">
        <f t="shared" si="0"/>
        <v>13-2026</v>
      </c>
      <c r="D21" s="3" t="s">
        <v>1487</v>
      </c>
      <c r="E21" s="3" t="s">
        <v>1448</v>
      </c>
      <c r="F21" s="2" t="s">
        <v>1452</v>
      </c>
      <c r="G21" s="2" t="s">
        <v>1450</v>
      </c>
    </row>
    <row r="22" spans="1:7">
      <c r="A22" s="4">
        <v>14</v>
      </c>
      <c r="B22" s="4">
        <v>2026</v>
      </c>
      <c r="C22" s="4" t="str">
        <f t="shared" si="0"/>
        <v>14-2026</v>
      </c>
      <c r="D22" s="4" t="s">
        <v>1488</v>
      </c>
      <c r="E22" s="4" t="s">
        <v>1454</v>
      </c>
      <c r="F22" s="5" t="s">
        <v>1455</v>
      </c>
      <c r="G22" s="5" t="s">
        <v>1456</v>
      </c>
    </row>
    <row r="23" spans="1:7">
      <c r="A23" s="3">
        <v>14</v>
      </c>
      <c r="B23" s="3">
        <v>2026</v>
      </c>
      <c r="C23" s="4" t="str">
        <f t="shared" si="0"/>
        <v>14-2026</v>
      </c>
      <c r="D23" s="3" t="s">
        <v>1489</v>
      </c>
      <c r="E23" s="3" t="s">
        <v>1458</v>
      </c>
      <c r="F23" s="2" t="s">
        <v>1459</v>
      </c>
      <c r="G23" s="2" t="s">
        <v>1456</v>
      </c>
    </row>
    <row r="24" spans="1:7">
      <c r="A24" s="4">
        <v>18</v>
      </c>
      <c r="B24" s="4">
        <v>2026</v>
      </c>
      <c r="C24" s="4" t="str">
        <f t="shared" si="0"/>
        <v>18-2026</v>
      </c>
      <c r="D24" s="4" t="s">
        <v>1490</v>
      </c>
      <c r="E24" s="4" t="s">
        <v>1458</v>
      </c>
      <c r="F24" s="5" t="s">
        <v>1461</v>
      </c>
      <c r="G24" s="5" t="s">
        <v>1446</v>
      </c>
    </row>
    <row r="25" spans="1:7">
      <c r="A25" s="3">
        <v>21</v>
      </c>
      <c r="B25" s="3">
        <v>2026</v>
      </c>
      <c r="C25" s="4" t="str">
        <f t="shared" si="0"/>
        <v>21-2026</v>
      </c>
      <c r="D25" s="3" t="s">
        <v>1491</v>
      </c>
      <c r="E25" s="3" t="s">
        <v>1448</v>
      </c>
      <c r="F25" s="2" t="s">
        <v>1492</v>
      </c>
      <c r="G25" s="2" t="s">
        <v>1450</v>
      </c>
    </row>
    <row r="26" spans="1:7">
      <c r="A26" s="4">
        <v>24</v>
      </c>
      <c r="B26" s="4">
        <v>2026</v>
      </c>
      <c r="C26" s="4" t="str">
        <f t="shared" si="0"/>
        <v>24-2026</v>
      </c>
      <c r="D26" s="4" t="s">
        <v>1493</v>
      </c>
      <c r="E26" s="4" t="s">
        <v>1448</v>
      </c>
      <c r="F26" s="5" t="s">
        <v>1465</v>
      </c>
      <c r="G26" s="5" t="s">
        <v>1450</v>
      </c>
    </row>
    <row r="27" spans="1:7">
      <c r="A27" s="3">
        <v>25</v>
      </c>
      <c r="B27" s="3">
        <v>2026</v>
      </c>
      <c r="C27" s="4" t="str">
        <f t="shared" si="0"/>
        <v>25-2026</v>
      </c>
      <c r="D27" s="3" t="s">
        <v>1494</v>
      </c>
      <c r="E27" s="3" t="s">
        <v>1448</v>
      </c>
      <c r="F27" s="2" t="s">
        <v>1495</v>
      </c>
      <c r="G27" s="2" t="s">
        <v>1450</v>
      </c>
    </row>
    <row r="28" spans="1:7">
      <c r="A28" s="4">
        <v>27</v>
      </c>
      <c r="B28" s="4">
        <v>2026</v>
      </c>
      <c r="C28" s="4" t="str">
        <f t="shared" si="0"/>
        <v>27-2026</v>
      </c>
      <c r="D28" s="4" t="s">
        <v>1496</v>
      </c>
      <c r="E28" s="4" t="s">
        <v>1448</v>
      </c>
      <c r="F28" s="5" t="s">
        <v>1497</v>
      </c>
      <c r="G28" s="5" t="s">
        <v>1450</v>
      </c>
    </row>
    <row r="29" spans="1:7">
      <c r="A29" s="3">
        <v>29</v>
      </c>
      <c r="B29" s="3">
        <v>2026</v>
      </c>
      <c r="C29" s="4" t="str">
        <f t="shared" si="0"/>
        <v>29-2026</v>
      </c>
      <c r="D29" s="3" t="s">
        <v>1498</v>
      </c>
      <c r="E29" s="3" t="s">
        <v>1454</v>
      </c>
      <c r="F29" s="2" t="s">
        <v>1499</v>
      </c>
      <c r="G29" s="2" t="s">
        <v>1500</v>
      </c>
    </row>
    <row r="30" spans="1:7">
      <c r="A30" s="4">
        <v>30</v>
      </c>
      <c r="B30" s="4">
        <v>2026</v>
      </c>
      <c r="C30" s="4" t="str">
        <f t="shared" si="0"/>
        <v>30-2026</v>
      </c>
      <c r="D30" s="4" t="s">
        <v>1501</v>
      </c>
      <c r="E30" s="4" t="s">
        <v>1448</v>
      </c>
      <c r="F30" s="5" t="s">
        <v>1470</v>
      </c>
      <c r="G30" s="5" t="s">
        <v>1446</v>
      </c>
    </row>
    <row r="31" spans="1:7">
      <c r="A31" s="3">
        <v>32</v>
      </c>
      <c r="B31" s="3">
        <v>2026</v>
      </c>
      <c r="C31" s="4" t="str">
        <f t="shared" si="0"/>
        <v>32-2026</v>
      </c>
      <c r="D31" s="3" t="s">
        <v>1502</v>
      </c>
      <c r="E31" s="3" t="s">
        <v>1458</v>
      </c>
      <c r="F31" s="2" t="s">
        <v>1472</v>
      </c>
      <c r="G31" s="2" t="s">
        <v>1446</v>
      </c>
    </row>
    <row r="32" spans="1:7">
      <c r="A32" s="4">
        <v>34</v>
      </c>
      <c r="B32" s="4">
        <v>2026</v>
      </c>
      <c r="C32" s="4" t="str">
        <f t="shared" si="0"/>
        <v>34-2026</v>
      </c>
      <c r="D32" s="4" t="s">
        <v>1503</v>
      </c>
      <c r="E32" s="4" t="s">
        <v>1448</v>
      </c>
      <c r="F32" s="5" t="s">
        <v>1474</v>
      </c>
      <c r="G32" s="5" t="s">
        <v>1450</v>
      </c>
    </row>
    <row r="33" spans="1:7">
      <c r="A33" s="3">
        <v>42</v>
      </c>
      <c r="B33" s="3">
        <v>2026</v>
      </c>
      <c r="C33" s="4" t="str">
        <f t="shared" si="0"/>
        <v>42-2026</v>
      </c>
      <c r="D33" s="3" t="s">
        <v>1504</v>
      </c>
      <c r="E33" s="3" t="s">
        <v>1448</v>
      </c>
      <c r="F33" s="2" t="s">
        <v>1476</v>
      </c>
      <c r="G33" s="2" t="s">
        <v>1450</v>
      </c>
    </row>
    <row r="34" spans="1:7">
      <c r="A34" s="4">
        <v>45</v>
      </c>
      <c r="B34" s="4">
        <v>2026</v>
      </c>
      <c r="C34" s="4" t="str">
        <f t="shared" si="0"/>
        <v>45-2026</v>
      </c>
      <c r="D34" s="4" t="s">
        <v>1505</v>
      </c>
      <c r="E34" s="4" t="s">
        <v>1448</v>
      </c>
      <c r="F34" s="5" t="s">
        <v>1478</v>
      </c>
      <c r="G34" s="5" t="s">
        <v>1450</v>
      </c>
    </row>
    <row r="35" spans="1:7">
      <c r="A35" s="3">
        <v>47</v>
      </c>
      <c r="B35" s="3">
        <v>2026</v>
      </c>
      <c r="C35" s="4" t="str">
        <f t="shared" si="0"/>
        <v>47-2026</v>
      </c>
      <c r="D35" s="3" t="s">
        <v>1506</v>
      </c>
      <c r="E35" s="3" t="s">
        <v>1448</v>
      </c>
      <c r="F35" s="2" t="s">
        <v>1480</v>
      </c>
      <c r="G35" s="2" t="s">
        <v>1450</v>
      </c>
    </row>
    <row r="36" spans="1:7">
      <c r="A36" s="4">
        <v>50</v>
      </c>
      <c r="B36" s="4">
        <v>2026</v>
      </c>
      <c r="C36" s="4" t="str">
        <f t="shared" si="0"/>
        <v>50-2026</v>
      </c>
      <c r="D36" s="4" t="s">
        <v>1507</v>
      </c>
      <c r="E36" s="4" t="s">
        <v>1508</v>
      </c>
      <c r="F36" s="5" t="s">
        <v>1482</v>
      </c>
      <c r="G36" s="5" t="s">
        <v>1446</v>
      </c>
    </row>
    <row r="37" spans="1:7">
      <c r="A37" s="3">
        <v>52</v>
      </c>
      <c r="B37" s="3">
        <v>2026</v>
      </c>
      <c r="C37" s="4" t="str">
        <f t="shared" si="0"/>
        <v>52-2026</v>
      </c>
      <c r="D37" s="3" t="s">
        <v>1509</v>
      </c>
      <c r="E37" s="3" t="s">
        <v>1458</v>
      </c>
      <c r="F37" s="2" t="s">
        <v>1484</v>
      </c>
      <c r="G37" s="2" t="s">
        <v>1446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GeometryCache xmlns="http://schemas.esri.com/review/1.0" id="cache">31,139,8,0,0,0,0,0,0,3,203,43,205,201,1,0,79,252,203,37,4,0,0,0</GeometryCache>
</file>

<file path=customXml/itemProps1.xml><?xml version="1.0" encoding="utf-8"?>
<ds:datastoreItem xmlns:ds="http://schemas.openxmlformats.org/officeDocument/2006/customXml" ds:itemID="{ADDDAECE-5EA0-4051-86F3-0B57C126BC49}"/>
</file>

<file path=customXml/itemProps2.xml><?xml version="1.0" encoding="utf-8"?>
<ds:datastoreItem xmlns:ds="http://schemas.openxmlformats.org/officeDocument/2006/customXml" ds:itemID="{40F3D427-5BDE-47CB-9FED-B3E563193BA5}"/>
</file>

<file path=docMetadata/LabelInfo.xml><?xml version="1.0" encoding="utf-8"?>
<clbl:labelList xmlns:clbl="http://schemas.microsoft.com/office/2020/mipLabelMetadata">
  <clbl:label id="{08c64559-49c6-47cf-865f-da0233616f0f}" enabled="1" method="Standard" siteId="{66f9ab85-de1a-40d4-b7bb-21565ad57cc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ROJAS ALVAREZ JUAN PABLO</dc:creator>
  <cp:keywords/>
  <dc:description/>
  <cp:lastModifiedBy/>
  <cp:revision/>
  <dcterms:created xsi:type="dcterms:W3CDTF">2025-11-10T16:55:25Z</dcterms:created>
  <dcterms:modified xsi:type="dcterms:W3CDTF">2026-08-19T14:33:39Z</dcterms:modified>
  <cp:category/>
  <cp:contentStatus/>
</cp:coreProperties>
</file>