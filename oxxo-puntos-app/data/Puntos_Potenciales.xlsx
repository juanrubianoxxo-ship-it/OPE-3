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codeName="ThisWorkbook"/>
  <mc:AlternateContent xmlns:mc="http://schemas.openxmlformats.org/markup-compatibility/2006">
    <mc:Choice Requires="x15">
      <x15ac:absPath xmlns:x15ac="http://schemas.microsoft.com/office/spreadsheetml/2010/11/ac" url="https://femcom-my.sharepoint.com/personal/juanp_rojas_oxxo_com/Documents/"/>
    </mc:Choice>
  </mc:AlternateContent>
  <xr:revisionPtr revIDLastSave="0" documentId="8_{0CD2C01C-ECD7-4791-B7B1-54A11BA40E6F}" xr6:coauthVersionLast="47" xr6:coauthVersionMax="47" xr10:uidLastSave="{00000000-0000-0000-0000-000000000000}"/>
  <bookViews>
    <workbookView xWindow="-110" yWindow="-110" windowWidth="19420" windowHeight="10300" tabRatio="599" firstSheet="1" activeTab="1" xr2:uid="{C6363D8E-873E-4E1B-A02E-66D5BB0233DE}"/>
  </bookViews>
  <sheets>
    <sheet name="MS26" sheetId="1" r:id="rId1"/>
    <sheet name="ISO" sheetId="3" r:id="rId2"/>
    <sheet name="Tiendas operando " sheetId="2" r:id="rId3"/>
  </sheets>
  <definedNames>
    <definedName name="_xlnm._FilterDatabase" localSheetId="1" hidden="1">ISO!$A$1:$N$668</definedName>
    <definedName name="_xlnm._FilterDatabase" localSheetId="0" hidden="1">'MS26'!$A$1:$AE$86</definedName>
    <definedName name="Tiendas">'Tiendas operando '!$B:$B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72" i="3" l="1"/>
  <c r="D671" i="3"/>
  <c r="D670" i="3"/>
  <c r="D669" i="3"/>
  <c r="D256" i="1" l="1"/>
  <c r="D255" i="1"/>
  <c r="D254" i="1"/>
  <c r="D252" i="1"/>
  <c r="D250" i="1"/>
  <c r="D249" i="1"/>
  <c r="D248" i="1"/>
  <c r="D247" i="1"/>
  <c r="D668" i="3"/>
  <c r="D667" i="3"/>
  <c r="D666" i="3"/>
  <c r="D665" i="3"/>
  <c r="D664" i="3"/>
  <c r="D663" i="3"/>
  <c r="D657" i="3"/>
  <c r="D658" i="3"/>
  <c r="D659" i="3"/>
  <c r="D660" i="3"/>
  <c r="D661" i="3"/>
  <c r="D662" i="3"/>
  <c r="D656" i="3"/>
  <c r="D655" i="3"/>
  <c r="D654" i="3"/>
  <c r="D653" i="3"/>
  <c r="D652" i="3"/>
  <c r="D651" i="3"/>
  <c r="D650" i="3"/>
  <c r="D649" i="3"/>
  <c r="D642" i="3"/>
  <c r="D640" i="3"/>
  <c r="D639" i="3"/>
  <c r="D638" i="3"/>
  <c r="D240" i="1"/>
  <c r="D241" i="1"/>
  <c r="D242" i="1"/>
  <c r="D243" i="1"/>
  <c r="D244" i="1"/>
  <c r="D637" i="3"/>
  <c r="D620" i="3"/>
  <c r="D621" i="3"/>
  <c r="D622" i="3"/>
  <c r="D623" i="3"/>
  <c r="D624" i="3"/>
  <c r="D625" i="3"/>
  <c r="D626" i="3"/>
  <c r="D627" i="3"/>
  <c r="D628" i="3"/>
  <c r="D629" i="3"/>
  <c r="D630" i="3"/>
  <c r="D631" i="3"/>
  <c r="D632" i="3"/>
  <c r="D633" i="3"/>
  <c r="D634" i="3"/>
  <c r="D635" i="3"/>
  <c r="D636" i="3"/>
  <c r="D619" i="3"/>
  <c r="D618" i="3"/>
  <c r="D617" i="3"/>
  <c r="D616" i="3"/>
  <c r="D612" i="3"/>
  <c r="D611" i="3"/>
  <c r="D238" i="1"/>
  <c r="D239" i="1"/>
  <c r="D605" i="3"/>
  <c r="D606" i="3"/>
  <c r="D607" i="3"/>
  <c r="D608" i="3"/>
  <c r="D609" i="3"/>
  <c r="D610" i="3"/>
  <c r="D598" i="3"/>
  <c r="D599" i="3"/>
  <c r="D600" i="3"/>
  <c r="D601" i="3"/>
  <c r="D602" i="3"/>
  <c r="D603" i="3"/>
  <c r="D604" i="3"/>
  <c r="D597" i="3" l="1"/>
  <c r="D596" i="3"/>
  <c r="D589" i="3"/>
  <c r="D590" i="3"/>
  <c r="D591" i="3"/>
  <c r="D592" i="3"/>
  <c r="D593" i="3"/>
  <c r="D594" i="3"/>
  <c r="D595" i="3"/>
  <c r="D588" i="3"/>
  <c r="D236" i="1"/>
  <c r="D237" i="1"/>
  <c r="D587" i="3"/>
  <c r="L95" i="3"/>
  <c r="D586" i="3"/>
  <c r="D585" i="3"/>
  <c r="D584" i="3"/>
  <c r="D583" i="3"/>
  <c r="D582" i="3"/>
  <c r="D581" i="3"/>
  <c r="D580" i="3"/>
  <c r="D579" i="3"/>
  <c r="D578" i="3"/>
  <c r="D577" i="3"/>
  <c r="D576" i="3"/>
  <c r="D573" i="3" l="1"/>
  <c r="D574" i="3"/>
  <c r="D575" i="3"/>
  <c r="D568" i="3"/>
  <c r="D569" i="3"/>
  <c r="D570" i="3"/>
  <c r="D571" i="3"/>
  <c r="D572" i="3"/>
  <c r="D564" i="3"/>
  <c r="D565" i="3"/>
  <c r="D566" i="3"/>
  <c r="D567" i="3"/>
  <c r="D563" i="3"/>
  <c r="D562" i="3"/>
  <c r="D561" i="3"/>
  <c r="D234" i="1"/>
  <c r="D235" i="1"/>
  <c r="D233" i="1"/>
  <c r="D558" i="3"/>
  <c r="D559" i="3"/>
  <c r="D560" i="3"/>
  <c r="D556" i="3"/>
  <c r="D557" i="3"/>
  <c r="D551" i="3"/>
  <c r="D552" i="3"/>
  <c r="D553" i="3"/>
  <c r="D554" i="3"/>
  <c r="D555" i="3"/>
  <c r="D542" i="3"/>
  <c r="D550" i="3"/>
  <c r="D543" i="3"/>
  <c r="D544" i="3"/>
  <c r="D545" i="3"/>
  <c r="D546" i="3"/>
  <c r="D547" i="3"/>
  <c r="D548" i="3"/>
  <c r="D549" i="3"/>
  <c r="D536" i="3"/>
  <c r="D537" i="3"/>
  <c r="D538" i="3"/>
  <c r="D539" i="3"/>
  <c r="D540" i="3"/>
  <c r="D541" i="3"/>
  <c r="D535" i="3"/>
  <c r="D534" i="3"/>
  <c r="D533" i="3"/>
  <c r="D532" i="3"/>
  <c r="D531" i="3"/>
  <c r="D530" i="3"/>
  <c r="D529" i="3"/>
  <c r="D528" i="3"/>
  <c r="D527" i="3"/>
  <c r="D526" i="3"/>
  <c r="D525" i="3"/>
  <c r="D524" i="3"/>
  <c r="D523" i="3"/>
  <c r="D522" i="3"/>
  <c r="D521" i="3"/>
  <c r="D520" i="3"/>
  <c r="D519" i="3"/>
  <c r="D518" i="3"/>
  <c r="D517" i="3"/>
  <c r="D512" i="3"/>
  <c r="D513" i="3"/>
  <c r="D514" i="3"/>
  <c r="D515" i="3"/>
  <c r="D516" i="3"/>
  <c r="D508" i="3"/>
  <c r="D509" i="3"/>
  <c r="D510" i="3"/>
  <c r="D511" i="3"/>
  <c r="D232" i="1"/>
  <c r="D231" i="1"/>
  <c r="D230" i="1"/>
  <c r="D229" i="1"/>
  <c r="D228" i="1"/>
  <c r="D498" i="3"/>
  <c r="D499" i="3"/>
  <c r="D500" i="3"/>
  <c r="D501" i="3"/>
  <c r="D502" i="3"/>
  <c r="D503" i="3"/>
  <c r="D504" i="3"/>
  <c r="D505" i="3"/>
  <c r="D506" i="3"/>
  <c r="D507" i="3"/>
  <c r="D496" i="3"/>
  <c r="D497" i="3"/>
  <c r="D495" i="3"/>
  <c r="D481" i="3"/>
  <c r="D482" i="3"/>
  <c r="D483" i="3"/>
  <c r="D484" i="3"/>
  <c r="D485" i="3"/>
  <c r="D486" i="3"/>
  <c r="D487" i="3"/>
  <c r="D488" i="3"/>
  <c r="D489" i="3"/>
  <c r="D490" i="3"/>
  <c r="D491" i="3"/>
  <c r="D492" i="3"/>
  <c r="D493" i="3"/>
  <c r="D494" i="3"/>
  <c r="D475" i="3"/>
  <c r="D476" i="3"/>
  <c r="D477" i="3"/>
  <c r="D478" i="3"/>
  <c r="D479" i="3"/>
  <c r="D480" i="3"/>
  <c r="D473" i="3"/>
  <c r="D474" i="3"/>
  <c r="D460" i="3"/>
  <c r="D461" i="3"/>
  <c r="D462" i="3"/>
  <c r="D463" i="3"/>
  <c r="D464" i="3"/>
  <c r="D465" i="3"/>
  <c r="D466" i="3"/>
  <c r="D467" i="3"/>
  <c r="D468" i="3"/>
  <c r="D469" i="3"/>
  <c r="D470" i="3"/>
  <c r="D471" i="3"/>
  <c r="D472" i="3"/>
  <c r="D227" i="1"/>
  <c r="D226" i="1"/>
  <c r="D225" i="1"/>
  <c r="D224" i="1"/>
  <c r="XER220" i="1"/>
  <c r="XEB220" i="1"/>
  <c r="XDL220" i="1"/>
  <c r="XCV220" i="1"/>
  <c r="XCF220" i="1"/>
  <c r="XBP220" i="1"/>
  <c r="XAZ220" i="1"/>
  <c r="XAJ220" i="1"/>
  <c r="WZT220" i="1"/>
  <c r="WZD220" i="1"/>
  <c r="WYN220" i="1"/>
  <c r="WXX220" i="1"/>
  <c r="WXH220" i="1"/>
  <c r="WWR220" i="1"/>
  <c r="WWB220" i="1"/>
  <c r="WVL220" i="1"/>
  <c r="WUV220" i="1"/>
  <c r="WUF220" i="1"/>
  <c r="WTP220" i="1"/>
  <c r="WSZ220" i="1"/>
  <c r="WSJ220" i="1"/>
  <c r="WRT220" i="1"/>
  <c r="WRD220" i="1"/>
  <c r="WQN220" i="1"/>
  <c r="WPX220" i="1"/>
  <c r="WPH220" i="1"/>
  <c r="WOR220" i="1"/>
  <c r="WOB220" i="1"/>
  <c r="WNL220" i="1"/>
  <c r="WMV220" i="1"/>
  <c r="WMF220" i="1"/>
  <c r="WLP220" i="1"/>
  <c r="WKZ220" i="1"/>
  <c r="WKJ220" i="1"/>
  <c r="WJT220" i="1"/>
  <c r="WJD220" i="1"/>
  <c r="WIN220" i="1"/>
  <c r="WHX220" i="1"/>
  <c r="WHH220" i="1"/>
  <c r="WGR220" i="1"/>
  <c r="WGB220" i="1"/>
  <c r="WFL220" i="1"/>
  <c r="WEV220" i="1"/>
  <c r="WEF220" i="1"/>
  <c r="WDP220" i="1"/>
  <c r="WCZ220" i="1"/>
  <c r="WCJ220" i="1"/>
  <c r="WBT220" i="1"/>
  <c r="WBD220" i="1"/>
  <c r="WAN220" i="1"/>
  <c r="VZX220" i="1"/>
  <c r="VZH220" i="1"/>
  <c r="VYR220" i="1"/>
  <c r="VYB220" i="1"/>
  <c r="VXL220" i="1"/>
  <c r="VWV220" i="1"/>
  <c r="VWF220" i="1"/>
  <c r="VVP220" i="1"/>
  <c r="VUZ220" i="1"/>
  <c r="VUJ220" i="1"/>
  <c r="VTT220" i="1"/>
  <c r="VTD220" i="1"/>
  <c r="VSN220" i="1"/>
  <c r="VRX220" i="1"/>
  <c r="VRH220" i="1"/>
  <c r="VQR220" i="1"/>
  <c r="VQB220" i="1"/>
  <c r="VPL220" i="1"/>
  <c r="VOV220" i="1"/>
  <c r="VOF220" i="1"/>
  <c r="VNP220" i="1"/>
  <c r="VMZ220" i="1"/>
  <c r="VMJ220" i="1"/>
  <c r="VLT220" i="1"/>
  <c r="VLD220" i="1"/>
  <c r="VKN220" i="1"/>
  <c r="VJX220" i="1"/>
  <c r="VJH220" i="1"/>
  <c r="VIR220" i="1"/>
  <c r="VIB220" i="1"/>
  <c r="VHL220" i="1"/>
  <c r="VGV220" i="1"/>
  <c r="VGF220" i="1"/>
  <c r="VFP220" i="1"/>
  <c r="VEZ220" i="1"/>
  <c r="VEJ220" i="1"/>
  <c r="VDT220" i="1"/>
  <c r="VDD220" i="1"/>
  <c r="VCN220" i="1"/>
  <c r="VBX220" i="1"/>
  <c r="VBH220" i="1"/>
  <c r="VAR220" i="1"/>
  <c r="VAB220" i="1"/>
  <c r="UZL220" i="1"/>
  <c r="UYV220" i="1"/>
  <c r="UYF220" i="1"/>
  <c r="UXP220" i="1"/>
  <c r="UWZ220" i="1"/>
  <c r="UWJ220" i="1"/>
  <c r="UVT220" i="1"/>
  <c r="UVD220" i="1"/>
  <c r="UUN220" i="1"/>
  <c r="UTX220" i="1"/>
  <c r="UTH220" i="1"/>
  <c r="USR220" i="1"/>
  <c r="USB220" i="1"/>
  <c r="URL220" i="1"/>
  <c r="UQV220" i="1"/>
  <c r="UQF220" i="1"/>
  <c r="UPP220" i="1"/>
  <c r="UOZ220" i="1"/>
  <c r="UOJ220" i="1"/>
  <c r="UNT220" i="1"/>
  <c r="UND220" i="1"/>
  <c r="UMN220" i="1"/>
  <c r="ULX220" i="1"/>
  <c r="ULH220" i="1"/>
  <c r="UKR220" i="1"/>
  <c r="UKB220" i="1"/>
  <c r="UJL220" i="1"/>
  <c r="UIV220" i="1"/>
  <c r="UIF220" i="1"/>
  <c r="UHP220" i="1"/>
  <c r="UGZ220" i="1"/>
  <c r="UGJ220" i="1"/>
  <c r="UFT220" i="1"/>
  <c r="UFD220" i="1"/>
  <c r="UEN220" i="1"/>
  <c r="UDX220" i="1"/>
  <c r="UDH220" i="1"/>
  <c r="UCR220" i="1"/>
  <c r="UCB220" i="1"/>
  <c r="UBL220" i="1"/>
  <c r="UAV220" i="1"/>
  <c r="UAF220" i="1"/>
  <c r="TZP220" i="1"/>
  <c r="TYZ220" i="1"/>
  <c r="TYJ220" i="1"/>
  <c r="TXT220" i="1"/>
  <c r="TXD220" i="1"/>
  <c r="TWN220" i="1"/>
  <c r="TVX220" i="1"/>
  <c r="TVH220" i="1"/>
  <c r="TUR220" i="1"/>
  <c r="TUB220" i="1"/>
  <c r="TTL220" i="1"/>
  <c r="TSV220" i="1"/>
  <c r="TSF220" i="1"/>
  <c r="TRP220" i="1"/>
  <c r="TQZ220" i="1"/>
  <c r="TQJ220" i="1"/>
  <c r="TPT220" i="1"/>
  <c r="TPD220" i="1"/>
  <c r="TON220" i="1"/>
  <c r="TNX220" i="1"/>
  <c r="TNH220" i="1"/>
  <c r="TMR220" i="1"/>
  <c r="TMB220" i="1"/>
  <c r="TLL220" i="1"/>
  <c r="TKV220" i="1"/>
  <c r="TKF220" i="1"/>
  <c r="TJP220" i="1"/>
  <c r="TIZ220" i="1"/>
  <c r="TIJ220" i="1"/>
  <c r="THT220" i="1"/>
  <c r="THD220" i="1"/>
  <c r="TGN220" i="1"/>
  <c r="TFX220" i="1"/>
  <c r="TFH220" i="1"/>
  <c r="TER220" i="1"/>
  <c r="TEB220" i="1"/>
  <c r="TDL220" i="1"/>
  <c r="TCV220" i="1"/>
  <c r="TCF220" i="1"/>
  <c r="TBP220" i="1"/>
  <c r="TAZ220" i="1"/>
  <c r="TAJ220" i="1"/>
  <c r="SZT220" i="1"/>
  <c r="SZD220" i="1"/>
  <c r="SYN220" i="1"/>
  <c r="SXX220" i="1"/>
  <c r="SXH220" i="1"/>
  <c r="SWR220" i="1"/>
  <c r="SWB220" i="1"/>
  <c r="SVL220" i="1"/>
  <c r="SUV220" i="1"/>
  <c r="SUF220" i="1"/>
  <c r="STP220" i="1"/>
  <c r="SSZ220" i="1"/>
  <c r="SSJ220" i="1"/>
  <c r="SRT220" i="1"/>
  <c r="SRD220" i="1"/>
  <c r="SQN220" i="1"/>
  <c r="SPX220" i="1"/>
  <c r="SPH220" i="1"/>
  <c r="SOR220" i="1"/>
  <c r="SOB220" i="1"/>
  <c r="SNL220" i="1"/>
  <c r="SMV220" i="1"/>
  <c r="SMF220" i="1"/>
  <c r="SLP220" i="1"/>
  <c r="SKZ220" i="1"/>
  <c r="SKJ220" i="1"/>
  <c r="SJT220" i="1"/>
  <c r="SJD220" i="1"/>
  <c r="SIN220" i="1"/>
  <c r="SHX220" i="1"/>
  <c r="SHH220" i="1"/>
  <c r="SGR220" i="1"/>
  <c r="SGB220" i="1"/>
  <c r="SFL220" i="1"/>
  <c r="SEV220" i="1"/>
  <c r="SEF220" i="1"/>
  <c r="SDP220" i="1"/>
  <c r="SCZ220" i="1"/>
  <c r="SCJ220" i="1"/>
  <c r="SBT220" i="1"/>
  <c r="SBD220" i="1"/>
  <c r="SAN220" i="1"/>
  <c r="RZX220" i="1"/>
  <c r="RZH220" i="1"/>
  <c r="RYR220" i="1"/>
  <c r="RYB220" i="1"/>
  <c r="RXL220" i="1"/>
  <c r="RWV220" i="1"/>
  <c r="RWF220" i="1"/>
  <c r="RVP220" i="1"/>
  <c r="RUZ220" i="1"/>
  <c r="RUJ220" i="1"/>
  <c r="RTT220" i="1"/>
  <c r="RTD220" i="1"/>
  <c r="RSN220" i="1"/>
  <c r="RRX220" i="1"/>
  <c r="RRH220" i="1"/>
  <c r="RQR220" i="1"/>
  <c r="RQB220" i="1"/>
  <c r="RPL220" i="1"/>
  <c r="ROV220" i="1"/>
  <c r="ROF220" i="1"/>
  <c r="RNP220" i="1"/>
  <c r="RMZ220" i="1"/>
  <c r="RMJ220" i="1"/>
  <c r="RLT220" i="1"/>
  <c r="RLD220" i="1"/>
  <c r="RKN220" i="1"/>
  <c r="RJX220" i="1"/>
  <c r="RJH220" i="1"/>
  <c r="RIR220" i="1"/>
  <c r="RIB220" i="1"/>
  <c r="RHL220" i="1"/>
  <c r="RGV220" i="1"/>
  <c r="RGF220" i="1"/>
  <c r="RFP220" i="1"/>
  <c r="REZ220" i="1"/>
  <c r="REJ220" i="1"/>
  <c r="RDT220" i="1"/>
  <c r="RDD220" i="1"/>
  <c r="RCN220" i="1"/>
  <c r="RBX220" i="1"/>
  <c r="RBH220" i="1"/>
  <c r="RAR220" i="1"/>
  <c r="RAB220" i="1"/>
  <c r="QZL220" i="1"/>
  <c r="QYV220" i="1"/>
  <c r="QYF220" i="1"/>
  <c r="QXP220" i="1"/>
  <c r="QWZ220" i="1"/>
  <c r="QWJ220" i="1"/>
  <c r="QVT220" i="1"/>
  <c r="QVD220" i="1"/>
  <c r="QUN220" i="1"/>
  <c r="QTX220" i="1"/>
  <c r="QTH220" i="1"/>
  <c r="QSR220" i="1"/>
  <c r="QSB220" i="1"/>
  <c r="QRL220" i="1"/>
  <c r="QQV220" i="1"/>
  <c r="QQF220" i="1"/>
  <c r="QPP220" i="1"/>
  <c r="QOZ220" i="1"/>
  <c r="QOJ220" i="1"/>
  <c r="QNT220" i="1"/>
  <c r="QND220" i="1"/>
  <c r="QMN220" i="1"/>
  <c r="QLX220" i="1"/>
  <c r="QLH220" i="1"/>
  <c r="QKR220" i="1"/>
  <c r="QKB220" i="1"/>
  <c r="QJL220" i="1"/>
  <c r="QIV220" i="1"/>
  <c r="QIF220" i="1"/>
  <c r="QHP220" i="1"/>
  <c r="QGZ220" i="1"/>
  <c r="QGJ220" i="1"/>
  <c r="QFT220" i="1"/>
  <c r="QFD220" i="1"/>
  <c r="QEN220" i="1"/>
  <c r="QDX220" i="1"/>
  <c r="QDH220" i="1"/>
  <c r="QCR220" i="1"/>
  <c r="QCB220" i="1"/>
  <c r="QBL220" i="1"/>
  <c r="QAV220" i="1"/>
  <c r="QAF220" i="1"/>
  <c r="PZP220" i="1"/>
  <c r="PYZ220" i="1"/>
  <c r="PYJ220" i="1"/>
  <c r="PXT220" i="1"/>
  <c r="PXD220" i="1"/>
  <c r="PWN220" i="1"/>
  <c r="PVX220" i="1"/>
  <c r="PVH220" i="1"/>
  <c r="PUR220" i="1"/>
  <c r="PUB220" i="1"/>
  <c r="PTL220" i="1"/>
  <c r="PSV220" i="1"/>
  <c r="PSF220" i="1"/>
  <c r="PRP220" i="1"/>
  <c r="PQZ220" i="1"/>
  <c r="PQJ220" i="1"/>
  <c r="PPT220" i="1"/>
  <c r="PPD220" i="1"/>
  <c r="PON220" i="1"/>
  <c r="PNX220" i="1"/>
  <c r="PNH220" i="1"/>
  <c r="PMR220" i="1"/>
  <c r="PMB220" i="1"/>
  <c r="PLL220" i="1"/>
  <c r="PKV220" i="1"/>
  <c r="PKF220" i="1"/>
  <c r="PJP220" i="1"/>
  <c r="PIZ220" i="1"/>
  <c r="PIJ220" i="1"/>
  <c r="PHT220" i="1"/>
  <c r="PHD220" i="1"/>
  <c r="PGN220" i="1"/>
  <c r="PFX220" i="1"/>
  <c r="PFH220" i="1"/>
  <c r="PER220" i="1"/>
  <c r="PEB220" i="1"/>
  <c r="PDL220" i="1"/>
  <c r="PCV220" i="1"/>
  <c r="PCF220" i="1"/>
  <c r="PBP220" i="1"/>
  <c r="PAZ220" i="1"/>
  <c r="PAJ220" i="1"/>
  <c r="OZT220" i="1"/>
  <c r="OZD220" i="1"/>
  <c r="OYN220" i="1"/>
  <c r="OXX220" i="1"/>
  <c r="OXH220" i="1"/>
  <c r="OWR220" i="1"/>
  <c r="OWB220" i="1"/>
  <c r="OVL220" i="1"/>
  <c r="OUV220" i="1"/>
  <c r="OUF220" i="1"/>
  <c r="OTP220" i="1"/>
  <c r="OSZ220" i="1"/>
  <c r="OSJ220" i="1"/>
  <c r="ORT220" i="1"/>
  <c r="ORD220" i="1"/>
  <c r="OQN220" i="1"/>
  <c r="OPX220" i="1"/>
  <c r="OPH220" i="1"/>
  <c r="OOR220" i="1"/>
  <c r="OOB220" i="1"/>
  <c r="ONL220" i="1"/>
  <c r="OMV220" i="1"/>
  <c r="OMF220" i="1"/>
  <c r="OLP220" i="1"/>
  <c r="OKZ220" i="1"/>
  <c r="OKJ220" i="1"/>
  <c r="OJT220" i="1"/>
  <c r="OJD220" i="1"/>
  <c r="OIN220" i="1"/>
  <c r="OHX220" i="1"/>
  <c r="OHH220" i="1"/>
  <c r="OGR220" i="1"/>
  <c r="OGB220" i="1"/>
  <c r="OFL220" i="1"/>
  <c r="OEV220" i="1"/>
  <c r="OEF220" i="1"/>
  <c r="ODP220" i="1"/>
  <c r="OCZ220" i="1"/>
  <c r="OCJ220" i="1"/>
  <c r="OBT220" i="1"/>
  <c r="OBD220" i="1"/>
  <c r="OAN220" i="1"/>
  <c r="NZX220" i="1"/>
  <c r="NZH220" i="1"/>
  <c r="NYR220" i="1"/>
  <c r="NYB220" i="1"/>
  <c r="NXL220" i="1"/>
  <c r="NWV220" i="1"/>
  <c r="NWF220" i="1"/>
  <c r="NVP220" i="1"/>
  <c r="NUZ220" i="1"/>
  <c r="NUJ220" i="1"/>
  <c r="NTT220" i="1"/>
  <c r="NTD220" i="1"/>
  <c r="NSN220" i="1"/>
  <c r="NRX220" i="1"/>
  <c r="NRH220" i="1"/>
  <c r="NQR220" i="1"/>
  <c r="NQB220" i="1"/>
  <c r="NPL220" i="1"/>
  <c r="NOV220" i="1"/>
  <c r="NOF220" i="1"/>
  <c r="NNP220" i="1"/>
  <c r="NMZ220" i="1"/>
  <c r="NMJ220" i="1"/>
  <c r="NLT220" i="1"/>
  <c r="NLD220" i="1"/>
  <c r="NKN220" i="1"/>
  <c r="NJX220" i="1"/>
  <c r="NJH220" i="1"/>
  <c r="NIR220" i="1"/>
  <c r="NIB220" i="1"/>
  <c r="NHL220" i="1"/>
  <c r="NGV220" i="1"/>
  <c r="NGF220" i="1"/>
  <c r="NFP220" i="1"/>
  <c r="NEZ220" i="1"/>
  <c r="NEJ220" i="1"/>
  <c r="NDT220" i="1"/>
  <c r="NDD220" i="1"/>
  <c r="NCN220" i="1"/>
  <c r="NBX220" i="1"/>
  <c r="NBH220" i="1"/>
  <c r="NAR220" i="1"/>
  <c r="NAB220" i="1"/>
  <c r="MZL220" i="1"/>
  <c r="MYV220" i="1"/>
  <c r="MYF220" i="1"/>
  <c r="MXP220" i="1"/>
  <c r="MWZ220" i="1"/>
  <c r="MWJ220" i="1"/>
  <c r="MVT220" i="1"/>
  <c r="MVD220" i="1"/>
  <c r="MUN220" i="1"/>
  <c r="MTX220" i="1"/>
  <c r="MTH220" i="1"/>
  <c r="MSR220" i="1"/>
  <c r="MSB220" i="1"/>
  <c r="MRL220" i="1"/>
  <c r="MQV220" i="1"/>
  <c r="MQF220" i="1"/>
  <c r="MPP220" i="1"/>
  <c r="MOZ220" i="1"/>
  <c r="MOJ220" i="1"/>
  <c r="MNT220" i="1"/>
  <c r="MND220" i="1"/>
  <c r="MMN220" i="1"/>
  <c r="MLX220" i="1"/>
  <c r="MLH220" i="1"/>
  <c r="MKR220" i="1"/>
  <c r="MKB220" i="1"/>
  <c r="MJL220" i="1"/>
  <c r="MIV220" i="1"/>
  <c r="MIF220" i="1"/>
  <c r="MHP220" i="1"/>
  <c r="MGZ220" i="1"/>
  <c r="MGJ220" i="1"/>
  <c r="MFT220" i="1"/>
  <c r="MFD220" i="1"/>
  <c r="MEN220" i="1"/>
  <c r="MDX220" i="1"/>
  <c r="MDH220" i="1"/>
  <c r="MCR220" i="1"/>
  <c r="MCB220" i="1"/>
  <c r="MBL220" i="1"/>
  <c r="MAV220" i="1"/>
  <c r="MAF220" i="1"/>
  <c r="LZP220" i="1"/>
  <c r="LYZ220" i="1"/>
  <c r="LYJ220" i="1"/>
  <c r="LXT220" i="1"/>
  <c r="LXD220" i="1"/>
  <c r="LWN220" i="1"/>
  <c r="LVX220" i="1"/>
  <c r="LVH220" i="1"/>
  <c r="LUR220" i="1"/>
  <c r="LUB220" i="1"/>
  <c r="LTL220" i="1"/>
  <c r="LSV220" i="1"/>
  <c r="LSF220" i="1"/>
  <c r="LRP220" i="1"/>
  <c r="LQZ220" i="1"/>
  <c r="LQJ220" i="1"/>
  <c r="LPT220" i="1"/>
  <c r="LPD220" i="1"/>
  <c r="LON220" i="1"/>
  <c r="LNX220" i="1"/>
  <c r="LNH220" i="1"/>
  <c r="LMR220" i="1"/>
  <c r="LMB220" i="1"/>
  <c r="LLL220" i="1"/>
  <c r="LKV220" i="1"/>
  <c r="LKF220" i="1"/>
  <c r="LJP220" i="1"/>
  <c r="LIZ220" i="1"/>
  <c r="LIJ220" i="1"/>
  <c r="LHT220" i="1"/>
  <c r="LHD220" i="1"/>
  <c r="LGN220" i="1"/>
  <c r="LFX220" i="1"/>
  <c r="LFH220" i="1"/>
  <c r="LER220" i="1"/>
  <c r="LEB220" i="1"/>
  <c r="LDL220" i="1"/>
  <c r="LCV220" i="1"/>
  <c r="LCF220" i="1"/>
  <c r="LBP220" i="1"/>
  <c r="LAZ220" i="1"/>
  <c r="LAJ220" i="1"/>
  <c r="KZT220" i="1"/>
  <c r="KZD220" i="1"/>
  <c r="KYN220" i="1"/>
  <c r="KXX220" i="1"/>
  <c r="KXH220" i="1"/>
  <c r="KWR220" i="1"/>
  <c r="KWB220" i="1"/>
  <c r="KVL220" i="1"/>
  <c r="KUV220" i="1"/>
  <c r="KUF220" i="1"/>
  <c r="KTP220" i="1"/>
  <c r="KSZ220" i="1"/>
  <c r="KSJ220" i="1"/>
  <c r="KRT220" i="1"/>
  <c r="KRD220" i="1"/>
  <c r="KQN220" i="1"/>
  <c r="KPX220" i="1"/>
  <c r="KPH220" i="1"/>
  <c r="KOR220" i="1"/>
  <c r="KOB220" i="1"/>
  <c r="KNL220" i="1"/>
  <c r="KMV220" i="1"/>
  <c r="KMF220" i="1"/>
  <c r="KLP220" i="1"/>
  <c r="KKZ220" i="1"/>
  <c r="KKJ220" i="1"/>
  <c r="KJT220" i="1"/>
  <c r="KJD220" i="1"/>
  <c r="KIN220" i="1"/>
  <c r="KHX220" i="1"/>
  <c r="KHH220" i="1"/>
  <c r="KGR220" i="1"/>
  <c r="KGB220" i="1"/>
  <c r="KFL220" i="1"/>
  <c r="KEV220" i="1"/>
  <c r="KEF220" i="1"/>
  <c r="KDP220" i="1"/>
  <c r="KCZ220" i="1"/>
  <c r="KCJ220" i="1"/>
  <c r="KBT220" i="1"/>
  <c r="KBD220" i="1"/>
  <c r="KAN220" i="1"/>
  <c r="JZX220" i="1"/>
  <c r="JZH220" i="1"/>
  <c r="JYR220" i="1"/>
  <c r="JYB220" i="1"/>
  <c r="JXL220" i="1"/>
  <c r="JWV220" i="1"/>
  <c r="JWF220" i="1"/>
  <c r="JVP220" i="1"/>
  <c r="JUZ220" i="1"/>
  <c r="JUJ220" i="1"/>
  <c r="JTT220" i="1"/>
  <c r="JTD220" i="1"/>
  <c r="JSN220" i="1"/>
  <c r="JRX220" i="1"/>
  <c r="JRH220" i="1"/>
  <c r="JQR220" i="1"/>
  <c r="JQB220" i="1"/>
  <c r="JPL220" i="1"/>
  <c r="JOV220" i="1"/>
  <c r="JOF220" i="1"/>
  <c r="JNP220" i="1"/>
  <c r="JMZ220" i="1"/>
  <c r="JMJ220" i="1"/>
  <c r="JLT220" i="1"/>
  <c r="JLD220" i="1"/>
  <c r="JKN220" i="1"/>
  <c r="JJX220" i="1"/>
  <c r="JJH220" i="1"/>
  <c r="JIR220" i="1"/>
  <c r="JIB220" i="1"/>
  <c r="JHL220" i="1"/>
  <c r="JGV220" i="1"/>
  <c r="JGF220" i="1"/>
  <c r="JFP220" i="1"/>
  <c r="JEZ220" i="1"/>
  <c r="JEJ220" i="1"/>
  <c r="JDT220" i="1"/>
  <c r="JDD220" i="1"/>
  <c r="JCN220" i="1"/>
  <c r="JBX220" i="1"/>
  <c r="JBH220" i="1"/>
  <c r="JAR220" i="1"/>
  <c r="JAB220" i="1"/>
  <c r="IZL220" i="1"/>
  <c r="IYV220" i="1"/>
  <c r="IYF220" i="1"/>
  <c r="IXP220" i="1"/>
  <c r="IWZ220" i="1"/>
  <c r="IWJ220" i="1"/>
  <c r="IVT220" i="1"/>
  <c r="IVD220" i="1"/>
  <c r="IUN220" i="1"/>
  <c r="ITX220" i="1"/>
  <c r="ITH220" i="1"/>
  <c r="ISR220" i="1"/>
  <c r="ISB220" i="1"/>
  <c r="IRL220" i="1"/>
  <c r="IQV220" i="1"/>
  <c r="IQF220" i="1"/>
  <c r="IPP220" i="1"/>
  <c r="IOZ220" i="1"/>
  <c r="IOJ220" i="1"/>
  <c r="INT220" i="1"/>
  <c r="IND220" i="1"/>
  <c r="IMN220" i="1"/>
  <c r="ILX220" i="1"/>
  <c r="ILH220" i="1"/>
  <c r="IKR220" i="1"/>
  <c r="IKB220" i="1"/>
  <c r="IJL220" i="1"/>
  <c r="IIV220" i="1"/>
  <c r="IIF220" i="1"/>
  <c r="IHP220" i="1"/>
  <c r="IGZ220" i="1"/>
  <c r="IGJ220" i="1"/>
  <c r="IFT220" i="1"/>
  <c r="IFD220" i="1"/>
  <c r="IEN220" i="1"/>
  <c r="IDX220" i="1"/>
  <c r="IDH220" i="1"/>
  <c r="ICR220" i="1"/>
  <c r="ICB220" i="1"/>
  <c r="IBL220" i="1"/>
  <c r="IAV220" i="1"/>
  <c r="IAF220" i="1"/>
  <c r="HZP220" i="1"/>
  <c r="HYZ220" i="1"/>
  <c r="HYJ220" i="1"/>
  <c r="HXT220" i="1"/>
  <c r="HXD220" i="1"/>
  <c r="HWN220" i="1"/>
  <c r="HVX220" i="1"/>
  <c r="HVH220" i="1"/>
  <c r="HUR220" i="1"/>
  <c r="HUB220" i="1"/>
  <c r="HTL220" i="1"/>
  <c r="HSV220" i="1"/>
  <c r="HSF220" i="1"/>
  <c r="HRP220" i="1"/>
  <c r="HQZ220" i="1"/>
  <c r="HQJ220" i="1"/>
  <c r="HPT220" i="1"/>
  <c r="HPD220" i="1"/>
  <c r="HON220" i="1"/>
  <c r="HNX220" i="1"/>
  <c r="HNH220" i="1"/>
  <c r="HMR220" i="1"/>
  <c r="HMB220" i="1"/>
  <c r="HLL220" i="1"/>
  <c r="HKV220" i="1"/>
  <c r="HKF220" i="1"/>
  <c r="HJP220" i="1"/>
  <c r="HIZ220" i="1"/>
  <c r="HIJ220" i="1"/>
  <c r="HHT220" i="1"/>
  <c r="HHD220" i="1"/>
  <c r="HGN220" i="1"/>
  <c r="HFX220" i="1"/>
  <c r="HFH220" i="1"/>
  <c r="HER220" i="1"/>
  <c r="HEB220" i="1"/>
  <c r="HDL220" i="1"/>
  <c r="HCV220" i="1"/>
  <c r="HCF220" i="1"/>
  <c r="HBP220" i="1"/>
  <c r="HAZ220" i="1"/>
  <c r="HAJ220" i="1"/>
  <c r="GZT220" i="1"/>
  <c r="GZD220" i="1"/>
  <c r="GYN220" i="1"/>
  <c r="GXX220" i="1"/>
  <c r="GXH220" i="1"/>
  <c r="GWR220" i="1"/>
  <c r="GWB220" i="1"/>
  <c r="GVL220" i="1"/>
  <c r="GUV220" i="1"/>
  <c r="GUF220" i="1"/>
  <c r="GTP220" i="1"/>
  <c r="GSZ220" i="1"/>
  <c r="GSJ220" i="1"/>
  <c r="GRT220" i="1"/>
  <c r="GRD220" i="1"/>
  <c r="GQN220" i="1"/>
  <c r="GPX220" i="1"/>
  <c r="GPH220" i="1"/>
  <c r="GOR220" i="1"/>
  <c r="GOB220" i="1"/>
  <c r="GNL220" i="1"/>
  <c r="GMV220" i="1"/>
  <c r="GMF220" i="1"/>
  <c r="GLP220" i="1"/>
  <c r="GKZ220" i="1"/>
  <c r="GKJ220" i="1"/>
  <c r="GJT220" i="1"/>
  <c r="GJD220" i="1"/>
  <c r="GIN220" i="1"/>
  <c r="GHX220" i="1"/>
  <c r="GHH220" i="1"/>
  <c r="GGR220" i="1"/>
  <c r="GGB220" i="1"/>
  <c r="GFL220" i="1"/>
  <c r="GEV220" i="1"/>
  <c r="GEF220" i="1"/>
  <c r="GDP220" i="1"/>
  <c r="GCZ220" i="1"/>
  <c r="GCJ220" i="1"/>
  <c r="GBT220" i="1"/>
  <c r="GBD220" i="1"/>
  <c r="GAN220" i="1"/>
  <c r="FZX220" i="1"/>
  <c r="FZH220" i="1"/>
  <c r="FYR220" i="1"/>
  <c r="FYB220" i="1"/>
  <c r="FXL220" i="1"/>
  <c r="FWV220" i="1"/>
  <c r="FWF220" i="1"/>
  <c r="FVP220" i="1"/>
  <c r="FUZ220" i="1"/>
  <c r="FUJ220" i="1"/>
  <c r="FTT220" i="1"/>
  <c r="FTD220" i="1"/>
  <c r="FSN220" i="1"/>
  <c r="FRX220" i="1"/>
  <c r="FRH220" i="1"/>
  <c r="FQR220" i="1"/>
  <c r="FQB220" i="1"/>
  <c r="FPL220" i="1"/>
  <c r="FOV220" i="1"/>
  <c r="FOF220" i="1"/>
  <c r="FNP220" i="1"/>
  <c r="FMZ220" i="1"/>
  <c r="FMJ220" i="1"/>
  <c r="FLT220" i="1"/>
  <c r="FLD220" i="1"/>
  <c r="FKN220" i="1"/>
  <c r="FJX220" i="1"/>
  <c r="FJH220" i="1"/>
  <c r="FIR220" i="1"/>
  <c r="FIB220" i="1"/>
  <c r="FHL220" i="1"/>
  <c r="FGV220" i="1"/>
  <c r="FGF220" i="1"/>
  <c r="FFP220" i="1"/>
  <c r="FEZ220" i="1"/>
  <c r="FEJ220" i="1"/>
  <c r="FDT220" i="1"/>
  <c r="FDD220" i="1"/>
  <c r="FCN220" i="1"/>
  <c r="FBX220" i="1"/>
  <c r="FBH220" i="1"/>
  <c r="FAR220" i="1"/>
  <c r="FAB220" i="1"/>
  <c r="EZL220" i="1"/>
  <c r="EYV220" i="1"/>
  <c r="EYF220" i="1"/>
  <c r="EXP220" i="1"/>
  <c r="EWZ220" i="1"/>
  <c r="EWJ220" i="1"/>
  <c r="EVT220" i="1"/>
  <c r="EVD220" i="1"/>
  <c r="EUN220" i="1"/>
  <c r="ETX220" i="1"/>
  <c r="ETH220" i="1"/>
  <c r="ESR220" i="1"/>
  <c r="ESB220" i="1"/>
  <c r="ERL220" i="1"/>
  <c r="EQV220" i="1"/>
  <c r="EQF220" i="1"/>
  <c r="EPP220" i="1"/>
  <c r="EOZ220" i="1"/>
  <c r="EOJ220" i="1"/>
  <c r="ENT220" i="1"/>
  <c r="END220" i="1"/>
  <c r="EMN220" i="1"/>
  <c r="ELX220" i="1"/>
  <c r="ELH220" i="1"/>
  <c r="EKR220" i="1"/>
  <c r="EKB220" i="1"/>
  <c r="EJL220" i="1"/>
  <c r="EIV220" i="1"/>
  <c r="EIF220" i="1"/>
  <c r="EHP220" i="1"/>
  <c r="EGZ220" i="1"/>
  <c r="EGJ220" i="1"/>
  <c r="EFT220" i="1"/>
  <c r="EFD220" i="1"/>
  <c r="EEN220" i="1"/>
  <c r="EDX220" i="1"/>
  <c r="EDH220" i="1"/>
  <c r="ECR220" i="1"/>
  <c r="ECB220" i="1"/>
  <c r="EBL220" i="1"/>
  <c r="EAV220" i="1"/>
  <c r="EAF220" i="1"/>
  <c r="DZP220" i="1"/>
  <c r="DYZ220" i="1"/>
  <c r="DYJ220" i="1"/>
  <c r="DXT220" i="1"/>
  <c r="DXD220" i="1"/>
  <c r="DWN220" i="1"/>
  <c r="DVX220" i="1"/>
  <c r="DVH220" i="1"/>
  <c r="DUR220" i="1"/>
  <c r="DUB220" i="1"/>
  <c r="DTL220" i="1"/>
  <c r="DSV220" i="1"/>
  <c r="DSF220" i="1"/>
  <c r="DRP220" i="1"/>
  <c r="DQZ220" i="1"/>
  <c r="DQJ220" i="1"/>
  <c r="DPT220" i="1"/>
  <c r="DPD220" i="1"/>
  <c r="DON220" i="1"/>
  <c r="DNX220" i="1"/>
  <c r="DNH220" i="1"/>
  <c r="DMR220" i="1"/>
  <c r="DMB220" i="1"/>
  <c r="DLL220" i="1"/>
  <c r="DKV220" i="1"/>
  <c r="DKF220" i="1"/>
  <c r="DJP220" i="1"/>
  <c r="DIZ220" i="1"/>
  <c r="DIJ220" i="1"/>
  <c r="DHT220" i="1"/>
  <c r="DHD220" i="1"/>
  <c r="DGN220" i="1"/>
  <c r="DFX220" i="1"/>
  <c r="DFH220" i="1"/>
  <c r="DER220" i="1"/>
  <c r="DEB220" i="1"/>
  <c r="DDL220" i="1"/>
  <c r="DCV220" i="1"/>
  <c r="DCF220" i="1"/>
  <c r="DBP220" i="1"/>
  <c r="DAZ220" i="1"/>
  <c r="DAJ220" i="1"/>
  <c r="CZT220" i="1"/>
  <c r="CZD220" i="1"/>
  <c r="CYN220" i="1"/>
  <c r="CXX220" i="1"/>
  <c r="CXH220" i="1"/>
  <c r="CWR220" i="1"/>
  <c r="CWB220" i="1"/>
  <c r="CVL220" i="1"/>
  <c r="CUV220" i="1"/>
  <c r="CUF220" i="1"/>
  <c r="CTP220" i="1"/>
  <c r="CSZ220" i="1"/>
  <c r="CSJ220" i="1"/>
  <c r="CRT220" i="1"/>
  <c r="CRD220" i="1"/>
  <c r="CQN220" i="1"/>
  <c r="CPX220" i="1"/>
  <c r="CPH220" i="1"/>
  <c r="COR220" i="1"/>
  <c r="COB220" i="1"/>
  <c r="CNL220" i="1"/>
  <c r="CMV220" i="1"/>
  <c r="CMF220" i="1"/>
  <c r="CLP220" i="1"/>
  <c r="CKZ220" i="1"/>
  <c r="CKJ220" i="1"/>
  <c r="CJT220" i="1"/>
  <c r="CJD220" i="1"/>
  <c r="CIN220" i="1"/>
  <c r="CHX220" i="1"/>
  <c r="CHH220" i="1"/>
  <c r="CGR220" i="1"/>
  <c r="CGB220" i="1"/>
  <c r="CFL220" i="1"/>
  <c r="CEV220" i="1"/>
  <c r="CEF220" i="1"/>
  <c r="CDP220" i="1"/>
  <c r="CCZ220" i="1"/>
  <c r="CCJ220" i="1"/>
  <c r="CBT220" i="1"/>
  <c r="CBD220" i="1"/>
  <c r="CAN220" i="1"/>
  <c r="BZX220" i="1"/>
  <c r="BZH220" i="1"/>
  <c r="BYR220" i="1"/>
  <c r="BYB220" i="1"/>
  <c r="BXL220" i="1"/>
  <c r="BWV220" i="1"/>
  <c r="BWF220" i="1"/>
  <c r="BVP220" i="1"/>
  <c r="BUZ220" i="1"/>
  <c r="BUJ220" i="1"/>
  <c r="BTT220" i="1"/>
  <c r="BTD220" i="1"/>
  <c r="BSN220" i="1"/>
  <c r="BRX220" i="1"/>
  <c r="BRH220" i="1"/>
  <c r="BQR220" i="1"/>
  <c r="BQB220" i="1"/>
  <c r="BPL220" i="1"/>
  <c r="BOV220" i="1"/>
  <c r="BOF220" i="1"/>
  <c r="BNP220" i="1"/>
  <c r="BMZ220" i="1"/>
  <c r="BMJ220" i="1"/>
  <c r="BLT220" i="1"/>
  <c r="BLD220" i="1"/>
  <c r="BKN220" i="1"/>
  <c r="BJX220" i="1"/>
  <c r="BJH220" i="1"/>
  <c r="BIR220" i="1"/>
  <c r="BIB220" i="1"/>
  <c r="BHL220" i="1"/>
  <c r="BGV220" i="1"/>
  <c r="BGF220" i="1"/>
  <c r="BFP220" i="1"/>
  <c r="BEZ220" i="1"/>
  <c r="BEJ220" i="1"/>
  <c r="BDT220" i="1"/>
  <c r="BDD220" i="1"/>
  <c r="BCN220" i="1"/>
  <c r="BBX220" i="1"/>
  <c r="BBH220" i="1"/>
  <c r="BAR220" i="1"/>
  <c r="BAB220" i="1"/>
  <c r="AZL220" i="1"/>
  <c r="AYV220" i="1"/>
  <c r="AYF220" i="1"/>
  <c r="AXP220" i="1"/>
  <c r="AWZ220" i="1"/>
  <c r="AWJ220" i="1"/>
  <c r="AVT220" i="1"/>
  <c r="AVD220" i="1"/>
  <c r="AUN220" i="1"/>
  <c r="ATX220" i="1"/>
  <c r="ATH220" i="1"/>
  <c r="ASR220" i="1"/>
  <c r="ASB220" i="1"/>
  <c r="ARL220" i="1"/>
  <c r="AQV220" i="1"/>
  <c r="AQF220" i="1"/>
  <c r="APP220" i="1"/>
  <c r="AOZ220" i="1"/>
  <c r="AOJ220" i="1"/>
  <c r="ANT220" i="1"/>
  <c r="AND220" i="1"/>
  <c r="AMN220" i="1"/>
  <c r="ALX220" i="1"/>
  <c r="ALH220" i="1"/>
  <c r="AKR220" i="1"/>
  <c r="AKB220" i="1"/>
  <c r="AJL220" i="1"/>
  <c r="AIV220" i="1"/>
  <c r="AIF220" i="1"/>
  <c r="AHP220" i="1"/>
  <c r="AGZ220" i="1"/>
  <c r="AGJ220" i="1"/>
  <c r="AFT220" i="1"/>
  <c r="AFD220" i="1"/>
  <c r="AEN220" i="1"/>
  <c r="ADX220" i="1"/>
  <c r="ADH220" i="1"/>
  <c r="ACR220" i="1"/>
  <c r="ACB220" i="1"/>
  <c r="ABL220" i="1"/>
  <c r="AAV220" i="1"/>
  <c r="AAF220" i="1"/>
  <c r="ZP220" i="1"/>
  <c r="YZ220" i="1"/>
  <c r="YJ220" i="1"/>
  <c r="XT220" i="1"/>
  <c r="XD220" i="1"/>
  <c r="WN220" i="1"/>
  <c r="VX220" i="1"/>
  <c r="VH220" i="1"/>
  <c r="UR220" i="1"/>
  <c r="UB220" i="1"/>
  <c r="TL220" i="1"/>
  <c r="SV220" i="1"/>
  <c r="SF220" i="1"/>
  <c r="RP220" i="1"/>
  <c r="QZ220" i="1"/>
  <c r="QJ220" i="1"/>
  <c r="PT220" i="1"/>
  <c r="PD220" i="1"/>
  <c r="ON220" i="1"/>
  <c r="NX220" i="1"/>
  <c r="NH220" i="1"/>
  <c r="MR220" i="1"/>
  <c r="MB220" i="1"/>
  <c r="LL220" i="1"/>
  <c r="KV220" i="1"/>
  <c r="KF220" i="1"/>
  <c r="JP220" i="1"/>
  <c r="IZ220" i="1"/>
  <c r="IJ220" i="1"/>
  <c r="HT220" i="1"/>
  <c r="HD220" i="1"/>
  <c r="GN220" i="1"/>
  <c r="FX220" i="1"/>
  <c r="FH220" i="1"/>
  <c r="ER220" i="1"/>
  <c r="EB220" i="1"/>
  <c r="DL220" i="1"/>
  <c r="CV220" i="1"/>
  <c r="CF220" i="1"/>
  <c r="BP220" i="1"/>
  <c r="AZ220" i="1"/>
  <c r="AJ220" i="1"/>
  <c r="T220" i="1"/>
  <c r="D220" i="1"/>
  <c r="D218" i="1"/>
  <c r="D217" i="1"/>
  <c r="D449" i="3"/>
  <c r="D450" i="3"/>
  <c r="D451" i="3"/>
  <c r="D452" i="3"/>
  <c r="D453" i="3"/>
  <c r="D455" i="3"/>
  <c r="D456" i="3"/>
  <c r="D457" i="3"/>
  <c r="D458" i="3"/>
  <c r="D459" i="3"/>
  <c r="D454" i="3"/>
  <c r="D223" i="1"/>
  <c r="D221" i="1"/>
  <c r="D222" i="1"/>
  <c r="D444" i="3"/>
  <c r="D445" i="3"/>
  <c r="D446" i="3"/>
  <c r="D447" i="3"/>
  <c r="D448" i="3"/>
  <c r="D219" i="1"/>
  <c r="D442" i="3"/>
  <c r="D443" i="3"/>
  <c r="D440" i="3"/>
  <c r="D441" i="3"/>
  <c r="D438" i="3"/>
  <c r="D439" i="3"/>
  <c r="D435" i="3"/>
  <c r="D436" i="3"/>
  <c r="D437" i="3"/>
  <c r="D216" i="1"/>
  <c r="D215" i="1"/>
  <c r="D214" i="1"/>
  <c r="D213" i="1"/>
  <c r="D212" i="1"/>
  <c r="D211" i="1"/>
  <c r="D210" i="1"/>
  <c r="D209" i="1"/>
  <c r="D208" i="1"/>
  <c r="D207" i="1"/>
  <c r="D206" i="1"/>
  <c r="D205" i="1"/>
  <c r="D204" i="1"/>
  <c r="D434" i="3"/>
  <c r="D426" i="3"/>
  <c r="D427" i="3"/>
  <c r="D428" i="3"/>
  <c r="D429" i="3"/>
  <c r="D430" i="3"/>
  <c r="D431" i="3"/>
  <c r="D432" i="3"/>
  <c r="D433" i="3"/>
  <c r="D203" i="1"/>
  <c r="D423" i="3"/>
  <c r="D424" i="3"/>
  <c r="D425" i="3"/>
  <c r="D415" i="3"/>
  <c r="D416" i="3"/>
  <c r="D417" i="3"/>
  <c r="D418" i="3"/>
  <c r="D419" i="3"/>
  <c r="D420" i="3"/>
  <c r="D421" i="3"/>
  <c r="D422" i="3"/>
  <c r="D414" i="3"/>
  <c r="D412" i="3"/>
  <c r="D413" i="3"/>
  <c r="D411" i="3"/>
  <c r="D202" i="1"/>
  <c r="D201" i="1"/>
  <c r="D410" i="3"/>
  <c r="D403" i="3"/>
  <c r="D404" i="3"/>
  <c r="D405" i="3"/>
  <c r="D406" i="3"/>
  <c r="D407" i="3"/>
  <c r="D408" i="3"/>
  <c r="D409" i="3"/>
  <c r="D401" i="3"/>
  <c r="D402" i="3"/>
  <c r="D195" i="1"/>
  <c r="D196" i="1"/>
  <c r="D197" i="1"/>
  <c r="D198" i="1"/>
  <c r="D199" i="1"/>
  <c r="D200" i="1"/>
  <c r="D400" i="3"/>
  <c r="D396" i="3"/>
  <c r="D397" i="3"/>
  <c r="D398" i="3"/>
  <c r="D399" i="3"/>
  <c r="D390" i="3"/>
  <c r="D391" i="3"/>
  <c r="D394" i="3"/>
  <c r="D395" i="3"/>
  <c r="D376" i="3"/>
  <c r="D377" i="3"/>
  <c r="D378" i="3"/>
  <c r="D379" i="3"/>
  <c r="D380" i="3"/>
  <c r="D381" i="3"/>
  <c r="D389" i="3"/>
  <c r="D392" i="3"/>
  <c r="D393" i="3"/>
  <c r="D388" i="3"/>
  <c r="D387" i="3"/>
  <c r="D383" i="3"/>
  <c r="D384" i="3"/>
  <c r="D385" i="3"/>
  <c r="D386" i="3"/>
  <c r="D367" i="3"/>
  <c r="D368" i="3"/>
  <c r="D369" i="3"/>
  <c r="D370" i="3"/>
  <c r="D371" i="3"/>
  <c r="D372" i="3"/>
  <c r="D373" i="3"/>
  <c r="D374" i="3"/>
  <c r="D375" i="3"/>
  <c r="D382" i="3"/>
  <c r="D355" i="3"/>
  <c r="D356" i="3"/>
  <c r="D357" i="3"/>
  <c r="D358" i="3"/>
  <c r="D359" i="3"/>
  <c r="D360" i="3"/>
  <c r="D361" i="3"/>
  <c r="D362" i="3"/>
  <c r="D363" i="3"/>
  <c r="D364" i="3"/>
  <c r="D365" i="3"/>
  <c r="D366" i="3"/>
  <c r="D193" i="1"/>
  <c r="D194" i="1"/>
  <c r="D354" i="3"/>
  <c r="D351" i="3"/>
  <c r="D352" i="3"/>
  <c r="D353" i="3"/>
  <c r="D348" i="3"/>
  <c r="D349" i="3"/>
  <c r="D350" i="3"/>
  <c r="D345" i="3"/>
  <c r="D346" i="3"/>
  <c r="D347" i="3"/>
  <c r="D192" i="1"/>
  <c r="D190" i="1"/>
  <c r="D191" i="1"/>
  <c r="D189" i="1"/>
  <c r="D187" i="1"/>
  <c r="D188" i="1"/>
  <c r="D344" i="3"/>
  <c r="D335" i="3"/>
  <c r="D336" i="3"/>
  <c r="D337" i="3"/>
  <c r="D338" i="3"/>
  <c r="D339" i="3"/>
  <c r="D340" i="3"/>
  <c r="D341" i="3"/>
  <c r="D342" i="3"/>
  <c r="D343" i="3"/>
  <c r="D330" i="3"/>
  <c r="D331" i="3"/>
  <c r="D332" i="3"/>
  <c r="D333" i="3"/>
  <c r="D334" i="3"/>
  <c r="D327" i="3"/>
  <c r="D328" i="3"/>
  <c r="D329" i="3"/>
  <c r="D325" i="3"/>
  <c r="D326" i="3"/>
  <c r="D322" i="3"/>
  <c r="D323" i="3"/>
  <c r="D324" i="3"/>
  <c r="D319" i="3"/>
  <c r="D320" i="3"/>
  <c r="D321" i="3"/>
  <c r="AE145" i="1"/>
  <c r="D186" i="1"/>
  <c r="D185" i="1"/>
  <c r="D184" i="1"/>
  <c r="D315" i="3"/>
  <c r="D316" i="3"/>
  <c r="D317" i="3"/>
  <c r="D318" i="3"/>
  <c r="D183" i="1"/>
  <c r="D182" i="1"/>
  <c r="D181" i="1"/>
  <c r="D180" i="1"/>
  <c r="D179" i="1"/>
  <c r="D314" i="3"/>
  <c r="D313" i="3"/>
  <c r="D311" i="3"/>
  <c r="D309" i="3"/>
  <c r="D310" i="3"/>
  <c r="D312" i="3"/>
  <c r="D307" i="3"/>
  <c r="D308" i="3"/>
  <c r="D305" i="3"/>
  <c r="D306" i="3"/>
  <c r="D304" i="3"/>
  <c r="D299" i="3"/>
  <c r="D300" i="3"/>
  <c r="D301" i="3"/>
  <c r="D302" i="3"/>
  <c r="D303" i="3"/>
  <c r="D297" i="3"/>
  <c r="D298" i="3"/>
  <c r="D293" i="3" l="1"/>
  <c r="D294" i="3"/>
  <c r="D295" i="3"/>
  <c r="D296" i="3"/>
  <c r="D290" i="3"/>
  <c r="D291" i="3"/>
  <c r="D292" i="3"/>
  <c r="D287" i="3"/>
  <c r="D288" i="3"/>
  <c r="D289" i="3"/>
  <c r="D286" i="3"/>
  <c r="D285" i="3"/>
  <c r="D178" i="1"/>
  <c r="D177" i="1"/>
  <c r="D176" i="1"/>
  <c r="D175" i="1"/>
  <c r="D174" i="1"/>
  <c r="D284" i="3"/>
  <c r="D283" i="3"/>
  <c r="D281" i="3"/>
  <c r="D282" i="3"/>
  <c r="D280" i="3"/>
  <c r="D276" i="3"/>
  <c r="D277" i="3"/>
  <c r="D278" i="3"/>
  <c r="D279" i="3"/>
  <c r="D173" i="1"/>
  <c r="D274" i="3"/>
  <c r="D275" i="3"/>
  <c r="D273" i="3"/>
  <c r="D171" i="1"/>
  <c r="D172" i="1"/>
  <c r="D170" i="1"/>
  <c r="D169" i="1"/>
  <c r="D271" i="3"/>
  <c r="D272" i="3"/>
  <c r="D266" i="3"/>
  <c r="D267" i="3"/>
  <c r="D268" i="3"/>
  <c r="D269" i="3"/>
  <c r="D270" i="3"/>
  <c r="D264" i="3"/>
  <c r="D265" i="3"/>
  <c r="D261" i="3"/>
  <c r="D262" i="3"/>
  <c r="D263" i="3"/>
  <c r="D147" i="1"/>
  <c r="D159" i="1"/>
  <c r="D154" i="3"/>
  <c r="D167" i="1"/>
  <c r="D168" i="1"/>
  <c r="D260" i="3"/>
  <c r="D149" i="3"/>
  <c r="D150" i="3"/>
  <c r="D166" i="1"/>
  <c r="D165" i="1"/>
  <c r="D164" i="1"/>
  <c r="D152" i="1"/>
  <c r="D258" i="3"/>
  <c r="D259" i="3"/>
  <c r="D257" i="3"/>
  <c r="D255" i="3"/>
  <c r="D256" i="3"/>
  <c r="D251" i="3"/>
  <c r="D252" i="3"/>
  <c r="D253" i="3"/>
  <c r="D254" i="3"/>
  <c r="D150" i="1"/>
  <c r="D151" i="1"/>
  <c r="D153" i="1"/>
  <c r="D154" i="1"/>
  <c r="D155" i="1"/>
  <c r="D156" i="1"/>
  <c r="D157" i="1"/>
  <c r="D158" i="1"/>
  <c r="D160" i="1"/>
  <c r="D161" i="1"/>
  <c r="D162" i="1"/>
  <c r="D163" i="1"/>
  <c r="D157" i="3"/>
  <c r="D156" i="3"/>
  <c r="D155" i="3"/>
  <c r="D249" i="3"/>
  <c r="D250" i="3"/>
  <c r="D243" i="3"/>
  <c r="D244" i="3"/>
  <c r="D245" i="3"/>
  <c r="D246" i="3"/>
  <c r="D247" i="3"/>
  <c r="D248" i="3"/>
  <c r="D233" i="3"/>
  <c r="D234" i="3"/>
  <c r="D235" i="3"/>
  <c r="D236" i="3"/>
  <c r="D237" i="3"/>
  <c r="D238" i="3"/>
  <c r="D239" i="3"/>
  <c r="D240" i="3"/>
  <c r="D241" i="3"/>
  <c r="D242" i="3"/>
  <c r="D227" i="3"/>
  <c r="D224" i="3"/>
  <c r="D225" i="3"/>
  <c r="D226" i="3"/>
  <c r="D228" i="3"/>
  <c r="D229" i="3"/>
  <c r="D230" i="3"/>
  <c r="D231" i="3"/>
  <c r="D232" i="3"/>
  <c r="D223" i="3"/>
  <c r="D222" i="3"/>
  <c r="D211" i="3"/>
  <c r="D212" i="3"/>
  <c r="D217" i="3"/>
  <c r="D213" i="3"/>
  <c r="D214" i="3"/>
  <c r="D215" i="3"/>
  <c r="D216" i="3"/>
  <c r="D218" i="3"/>
  <c r="D219" i="3"/>
  <c r="D220" i="3"/>
  <c r="D221" i="3"/>
  <c r="D209" i="3"/>
  <c r="D207" i="3"/>
  <c r="D208" i="3"/>
  <c r="D206" i="3"/>
  <c r="D205" i="3"/>
  <c r="D202" i="3"/>
  <c r="D203" i="3"/>
  <c r="D204" i="3"/>
  <c r="AE132" i="1"/>
  <c r="AE133" i="1"/>
  <c r="AD132" i="1"/>
  <c r="AD133" i="1"/>
  <c r="AE146" i="1"/>
  <c r="AD145" i="1"/>
  <c r="AD146" i="1"/>
  <c r="AD148" i="1"/>
  <c r="AD149" i="1"/>
  <c r="AD150" i="1"/>
  <c r="AE135" i="1"/>
  <c r="AE136" i="1"/>
  <c r="AE137" i="1"/>
  <c r="AE138" i="1"/>
  <c r="AE139" i="1"/>
  <c r="AE140" i="1"/>
  <c r="AE141" i="1"/>
  <c r="AE142" i="1"/>
  <c r="AE143" i="1"/>
  <c r="AE144" i="1"/>
  <c r="AD135" i="1"/>
  <c r="AD136" i="1"/>
  <c r="AD137" i="1"/>
  <c r="AD138" i="1"/>
  <c r="AD139" i="1"/>
  <c r="AD140" i="1"/>
  <c r="AD141" i="1"/>
  <c r="AD142" i="1"/>
  <c r="AD143" i="1"/>
  <c r="AD144" i="1"/>
  <c r="D149" i="1"/>
  <c r="D148" i="1"/>
  <c r="D146" i="1"/>
  <c r="D145" i="1"/>
  <c r="D144" i="1"/>
  <c r="D143" i="1"/>
  <c r="D142" i="1"/>
  <c r="D141" i="1"/>
  <c r="D139" i="1"/>
  <c r="D201" i="3"/>
  <c r="D197" i="3"/>
  <c r="D198" i="3"/>
  <c r="D199" i="3"/>
  <c r="D200" i="3"/>
  <c r="D196" i="3" l="1"/>
  <c r="D195" i="3"/>
  <c r="D194" i="3"/>
  <c r="D193" i="3"/>
  <c r="D190" i="3"/>
  <c r="D191" i="3"/>
  <c r="D192" i="3"/>
  <c r="D189" i="3"/>
  <c r="D138" i="1"/>
  <c r="D187" i="3"/>
  <c r="D188" i="3"/>
  <c r="D180" i="3"/>
  <c r="D181" i="3"/>
  <c r="D182" i="3"/>
  <c r="D183" i="3"/>
  <c r="D184" i="3"/>
  <c r="D185" i="3"/>
  <c r="D186" i="3"/>
  <c r="D132" i="1"/>
  <c r="D136" i="1"/>
  <c r="D178" i="3"/>
  <c r="D179" i="3"/>
  <c r="D177" i="3"/>
  <c r="D176" i="3"/>
  <c r="D165" i="3"/>
  <c r="D167" i="3"/>
  <c r="D168" i="3"/>
  <c r="D169" i="3"/>
  <c r="D170" i="3"/>
  <c r="D171" i="3"/>
  <c r="D172" i="3"/>
  <c r="D174" i="3"/>
  <c r="D175" i="3"/>
  <c r="D173" i="3"/>
  <c r="D135" i="1"/>
  <c r="D134" i="1"/>
  <c r="D164" i="3"/>
  <c r="D163" i="3"/>
  <c r="D161" i="3"/>
  <c r="D162" i="3"/>
  <c r="D160" i="3" l="1"/>
  <c r="D159" i="3"/>
  <c r="D158" i="3"/>
  <c r="D152" i="3"/>
  <c r="D153" i="3"/>
  <c r="D151" i="3"/>
  <c r="D148" i="3"/>
  <c r="D133" i="1"/>
  <c r="AD128" i="1"/>
  <c r="AE128" i="1"/>
  <c r="AD129" i="1"/>
  <c r="AE129" i="1"/>
  <c r="AD130" i="1"/>
  <c r="AE130" i="1"/>
  <c r="AD131" i="1"/>
  <c r="AE131" i="1"/>
  <c r="AD134" i="1"/>
  <c r="AE134" i="1"/>
  <c r="D131" i="1"/>
  <c r="D147" i="3"/>
  <c r="D141" i="3" l="1"/>
  <c r="D145" i="3"/>
  <c r="D146" i="3"/>
  <c r="D144" i="3"/>
  <c r="D130" i="1"/>
  <c r="D129" i="1"/>
  <c r="D128" i="1"/>
  <c r="D127" i="1"/>
  <c r="D126" i="1"/>
  <c r="D125" i="1"/>
  <c r="D124" i="1"/>
  <c r="AE123" i="1"/>
  <c r="AE124" i="1"/>
  <c r="AE125" i="1"/>
  <c r="AE126" i="1"/>
  <c r="AE127" i="1"/>
  <c r="AD123" i="1"/>
  <c r="AD124" i="1"/>
  <c r="AD125" i="1"/>
  <c r="AD126" i="1"/>
  <c r="AD127" i="1"/>
  <c r="D123" i="1"/>
  <c r="D137" i="3"/>
  <c r="D138" i="3"/>
  <c r="D143" i="3"/>
  <c r="D136" i="3"/>
  <c r="D139" i="3"/>
  <c r="D140" i="3"/>
  <c r="D142" i="3"/>
  <c r="D135" i="3"/>
  <c r="D120" i="3"/>
  <c r="D121" i="3"/>
  <c r="D122" i="3"/>
  <c r="D123" i="3"/>
  <c r="D124" i="3"/>
  <c r="D125" i="3"/>
  <c r="D126" i="3"/>
  <c r="D127" i="3"/>
  <c r="D131" i="3"/>
  <c r="D132" i="3"/>
  <c r="D133" i="3"/>
  <c r="D134" i="3"/>
  <c r="D128" i="3"/>
  <c r="D129" i="3"/>
  <c r="D130" i="3"/>
  <c r="D89" i="1"/>
  <c r="D88"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90" i="1"/>
  <c r="J91" i="1"/>
  <c r="J92" i="1"/>
  <c r="J93" i="1"/>
  <c r="J94" i="1"/>
  <c r="J95" i="1"/>
  <c r="J96" i="1"/>
  <c r="J97" i="1"/>
  <c r="J98" i="1"/>
  <c r="J99" i="1"/>
  <c r="J100" i="1"/>
  <c r="J101" i="1"/>
  <c r="J103" i="1"/>
  <c r="J104" i="1"/>
  <c r="J105" i="1"/>
  <c r="J106" i="1"/>
  <c r="J107" i="1"/>
  <c r="J108" i="1"/>
  <c r="J109" i="1"/>
  <c r="J110" i="1"/>
  <c r="J111" i="1"/>
  <c r="J112" i="1"/>
  <c r="J113" i="1"/>
  <c r="J114" i="1"/>
  <c r="J115" i="1"/>
  <c r="J116" i="1"/>
  <c r="J117" i="1"/>
  <c r="J118" i="1"/>
  <c r="J119" i="1"/>
  <c r="J120" i="1"/>
  <c r="J121" i="1"/>
  <c r="J122" i="1"/>
  <c r="J90" i="1"/>
  <c r="H113" i="1"/>
  <c r="H114" i="1"/>
  <c r="H115" i="1"/>
  <c r="H116" i="1"/>
  <c r="H117" i="1"/>
  <c r="H118" i="1"/>
  <c r="H119" i="1"/>
  <c r="H120" i="1"/>
  <c r="H121" i="1"/>
  <c r="H122" i="1"/>
  <c r="H96" i="1"/>
  <c r="H97" i="1"/>
  <c r="H98" i="1"/>
  <c r="H99" i="1"/>
  <c r="H100" i="1"/>
  <c r="H101" i="1"/>
  <c r="H103" i="1"/>
  <c r="H104" i="1"/>
  <c r="H105" i="1"/>
  <c r="H106" i="1"/>
  <c r="H107" i="1"/>
  <c r="H108" i="1"/>
  <c r="H109" i="1"/>
  <c r="H110" i="1"/>
  <c r="H111" i="1"/>
  <c r="H112" i="1"/>
  <c r="H91" i="1"/>
  <c r="H92" i="1"/>
  <c r="H93" i="1"/>
  <c r="H94" i="1"/>
  <c r="H95" i="1"/>
  <c r="H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20" i="1"/>
  <c r="D121" i="1"/>
  <c r="D122" i="1"/>
  <c r="D90" i="1"/>
  <c r="C91" i="1"/>
  <c r="C92" i="1"/>
  <c r="C93" i="1"/>
  <c r="C94" i="1"/>
  <c r="C95" i="1"/>
  <c r="C96" i="1"/>
  <c r="C97" i="1"/>
  <c r="C98" i="1"/>
  <c r="C99" i="1"/>
  <c r="C100" i="1"/>
  <c r="C101" i="1"/>
  <c r="C103" i="1"/>
  <c r="C104" i="1"/>
  <c r="C105" i="1"/>
  <c r="C106" i="1"/>
  <c r="C107" i="1"/>
  <c r="C108" i="1"/>
  <c r="C109" i="1"/>
  <c r="C110" i="1"/>
  <c r="C111" i="1"/>
  <c r="C112" i="1"/>
  <c r="C113" i="1"/>
  <c r="C114" i="1"/>
  <c r="C115" i="1"/>
  <c r="C116" i="1"/>
  <c r="C117" i="1"/>
  <c r="C118" i="1"/>
  <c r="C120" i="1"/>
  <c r="C121" i="1"/>
  <c r="C122" i="1"/>
  <c r="C90" i="1"/>
  <c r="E91" i="1"/>
  <c r="E92" i="1"/>
  <c r="E93" i="1"/>
  <c r="E94" i="1"/>
  <c r="E95" i="1"/>
  <c r="E96" i="1"/>
  <c r="E97" i="1"/>
  <c r="E98" i="1"/>
  <c r="E99" i="1"/>
  <c r="E100" i="1"/>
  <c r="E101" i="1"/>
  <c r="E103" i="1"/>
  <c r="E104" i="1"/>
  <c r="E105" i="1"/>
  <c r="E106" i="1"/>
  <c r="E107" i="1"/>
  <c r="E108" i="1"/>
  <c r="E109" i="1"/>
  <c r="E110" i="1"/>
  <c r="E111" i="1"/>
  <c r="E112" i="1"/>
  <c r="E113" i="1"/>
  <c r="E114" i="1"/>
  <c r="E115" i="1"/>
  <c r="E116" i="1"/>
  <c r="E117" i="1"/>
  <c r="E118" i="1"/>
  <c r="E119" i="1"/>
  <c r="E120" i="1"/>
  <c r="E121" i="1"/>
  <c r="E122" i="1"/>
  <c r="E90" i="1"/>
  <c r="B90" i="1"/>
  <c r="B111" i="1"/>
  <c r="B112" i="1"/>
  <c r="B113" i="1"/>
  <c r="B114" i="1"/>
  <c r="B115" i="1"/>
  <c r="B116" i="1"/>
  <c r="B117" i="1"/>
  <c r="B118" i="1"/>
  <c r="B119" i="1"/>
  <c r="D119" i="1" s="1"/>
  <c r="B120" i="1"/>
  <c r="B121" i="1"/>
  <c r="B122" i="1"/>
  <c r="B99" i="1"/>
  <c r="B100" i="1"/>
  <c r="B101" i="1"/>
  <c r="B103" i="1"/>
  <c r="B104" i="1"/>
  <c r="B105" i="1"/>
  <c r="B106" i="1"/>
  <c r="B107" i="1"/>
  <c r="B108" i="1"/>
  <c r="B109" i="1"/>
  <c r="B110" i="1"/>
  <c r="B91" i="1"/>
  <c r="B92" i="1"/>
  <c r="B93" i="1"/>
  <c r="B94" i="1"/>
  <c r="B95" i="1"/>
  <c r="B96" i="1"/>
  <c r="B97" i="1"/>
  <c r="B98" i="1"/>
  <c r="D109" i="3"/>
  <c r="D110" i="3"/>
  <c r="D111" i="3"/>
  <c r="D112" i="3"/>
  <c r="D113" i="3"/>
  <c r="D116" i="3"/>
  <c r="D118" i="3"/>
  <c r="D119" i="3"/>
  <c r="D108" i="3"/>
  <c r="D107" i="3"/>
  <c r="D106" i="3"/>
  <c r="D105" i="3"/>
  <c r="D104" i="3"/>
  <c r="D81" i="3"/>
  <c r="D82" i="3"/>
  <c r="D3" i="3"/>
  <c r="D2" i="3"/>
  <c r="D77" i="3"/>
  <c r="D76" i="3"/>
  <c r="D75" i="3"/>
  <c r="D74" i="3"/>
  <c r="D73" i="3"/>
  <c r="D102" i="3"/>
  <c r="D101" i="3"/>
  <c r="D100" i="3"/>
  <c r="D71" i="3"/>
  <c r="D70" i="3"/>
  <c r="D69" i="3"/>
  <c r="D53" i="3"/>
  <c r="D54" i="3"/>
  <c r="D55" i="3"/>
  <c r="D56" i="3"/>
  <c r="D57" i="3"/>
  <c r="D58" i="3"/>
  <c r="D59" i="3"/>
  <c r="D60" i="3"/>
  <c r="D62" i="3"/>
  <c r="D61" i="3"/>
  <c r="D63" i="3"/>
  <c r="D64" i="3"/>
  <c r="D65" i="3"/>
  <c r="D66" i="3"/>
  <c r="D67" i="3"/>
  <c r="D68" i="3"/>
  <c r="D72" i="3"/>
  <c r="D78" i="3"/>
  <c r="D79" i="3"/>
  <c r="D80" i="3"/>
  <c r="D83" i="3"/>
  <c r="D84" i="3"/>
  <c r="D85" i="3"/>
  <c r="D86" i="3"/>
  <c r="D87" i="3"/>
  <c r="D88" i="3"/>
  <c r="D89" i="3"/>
  <c r="D90" i="3"/>
  <c r="D91" i="3"/>
  <c r="D92" i="3"/>
  <c r="D93" i="3"/>
  <c r="D94" i="3"/>
  <c r="D95" i="3"/>
  <c r="D96" i="3"/>
  <c r="D97" i="3"/>
  <c r="D98" i="3"/>
  <c r="D99" i="3"/>
  <c r="D103" i="3"/>
  <c r="D52" i="3"/>
  <c r="D51" i="3"/>
  <c r="D50" i="3"/>
  <c r="D49" i="3"/>
  <c r="D47" i="3"/>
  <c r="D38" i="3"/>
  <c r="D19" i="3"/>
  <c r="D20" i="3"/>
  <c r="D5" i="3"/>
  <c r="D6" i="3"/>
  <c r="D7" i="3"/>
  <c r="D8" i="3"/>
  <c r="D9" i="3"/>
  <c r="D11" i="3"/>
  <c r="D12" i="3"/>
  <c r="D13" i="3"/>
  <c r="D14" i="3"/>
  <c r="D15" i="3"/>
  <c r="D16" i="3"/>
  <c r="D17" i="3"/>
  <c r="D18" i="3"/>
  <c r="D21" i="3"/>
  <c r="D22" i="3"/>
  <c r="D23" i="3"/>
  <c r="D24" i="3"/>
  <c r="D25" i="3"/>
  <c r="D26" i="3"/>
  <c r="D27" i="3"/>
  <c r="D28" i="3"/>
  <c r="D29" i="3"/>
  <c r="D30" i="3"/>
  <c r="D31" i="3"/>
  <c r="D32" i="3"/>
  <c r="D33" i="3"/>
  <c r="D34" i="3"/>
  <c r="D35" i="3"/>
  <c r="D36" i="3"/>
  <c r="D37" i="3"/>
  <c r="D39" i="3"/>
  <c r="D40" i="3"/>
  <c r="D41" i="3"/>
  <c r="D42" i="3"/>
  <c r="D43" i="3"/>
  <c r="D44" i="3"/>
  <c r="D45" i="3"/>
  <c r="D46" i="3"/>
  <c r="D48" i="3"/>
  <c r="D4" i="3"/>
  <c r="AE89" i="1"/>
  <c r="AE48" i="1"/>
  <c r="AD28" i="1"/>
  <c r="AE28" i="1"/>
  <c r="AD29" i="1"/>
  <c r="AE29" i="1"/>
  <c r="AD30" i="1"/>
  <c r="AE30" i="1"/>
  <c r="AD31" i="1"/>
  <c r="AE31" i="1"/>
  <c r="AD32" i="1"/>
  <c r="AE32" i="1"/>
  <c r="AD43" i="1"/>
  <c r="AE43" i="1"/>
  <c r="AD34" i="1"/>
  <c r="AE34" i="1"/>
  <c r="AD35" i="1"/>
  <c r="AE35" i="1"/>
  <c r="AD36" i="1"/>
  <c r="AE36" i="1"/>
  <c r="AD37" i="1"/>
  <c r="AE37" i="1"/>
  <c r="AD38" i="1"/>
  <c r="AE38" i="1"/>
  <c r="AD39" i="1"/>
  <c r="AE39" i="1"/>
  <c r="AD40" i="1"/>
  <c r="AE40" i="1"/>
  <c r="AD41" i="1"/>
  <c r="AE41" i="1"/>
  <c r="AD42" i="1"/>
  <c r="AE42" i="1"/>
  <c r="AD76" i="1"/>
  <c r="AE76" i="1"/>
  <c r="AD44" i="1"/>
  <c r="AE44" i="1"/>
  <c r="AD45" i="1"/>
  <c r="AE45" i="1"/>
  <c r="AD46" i="1"/>
  <c r="AE46" i="1"/>
  <c r="AD47" i="1"/>
  <c r="AE47" i="1"/>
  <c r="AD48" i="1"/>
  <c r="AD49" i="1"/>
  <c r="AE49" i="1"/>
  <c r="AD50" i="1"/>
  <c r="AE50" i="1"/>
  <c r="AD52" i="1"/>
  <c r="AE52" i="1"/>
  <c r="AD53" i="1"/>
  <c r="AE53" i="1"/>
  <c r="AD54" i="1"/>
  <c r="AE54" i="1"/>
  <c r="AD55" i="1"/>
  <c r="AE55" i="1"/>
  <c r="AD57" i="1"/>
  <c r="AE57" i="1"/>
  <c r="AD58" i="1"/>
  <c r="AE58" i="1"/>
  <c r="AD59" i="1"/>
  <c r="AE59" i="1"/>
  <c r="AD60" i="1"/>
  <c r="AE60" i="1"/>
  <c r="AD61" i="1"/>
  <c r="AE61" i="1"/>
  <c r="AD62" i="1"/>
  <c r="AE62" i="1"/>
  <c r="AD63" i="1"/>
  <c r="AE63" i="1"/>
  <c r="AD64" i="1"/>
  <c r="AE64" i="1"/>
  <c r="AD65" i="1"/>
  <c r="AE65" i="1"/>
  <c r="AD66" i="1"/>
  <c r="AE66" i="1"/>
  <c r="AD68" i="1"/>
  <c r="AE68" i="1"/>
  <c r="AD69" i="1"/>
  <c r="AE69" i="1"/>
  <c r="AD70" i="1"/>
  <c r="AE70" i="1"/>
  <c r="AD71" i="1"/>
  <c r="AE71" i="1"/>
  <c r="AD72" i="1"/>
  <c r="AE72" i="1"/>
  <c r="AD73" i="1"/>
  <c r="AE73" i="1"/>
  <c r="AD74" i="1"/>
  <c r="AE74" i="1"/>
  <c r="AD75" i="1"/>
  <c r="AE75" i="1"/>
  <c r="AD33" i="1"/>
  <c r="AE33" i="1"/>
  <c r="AD77" i="1"/>
  <c r="AE77" i="1"/>
  <c r="AD78" i="1"/>
  <c r="AE78" i="1"/>
  <c r="AD79" i="1"/>
  <c r="AE79" i="1"/>
  <c r="AD80" i="1"/>
  <c r="AE80" i="1"/>
  <c r="AD81" i="1"/>
  <c r="AE81" i="1"/>
  <c r="AD82" i="1"/>
  <c r="AE82" i="1"/>
  <c r="AD83" i="1"/>
  <c r="AE83" i="1"/>
  <c r="AD84" i="1"/>
  <c r="AE84" i="1"/>
  <c r="AD85" i="1"/>
  <c r="AE85" i="1"/>
  <c r="AD86" i="1"/>
  <c r="AE86" i="1"/>
  <c r="AD88" i="1"/>
  <c r="AE88" i="1"/>
  <c r="AD89" i="1"/>
  <c r="AE26" i="1"/>
  <c r="AE27" i="1"/>
  <c r="AD26" i="1"/>
  <c r="AD27" i="1"/>
  <c r="AE21" i="1"/>
  <c r="AE22" i="1"/>
  <c r="AE23" i="1"/>
  <c r="AE24" i="1"/>
  <c r="AE25" i="1"/>
  <c r="AD21" i="1"/>
  <c r="AD22" i="1"/>
  <c r="AD23" i="1"/>
  <c r="AD24" i="1"/>
  <c r="AD25" i="1"/>
  <c r="AD3" i="1"/>
  <c r="AD4" i="1"/>
  <c r="AD5" i="1"/>
  <c r="AD6" i="1"/>
  <c r="AD7" i="1"/>
  <c r="AD8" i="1"/>
  <c r="AD9" i="1"/>
  <c r="AD10" i="1"/>
  <c r="AD11" i="1"/>
  <c r="AD12" i="1"/>
  <c r="AD13" i="1"/>
  <c r="AD14" i="1"/>
  <c r="AD15" i="1"/>
  <c r="AD16" i="1"/>
  <c r="AD17" i="1"/>
  <c r="AD18" i="1"/>
  <c r="AD19" i="1"/>
  <c r="AD20" i="1"/>
  <c r="AE3" i="1"/>
  <c r="AE4" i="1"/>
  <c r="AE5" i="1"/>
  <c r="AE6" i="1"/>
  <c r="AE7" i="1"/>
  <c r="AE8" i="1"/>
  <c r="AE9" i="1"/>
  <c r="AE10" i="1"/>
  <c r="AE11" i="1"/>
  <c r="AE12" i="1"/>
  <c r="AE13" i="1"/>
  <c r="AE14" i="1"/>
  <c r="AE15" i="1"/>
  <c r="AE16" i="1"/>
  <c r="AE17" i="1"/>
  <c r="AE18" i="1"/>
  <c r="AE19" i="1"/>
  <c r="AE20" i="1"/>
  <c r="AE2" i="1"/>
  <c r="AD2" i="1"/>
  <c r="AE113" i="1" l="1"/>
  <c r="AE90" i="1"/>
  <c r="AE121" i="1"/>
  <c r="AE109" i="1"/>
  <c r="AE97" i="1"/>
  <c r="AE108" i="1"/>
  <c r="AE120" i="1"/>
  <c r="AE114" i="1"/>
  <c r="AE101" i="1"/>
  <c r="AE112" i="1"/>
  <c r="AE111" i="1"/>
  <c r="AE122" i="1"/>
  <c r="AE107" i="1"/>
  <c r="AE119" i="1"/>
  <c r="AE102" i="1"/>
  <c r="AE100" i="1"/>
  <c r="AE99" i="1"/>
  <c r="AE98" i="1"/>
  <c r="AE110" i="1"/>
  <c r="AE96" i="1"/>
  <c r="AE95" i="1"/>
  <c r="AE115" i="1"/>
  <c r="AE103" i="1"/>
  <c r="AE91" i="1"/>
  <c r="AE118" i="1"/>
  <c r="AE94" i="1"/>
  <c r="AE117" i="1"/>
  <c r="AE105" i="1"/>
  <c r="AE93" i="1"/>
  <c r="AE106" i="1"/>
  <c r="AE116" i="1"/>
  <c r="AE104" i="1"/>
  <c r="AE92" i="1"/>
</calcChain>
</file>

<file path=xl/sharedStrings.xml><?xml version="1.0" encoding="utf-8"?>
<sst xmlns="http://schemas.openxmlformats.org/spreadsheetml/2006/main" count="18690" uniqueCount="2330">
  <si>
    <t xml:space="preserve"># Microsaturación </t>
  </si>
  <si>
    <t>Fecha recepción</t>
  </si>
  <si>
    <t>Fecha de envío</t>
  </si>
  <si>
    <t>Días de envío</t>
  </si>
  <si>
    <t>Practicante</t>
  </si>
  <si>
    <t>Region</t>
  </si>
  <si>
    <t>UPZ</t>
  </si>
  <si>
    <t xml:space="preserve">Nombre PP </t>
  </si>
  <si>
    <t>Estado</t>
  </si>
  <si>
    <t>Especialista</t>
  </si>
  <si>
    <t>Longitud</t>
  </si>
  <si>
    <t>Latitud</t>
  </si>
  <si>
    <t>Tienda Microsaturada 1</t>
  </si>
  <si>
    <t>Riesgo</t>
  </si>
  <si>
    <t>Tienda Microsaturada 2</t>
  </si>
  <si>
    <t>Tipo de estudio</t>
  </si>
  <si>
    <t>Tienda Microsaturada 3</t>
  </si>
  <si>
    <t>Tienda Microsaturada 4</t>
  </si>
  <si>
    <t>Tienda Microsaturada 5</t>
  </si>
  <si>
    <t>Tienda Microsaturada 6</t>
  </si>
  <si>
    <t>Tiendas evaluadas</t>
  </si>
  <si>
    <t>Ubicación</t>
  </si>
  <si>
    <t>Bogotá</t>
  </si>
  <si>
    <t>Los Cedros</t>
  </si>
  <si>
    <t>Country 134</t>
  </si>
  <si>
    <t>Entregado</t>
  </si>
  <si>
    <t>Maria Alejandra Ardila Sanchez</t>
  </si>
  <si>
    <t>Contador (Bog)</t>
  </si>
  <si>
    <t>Medio</t>
  </si>
  <si>
    <t>Los Alcazares</t>
  </si>
  <si>
    <t>Balcones Polo</t>
  </si>
  <si>
    <t>Chico Lago</t>
  </si>
  <si>
    <t>WTC</t>
  </si>
  <si>
    <t xml:space="preserve">Martha Lopez </t>
  </si>
  <si>
    <t>Capital Towers Bog</t>
  </si>
  <si>
    <t>Trade Center Bog</t>
  </si>
  <si>
    <t>Galerias</t>
  </si>
  <si>
    <t>Caracas 49</t>
  </si>
  <si>
    <t>Jenny Paola Acuña Rojas</t>
  </si>
  <si>
    <t>Alfonso Lopez (Bog)</t>
  </si>
  <si>
    <t>Alto</t>
  </si>
  <si>
    <t>Quesada 52 Bog</t>
  </si>
  <si>
    <t>Quinta Paredes</t>
  </si>
  <si>
    <t>Takay</t>
  </si>
  <si>
    <t xml:space="preserve">Jairo Delagado Pineda </t>
  </si>
  <si>
    <t>Paseo Gran America B</t>
  </si>
  <si>
    <t>Santa Cecilia</t>
  </si>
  <si>
    <t>NN</t>
  </si>
  <si>
    <t>Leidy Viviana Mejia</t>
  </si>
  <si>
    <t>Nromandia 53 (Bog)</t>
  </si>
  <si>
    <t>Puente Aranda</t>
  </si>
  <si>
    <t>Américas Factory</t>
  </si>
  <si>
    <t>Jury Carolina Gonzalez</t>
  </si>
  <si>
    <t>Bello Horizonte</t>
  </si>
  <si>
    <t>Chapinero</t>
  </si>
  <si>
    <t>Latitud 58</t>
  </si>
  <si>
    <t>Jairo Ernesto Castilla</t>
  </si>
  <si>
    <t>calle 59 Bog</t>
  </si>
  <si>
    <t>Infinitum Bog</t>
  </si>
  <si>
    <t>Central 75</t>
  </si>
  <si>
    <t>Lago Cra 13</t>
  </si>
  <si>
    <t>Calle 77 Bog</t>
  </si>
  <si>
    <t>Lago Gaitan Bog</t>
  </si>
  <si>
    <t>Bajo</t>
  </si>
  <si>
    <t>Unilago Bog</t>
  </si>
  <si>
    <t>Cabrera 85</t>
  </si>
  <si>
    <t>El Retiro</t>
  </si>
  <si>
    <t>El Refugio</t>
  </si>
  <si>
    <t>Escalar Nogal</t>
  </si>
  <si>
    <t>Arboledas</t>
  </si>
  <si>
    <t>Heroes Bog</t>
  </si>
  <si>
    <t>Estación San Felipe</t>
  </si>
  <si>
    <t>La Esmeralda</t>
  </si>
  <si>
    <t>Federman 50</t>
  </si>
  <si>
    <t>Federman Bog</t>
  </si>
  <si>
    <t>Toberin</t>
  </si>
  <si>
    <t>Toberin 168</t>
  </si>
  <si>
    <t>Toberin Centro Bog</t>
  </si>
  <si>
    <t>Las Nieves</t>
  </si>
  <si>
    <t>Nieves 22</t>
  </si>
  <si>
    <t>Lina María Díaz</t>
  </si>
  <si>
    <t>Montecarlo</t>
  </si>
  <si>
    <t>Calle 93 Bog</t>
  </si>
  <si>
    <t>Calle 95</t>
  </si>
  <si>
    <t>San Rafael</t>
  </si>
  <si>
    <t>Troncal Americas</t>
  </si>
  <si>
    <t>Rotonda 60 Bog</t>
  </si>
  <si>
    <t>Bolivia</t>
  </si>
  <si>
    <t>Montenegro</t>
  </si>
  <si>
    <t xml:space="preserve">Alba Yaneth Villamizar </t>
  </si>
  <si>
    <t>La Candelaria</t>
  </si>
  <si>
    <t>Periodistas</t>
  </si>
  <si>
    <t>Revisión</t>
  </si>
  <si>
    <t>Eje Ambiental Bog</t>
  </si>
  <si>
    <t>Museo Del Oro (Bog)</t>
  </si>
  <si>
    <t>Procuraduria Bog</t>
  </si>
  <si>
    <t>Nueve Cuatro</t>
  </si>
  <si>
    <t>Sagrado Corazon</t>
  </si>
  <si>
    <t>Museo Nacional</t>
  </si>
  <si>
    <t>Decima San Diego Bog</t>
  </si>
  <si>
    <t>San Jose de Bavaria</t>
  </si>
  <si>
    <t>Portal Norte</t>
  </si>
  <si>
    <t>Baviera 174 Bog</t>
  </si>
  <si>
    <t>Chapinero Occidental</t>
  </si>
  <si>
    <t>Palmas Bog</t>
  </si>
  <si>
    <t>Galerias 27</t>
  </si>
  <si>
    <t>Galerias 28 Bog</t>
  </si>
  <si>
    <t>Galerias 53 Bog</t>
  </si>
  <si>
    <t>161 Express</t>
  </si>
  <si>
    <t>Estrella Norte Bog</t>
  </si>
  <si>
    <t>Jardines del Oriente</t>
  </si>
  <si>
    <t>Reserva 98-07</t>
  </si>
  <si>
    <t>Torre Cien Bog</t>
  </si>
  <si>
    <t>Chico 100 Con 11 Bog</t>
  </si>
  <si>
    <t>Calle 170</t>
  </si>
  <si>
    <t>Leonard Castañeda</t>
  </si>
  <si>
    <t>Calle 166 Bog</t>
  </si>
  <si>
    <t>Medellin</t>
  </si>
  <si>
    <t>El Poblado</t>
  </si>
  <si>
    <t>Parque Villas</t>
  </si>
  <si>
    <t>Valentina Valencia Marin</t>
  </si>
  <si>
    <t>Rose Poblado (Mde)</t>
  </si>
  <si>
    <t>Pradia 134</t>
  </si>
  <si>
    <t>Maria Alejandra Garcia</t>
  </si>
  <si>
    <t>Castilla</t>
  </si>
  <si>
    <t>Alsacia 78</t>
  </si>
  <si>
    <t>Barrio Bavaria Bog</t>
  </si>
  <si>
    <t>Pardo Rubio</t>
  </si>
  <si>
    <t>7 Estorias</t>
  </si>
  <si>
    <t>Defensoria (Bog)</t>
  </si>
  <si>
    <t>Suba</t>
  </si>
  <si>
    <t>El Pino</t>
  </si>
  <si>
    <t>Carlos Bolaños</t>
  </si>
  <si>
    <t>Suba 103 Bog</t>
  </si>
  <si>
    <t>Imperial Bog</t>
  </si>
  <si>
    <t>Suba 92</t>
  </si>
  <si>
    <t>Plaza Suba Bog</t>
  </si>
  <si>
    <t>Restrepo</t>
  </si>
  <si>
    <t>La Fragua 17</t>
  </si>
  <si>
    <t>La Fragua (Bog)</t>
  </si>
  <si>
    <t>Campin</t>
  </si>
  <si>
    <t>Salvador Bog</t>
  </si>
  <si>
    <t>San Luis Bog</t>
  </si>
  <si>
    <t>Ciudad Salitre Oriental</t>
  </si>
  <si>
    <t>Can 26</t>
  </si>
  <si>
    <t>Salitre Bog</t>
  </si>
  <si>
    <t>Teusaquillo</t>
  </si>
  <si>
    <t>Parque Brasil</t>
  </si>
  <si>
    <t>Soledad Park (Bog)</t>
  </si>
  <si>
    <t>Santa Isabel</t>
  </si>
  <si>
    <t xml:space="preserve">Isabel AK27 </t>
  </si>
  <si>
    <t>Eds Veraguas Bog</t>
  </si>
  <si>
    <t>Isabel 28 Bog</t>
  </si>
  <si>
    <t>La Alhambra</t>
  </si>
  <si>
    <t>EDS 127</t>
  </si>
  <si>
    <t>Batan BOG</t>
  </si>
  <si>
    <t>Sagrado Corazón</t>
  </si>
  <si>
    <t>Magdalena Bog</t>
  </si>
  <si>
    <t>National Park</t>
  </si>
  <si>
    <t>Calle 34 Bog</t>
  </si>
  <si>
    <t>Azucar</t>
  </si>
  <si>
    <t>Once Reserva</t>
  </si>
  <si>
    <t>Cundinamarca</t>
  </si>
  <si>
    <t>La Mesa</t>
  </si>
  <si>
    <t>El Recuerdo</t>
  </si>
  <si>
    <t>Encanto Bog</t>
  </si>
  <si>
    <t>Calle 44 Bog</t>
  </si>
  <si>
    <t>Parque Simon Bolivar - Can</t>
  </si>
  <si>
    <t>Centro Adm Occ</t>
  </si>
  <si>
    <t>Solicitado</t>
  </si>
  <si>
    <t>PP 55</t>
  </si>
  <si>
    <t>-</t>
  </si>
  <si>
    <t>724 (Bog)</t>
  </si>
  <si>
    <t>Tadeo (Bog)</t>
  </si>
  <si>
    <t>Bosque Izquierdo Bog</t>
  </si>
  <si>
    <t>Septima Nieves Bog</t>
  </si>
  <si>
    <t>PP 58</t>
  </si>
  <si>
    <t>Polo Bog</t>
  </si>
  <si>
    <t>San Cristobal Norte</t>
  </si>
  <si>
    <t>PP 63</t>
  </si>
  <si>
    <t>Campo Alto (Bog)</t>
  </si>
  <si>
    <t>Girardot</t>
  </si>
  <si>
    <t>PP 51</t>
  </si>
  <si>
    <t>Acacias Bog</t>
  </si>
  <si>
    <t>Park Calle 43</t>
  </si>
  <si>
    <t>Zona 41</t>
  </si>
  <si>
    <t>Piloto Bog</t>
  </si>
  <si>
    <t>Portal Javeriana Bog</t>
  </si>
  <si>
    <t>Estación 45</t>
  </si>
  <si>
    <t>Marly 13 (Bog)</t>
  </si>
  <si>
    <t>Usaquén</t>
  </si>
  <si>
    <t>Acces Center</t>
  </si>
  <si>
    <t>Bella Suiza 127 (Bog</t>
  </si>
  <si>
    <t>La Esmeralda 2</t>
  </si>
  <si>
    <t>La Favorita</t>
  </si>
  <si>
    <t>Parque Restrepo Bog</t>
  </si>
  <si>
    <t>Plaza Restrepo Bog</t>
  </si>
  <si>
    <t>Restrepo Carrera 18 </t>
  </si>
  <si>
    <t>La Floresta</t>
  </si>
  <si>
    <t>Empresarial Pontevedra</t>
  </si>
  <si>
    <t>Avenida Constitucion</t>
  </si>
  <si>
    <t>Pontevedra 116</t>
  </si>
  <si>
    <t>Shaio Bog</t>
  </si>
  <si>
    <t>Cedrales</t>
  </si>
  <si>
    <t>Cedritos Bog</t>
  </si>
  <si>
    <t>Chicó Lago</t>
  </si>
  <si>
    <t>PP 79</t>
  </si>
  <si>
    <t>Troncal Américas</t>
  </si>
  <si>
    <t>Niza</t>
  </si>
  <si>
    <t>La Campania</t>
  </si>
  <si>
    <t>Calatrava Bog</t>
  </si>
  <si>
    <t>Parque Villas Bog</t>
  </si>
  <si>
    <t>Lourdes 61</t>
  </si>
  <si>
    <t>Cosmos Bog</t>
  </si>
  <si>
    <t>Suba 128</t>
  </si>
  <si>
    <t>Externado</t>
  </si>
  <si>
    <t>La Candelaria Bog</t>
  </si>
  <si>
    <t xml:space="preserve">Los Alcazares </t>
  </si>
  <si>
    <t>Mikita</t>
  </si>
  <si>
    <t>Cedritos Calle 147</t>
  </si>
  <si>
    <t>Cedro Bog</t>
  </si>
  <si>
    <t>HMC 80</t>
  </si>
  <si>
    <t>Transmiheroes Bog</t>
  </si>
  <si>
    <t>La 82 Bog</t>
  </si>
  <si>
    <t>Unilibre II</t>
  </si>
  <si>
    <t>Centro Cra 7</t>
  </si>
  <si>
    <t>Catedral Bog</t>
  </si>
  <si>
    <t>Kennedy Central</t>
  </si>
  <si>
    <t>Kennedy Oriental</t>
  </si>
  <si>
    <t>Kennedy Cll 26 Bog</t>
  </si>
  <si>
    <t>Kennedy 36 (Bog)</t>
  </si>
  <si>
    <t>78 Kennedy Bog</t>
  </si>
  <si>
    <t>Parque Antiguo</t>
  </si>
  <si>
    <t>Centro Empresarial 156</t>
  </si>
  <si>
    <t>North Point Bog</t>
  </si>
  <si>
    <t>Elevent Chico</t>
  </si>
  <si>
    <t>La Catedral</t>
  </si>
  <si>
    <t>Veracruz</t>
  </si>
  <si>
    <t>Calle 19 Bog</t>
  </si>
  <si>
    <t>Santa Barbara</t>
  </si>
  <si>
    <t>125 Avenue</t>
  </si>
  <si>
    <t>Torre Sapiencia Bog</t>
  </si>
  <si>
    <t>Acomedica 2 Bog</t>
  </si>
  <si>
    <t>Los Andes</t>
  </si>
  <si>
    <t>Oxxo Castellana ST</t>
  </si>
  <si>
    <t>Calle 100 Bog</t>
  </si>
  <si>
    <t>Castellana Bog</t>
  </si>
  <si>
    <t>Argo 116</t>
  </si>
  <si>
    <t>Navarra 114 Bog</t>
  </si>
  <si>
    <t>Calle 116 Bog</t>
  </si>
  <si>
    <t>Galery 53</t>
  </si>
  <si>
    <t>La Catedral (otra)</t>
  </si>
  <si>
    <t>Hacienda</t>
  </si>
  <si>
    <t>Britania Bog</t>
  </si>
  <si>
    <t>Laura</t>
  </si>
  <si>
    <t>Usaquen</t>
  </si>
  <si>
    <t>Oxxo Living C7</t>
  </si>
  <si>
    <t>Santa Bárbara Cra. 7</t>
  </si>
  <si>
    <t>El refugio</t>
  </si>
  <si>
    <t xml:space="preserve">El Refugio </t>
  </si>
  <si>
    <t>Castillo 72</t>
  </si>
  <si>
    <t>CHICO LAGO</t>
  </si>
  <si>
    <t>Nepal 73</t>
  </si>
  <si>
    <t>NIZA</t>
  </si>
  <si>
    <t>Ciudad Jardin</t>
  </si>
  <si>
    <t xml:space="preserve">Britania </t>
  </si>
  <si>
    <t xml:space="preserve">Fijar 93 </t>
  </si>
  <si>
    <t>Chicó Norte 93</t>
  </si>
  <si>
    <t>LOS ALCAZARES</t>
  </si>
  <si>
    <t>Urban District</t>
  </si>
  <si>
    <t>CHAPINERO</t>
  </si>
  <si>
    <t xml:space="preserve">Cosmos </t>
  </si>
  <si>
    <t xml:space="preserve">Infinitum </t>
  </si>
  <si>
    <t xml:space="preserve">Calle 59 </t>
  </si>
  <si>
    <t>GALERIAS</t>
  </si>
  <si>
    <t>Caracas 64</t>
  </si>
  <si>
    <t>TEUSAQUILLO</t>
  </si>
  <si>
    <t>Palermo</t>
  </si>
  <si>
    <t xml:space="preserve">Calle 45 </t>
  </si>
  <si>
    <t>72 Caracas</t>
  </si>
  <si>
    <t xml:space="preserve">Heroes </t>
  </si>
  <si>
    <t>SAN CRISTOBAL NORTE</t>
  </si>
  <si>
    <t>Campo Alto</t>
  </si>
  <si>
    <t>QUINTA PAREDES</t>
  </si>
  <si>
    <t>SAN RAFAEL</t>
  </si>
  <si>
    <t xml:space="preserve">Rotonda 60 </t>
  </si>
  <si>
    <t>SAGRADO CORAZON</t>
  </si>
  <si>
    <t>Tequendama</t>
  </si>
  <si>
    <t xml:space="preserve">Decima San Diego </t>
  </si>
  <si>
    <t>Plaza Fid</t>
  </si>
  <si>
    <t xml:space="preserve">Hippies Cra 7 </t>
  </si>
  <si>
    <t xml:space="preserve">Calle 67 </t>
  </si>
  <si>
    <t>Moderno</t>
  </si>
  <si>
    <t>Bogota</t>
  </si>
  <si>
    <t>LAS NIEVES</t>
  </si>
  <si>
    <t>USAQUEN</t>
  </si>
  <si>
    <t>Alfonso Lopez</t>
  </si>
  <si>
    <t>AMERICAS</t>
  </si>
  <si>
    <t>Américas 72</t>
  </si>
  <si>
    <t>Marsella 70</t>
  </si>
  <si>
    <t xml:space="preserve">Carrera 9Qc </t>
  </si>
  <si>
    <t>KENNEDY CENTRAL</t>
  </si>
  <si>
    <t>Kennedy 36</t>
  </si>
  <si>
    <t>Unilago</t>
  </si>
  <si>
    <t>La 82</t>
  </si>
  <si>
    <t>Lago Gaitan</t>
  </si>
  <si>
    <t xml:space="preserve">Calle 77 </t>
  </si>
  <si>
    <t>Lago Percales</t>
  </si>
  <si>
    <t>BOYACA REAL</t>
  </si>
  <si>
    <t xml:space="preserve">Eds Hergos </t>
  </si>
  <si>
    <t>Javeriana</t>
  </si>
  <si>
    <t>Usaquen Plaza</t>
  </si>
  <si>
    <t>TOBERIN</t>
  </si>
  <si>
    <t>Paralela Médico</t>
  </si>
  <si>
    <t>FONTIBON</t>
  </si>
  <si>
    <t xml:space="preserve">Fontibon 18 </t>
  </si>
  <si>
    <t>Fontibon Central</t>
  </si>
  <si>
    <t>Isabela</t>
  </si>
  <si>
    <t>PARDO RUBIO</t>
  </si>
  <si>
    <t>Hacienda 51</t>
  </si>
  <si>
    <t>Cali</t>
  </si>
  <si>
    <t>Comuna 2</t>
  </si>
  <si>
    <t>Unicamacho</t>
  </si>
  <si>
    <t xml:space="preserve">Avenida Sexta </t>
  </si>
  <si>
    <t>Eje 63</t>
  </si>
  <si>
    <t>Laura Valentina Avila Gutierrez</t>
  </si>
  <si>
    <t>90/9</t>
  </si>
  <si>
    <t>Jaime Rodrigo Gutierrez Perez</t>
  </si>
  <si>
    <t>Chicó 97</t>
  </si>
  <si>
    <t>Torre Cien</t>
  </si>
  <si>
    <t>Business 93</t>
  </si>
  <si>
    <t>ZONA INDUSTRIAL</t>
  </si>
  <si>
    <t>Americas Industrial</t>
  </si>
  <si>
    <t xml:space="preserve">El Ejido </t>
  </si>
  <si>
    <t>EL REFUGIO</t>
  </si>
  <si>
    <t>Oxxo Space</t>
  </si>
  <si>
    <t>Iberia 134</t>
  </si>
  <si>
    <t>Chapinero Norte</t>
  </si>
  <si>
    <t>RESTREPO</t>
  </si>
  <si>
    <t>Restrepo 18</t>
  </si>
  <si>
    <t>Cafam 53</t>
  </si>
  <si>
    <t xml:space="preserve">Quesada 52 </t>
  </si>
  <si>
    <t>Brikkss</t>
  </si>
  <si>
    <t xml:space="preserve">Jaime Rodrigo Gutierrez </t>
  </si>
  <si>
    <t>La Nacional</t>
  </si>
  <si>
    <t>Calle 93</t>
  </si>
  <si>
    <t>Restrepo 17</t>
  </si>
  <si>
    <t>Plaza Restrepo</t>
  </si>
  <si>
    <t>Parque Restrepo</t>
  </si>
  <si>
    <t>Fontibón Colores</t>
  </si>
  <si>
    <t>La Laguna</t>
  </si>
  <si>
    <t>Medical Center</t>
  </si>
  <si>
    <t>Excéntrica</t>
  </si>
  <si>
    <t>Cic 90</t>
  </si>
  <si>
    <t>Calle 85</t>
  </si>
  <si>
    <t>Americas Pradera</t>
  </si>
  <si>
    <t>Park Chico Reservado</t>
  </si>
  <si>
    <t>Trade Center</t>
  </si>
  <si>
    <t>DOCE DE OCTUBRE</t>
  </si>
  <si>
    <t>Esquina FUCS</t>
  </si>
  <si>
    <t>San Miguel</t>
  </si>
  <si>
    <t>Universidad 57</t>
  </si>
  <si>
    <t>Defensoria</t>
  </si>
  <si>
    <t>MODELIA</t>
  </si>
  <si>
    <t>Paradise 75</t>
  </si>
  <si>
    <t>Modelia 24</t>
  </si>
  <si>
    <t>LOS CEDROS</t>
  </si>
  <si>
    <t>Margaritas Cr 19</t>
  </si>
  <si>
    <t>Cedro Express 148</t>
  </si>
  <si>
    <t>Sucre 42</t>
  </si>
  <si>
    <t>Piloto</t>
  </si>
  <si>
    <t>MUZU</t>
  </si>
  <si>
    <t>Tejar 51</t>
  </si>
  <si>
    <t>Tejar 3</t>
  </si>
  <si>
    <t>San Esteban</t>
  </si>
  <si>
    <t>Córdoba 63</t>
  </si>
  <si>
    <t>LA CANDELARIA</t>
  </si>
  <si>
    <t>Egipto</t>
  </si>
  <si>
    <t>Restrepo KR 20</t>
  </si>
  <si>
    <t xml:space="preserve">Parque Restrepo </t>
  </si>
  <si>
    <t>Restrepo Carrera</t>
  </si>
  <si>
    <t>Avenida Quinta</t>
  </si>
  <si>
    <t xml:space="preserve">Bosque Izquierdo </t>
  </si>
  <si>
    <t>Tadeo</t>
  </si>
  <si>
    <t>Bello</t>
  </si>
  <si>
    <t>Polo Real</t>
  </si>
  <si>
    <t>Polo</t>
  </si>
  <si>
    <t>LAS FERIAS</t>
  </si>
  <si>
    <t>Reed</t>
  </si>
  <si>
    <t xml:space="preserve">Estrada </t>
  </si>
  <si>
    <t>Rojas</t>
  </si>
  <si>
    <t>SAN JOSÉ DE BAVARIA</t>
  </si>
  <si>
    <t>Prado Park</t>
  </si>
  <si>
    <t>Alejandra Rojas Romero</t>
  </si>
  <si>
    <t>Villa Prado</t>
  </si>
  <si>
    <t>Saint Martin</t>
  </si>
  <si>
    <t>Transmiheroes</t>
  </si>
  <si>
    <t>Camacho 11</t>
  </si>
  <si>
    <t>Riviera Park 93</t>
  </si>
  <si>
    <t>Edifikar 99</t>
  </si>
  <si>
    <t>Keral 94</t>
  </si>
  <si>
    <t>Villas 95-15</t>
  </si>
  <si>
    <t>Low</t>
  </si>
  <si>
    <t>Nomada 11</t>
  </si>
  <si>
    <t xml:space="preserve">Flores 68 </t>
  </si>
  <si>
    <t>Polo Club</t>
  </si>
  <si>
    <t>SEVEN AUGUST</t>
  </si>
  <si>
    <t xml:space="preserve">Carrera 24 </t>
  </si>
  <si>
    <t>SANTA ISABEL</t>
  </si>
  <si>
    <t>Isabel 27</t>
  </si>
  <si>
    <t xml:space="preserve">Isabel 28 </t>
  </si>
  <si>
    <t xml:space="preserve">Eds Veraguas </t>
  </si>
  <si>
    <t>LA FLORESTA</t>
  </si>
  <si>
    <t>Alto V</t>
  </si>
  <si>
    <t>Shaio</t>
  </si>
  <si>
    <t>CAPELLANIA</t>
  </si>
  <si>
    <t>Rosi Cr 100</t>
  </si>
  <si>
    <t>Paseo</t>
  </si>
  <si>
    <t>Charlot</t>
  </si>
  <si>
    <t>Luxury</t>
  </si>
  <si>
    <t>Natural</t>
  </si>
  <si>
    <t>La Calera</t>
  </si>
  <si>
    <t>LA CALERA</t>
  </si>
  <si>
    <t>Calera Park</t>
  </si>
  <si>
    <t xml:space="preserve">Calera Cra 3 </t>
  </si>
  <si>
    <t>CASTILLA</t>
  </si>
  <si>
    <t>Castilla Parking</t>
  </si>
  <si>
    <t xml:space="preserve">Barrio Bavaria </t>
  </si>
  <si>
    <t>Auto Country 84</t>
  </si>
  <si>
    <t>Emprendu</t>
  </si>
  <si>
    <t>Corecol 7111</t>
  </si>
  <si>
    <t>Orígenes 71</t>
  </si>
  <si>
    <t>SANTA BARBARA</t>
  </si>
  <si>
    <t>Oxxo calle 109</t>
  </si>
  <si>
    <t>Santa Bar</t>
  </si>
  <si>
    <t>la 57</t>
  </si>
  <si>
    <t>Palmas</t>
  </si>
  <si>
    <t>Salvador</t>
  </si>
  <si>
    <t>Restrepo 181</t>
  </si>
  <si>
    <t>Oxxo Plaza Cr 15</t>
  </si>
  <si>
    <t>San Patricio 106</t>
  </si>
  <si>
    <t>Molinos Del Norte 10</t>
  </si>
  <si>
    <t>PUENTE ARANDA</t>
  </si>
  <si>
    <t xml:space="preserve">Centro Industral </t>
  </si>
  <si>
    <t>Soluzona</t>
  </si>
  <si>
    <t>Eds Zona Industrial</t>
  </si>
  <si>
    <t>QUIROGA</t>
  </si>
  <si>
    <t>Olaya Central</t>
  </si>
  <si>
    <t xml:space="preserve">Santiago Londoño </t>
  </si>
  <si>
    <t>Sauces del Norte</t>
  </si>
  <si>
    <t xml:space="preserve">Estrella Norte </t>
  </si>
  <si>
    <t>Jardines Del Oriente</t>
  </si>
  <si>
    <t>Trinidad 56</t>
  </si>
  <si>
    <t>Melodía</t>
  </si>
  <si>
    <t>ALCÁZARES</t>
  </si>
  <si>
    <t>Urban 72</t>
  </si>
  <si>
    <t>Lago 76</t>
  </si>
  <si>
    <t>Francachela 87</t>
  </si>
  <si>
    <t>Meridiano</t>
  </si>
  <si>
    <t>Pasarela 60</t>
  </si>
  <si>
    <t>San Felipe</t>
  </si>
  <si>
    <t>Andino</t>
  </si>
  <si>
    <t>GIRARDOT</t>
  </si>
  <si>
    <t>Parque Girardot</t>
  </si>
  <si>
    <t>Castilla 80</t>
  </si>
  <si>
    <t>San Gabriel</t>
  </si>
  <si>
    <t>Atlanta</t>
  </si>
  <si>
    <t>Scala In</t>
  </si>
  <si>
    <t>Ciudad Bancaria</t>
  </si>
  <si>
    <t xml:space="preserve">Capital Towers </t>
  </si>
  <si>
    <t>Chicó 100 Con 11</t>
  </si>
  <si>
    <t>LOS ANDES</t>
  </si>
  <si>
    <t>Clinica la Castellana</t>
  </si>
  <si>
    <t>Parque Castellana</t>
  </si>
  <si>
    <t xml:space="preserve">Castellana </t>
  </si>
  <si>
    <t>BOSA CENTRAL</t>
  </si>
  <si>
    <t>San Martin</t>
  </si>
  <si>
    <t>Bosa Zona Bancaria</t>
  </si>
  <si>
    <t>Habitad 63</t>
  </si>
  <si>
    <t>Emaus</t>
  </si>
  <si>
    <t>EDS Zona Industrial</t>
  </si>
  <si>
    <t xml:space="preserve">USAQUEN </t>
  </si>
  <si>
    <t>Usaquen Park</t>
  </si>
  <si>
    <t>Usaquén Plaza</t>
  </si>
  <si>
    <t>Acuarela</t>
  </si>
  <si>
    <t>Jhoana Jaimes</t>
  </si>
  <si>
    <t>SAN JOSE DE BAVARIA</t>
  </si>
  <si>
    <t>Prado Comercial</t>
  </si>
  <si>
    <t>SUBA</t>
  </si>
  <si>
    <t xml:space="preserve">Parque Imperial </t>
  </si>
  <si>
    <t>Imperial</t>
  </si>
  <si>
    <t xml:space="preserve">LAS FERIAS </t>
  </si>
  <si>
    <t xml:space="preserve">El paseo </t>
  </si>
  <si>
    <t>Estrada</t>
  </si>
  <si>
    <t>LA SABANA</t>
  </si>
  <si>
    <t>San Facon</t>
  </si>
  <si>
    <t>Paloquemao</t>
  </si>
  <si>
    <t xml:space="preserve">Estación Ricaurte </t>
  </si>
  <si>
    <t>Maestri 7</t>
  </si>
  <si>
    <t>Carrera 24</t>
  </si>
  <si>
    <t>Outlet Floresta</t>
  </si>
  <si>
    <t>Avenida constitución</t>
  </si>
  <si>
    <t>Condados</t>
  </si>
  <si>
    <t>Castilla 78</t>
  </si>
  <si>
    <t>Nakuma</t>
  </si>
  <si>
    <t>Barrio Bavaria</t>
  </si>
  <si>
    <t>Kupa</t>
  </si>
  <si>
    <t>Plaza fid</t>
  </si>
  <si>
    <t>Panco 43</t>
  </si>
  <si>
    <t>Parque Residencial</t>
  </si>
  <si>
    <t>Carrera Quinta</t>
  </si>
  <si>
    <t>AMÉRICAS</t>
  </si>
  <si>
    <t>Monarca</t>
  </si>
  <si>
    <t>Box XI</t>
  </si>
  <si>
    <t>Oxxo Vardi</t>
  </si>
  <si>
    <t>Avenida Constitución</t>
  </si>
  <si>
    <t>Galery Park</t>
  </si>
  <si>
    <t>Galerias 53</t>
  </si>
  <si>
    <t>Nexus</t>
  </si>
  <si>
    <t>Parque Alcazares</t>
  </si>
  <si>
    <t>La Merced Norte</t>
  </si>
  <si>
    <t>Capital 100</t>
  </si>
  <si>
    <t>Dali</t>
  </si>
  <si>
    <t xml:space="preserve">Autopista 97 </t>
  </si>
  <si>
    <t>Auto 100</t>
  </si>
  <si>
    <t>Avannza Park</t>
  </si>
  <si>
    <t>Paseo Gran America</t>
  </si>
  <si>
    <t>Ciudad Universitaria</t>
  </si>
  <si>
    <t>Nippon</t>
  </si>
  <si>
    <t>Chicó</t>
  </si>
  <si>
    <t>Osaka</t>
  </si>
  <si>
    <t>Quince</t>
  </si>
  <si>
    <t>Av El Dorado</t>
  </si>
  <si>
    <t>El Jardín</t>
  </si>
  <si>
    <t>San José</t>
  </si>
  <si>
    <t>VENECIA</t>
  </si>
  <si>
    <t>Venecia 53</t>
  </si>
  <si>
    <t>Murano</t>
  </si>
  <si>
    <t>Inalog</t>
  </si>
  <si>
    <t>Elanie</t>
  </si>
  <si>
    <t>La plazuela</t>
  </si>
  <si>
    <t>Jaime Rodrigo Gutierrez</t>
  </si>
  <si>
    <t>Terra 96</t>
  </si>
  <si>
    <t>Mochi 116</t>
  </si>
  <si>
    <t>Calle 116</t>
  </si>
  <si>
    <t>Juan</t>
  </si>
  <si>
    <t>GRANJAS DE TECHO</t>
  </si>
  <si>
    <t>SCAN 17</t>
  </si>
  <si>
    <t>Montevideo</t>
  </si>
  <si>
    <t>Prime 66</t>
  </si>
  <si>
    <t>Space 94</t>
  </si>
  <si>
    <t>Fijar 93</t>
  </si>
  <si>
    <t>La 99</t>
  </si>
  <si>
    <t>Fontibon 18</t>
  </si>
  <si>
    <t>Four Points</t>
  </si>
  <si>
    <t>Bridge 93</t>
  </si>
  <si>
    <t>ABAK 85</t>
  </si>
  <si>
    <t>Tibon 16</t>
  </si>
  <si>
    <t xml:space="preserve">La Laguna </t>
  </si>
  <si>
    <t>Habana</t>
  </si>
  <si>
    <t>Pereira</t>
  </si>
  <si>
    <t>UNIVERSIDAD</t>
  </si>
  <si>
    <t>Carrera 13</t>
  </si>
  <si>
    <t xml:space="preserve">Pereira plaza </t>
  </si>
  <si>
    <t xml:space="preserve">Circunvalar Central </t>
  </si>
  <si>
    <t>Floresta Premium</t>
  </si>
  <si>
    <t>Andes Avenida</t>
  </si>
  <si>
    <t>Alisson</t>
  </si>
  <si>
    <t>Oxxo Citadinno</t>
  </si>
  <si>
    <t>Carlos Bolaños Díaz</t>
  </si>
  <si>
    <t>Calle 34</t>
  </si>
  <si>
    <t>Kr. 13</t>
  </si>
  <si>
    <t>Marly 13</t>
  </si>
  <si>
    <t>Chapinero central</t>
  </si>
  <si>
    <t>Caracas 53</t>
  </si>
  <si>
    <t>San Carlos 13</t>
  </si>
  <si>
    <t>Magdalena</t>
  </si>
  <si>
    <t>0</t>
  </si>
  <si>
    <t>SANTA CECILIA</t>
  </si>
  <si>
    <t>NORMANDIA KR 72</t>
  </si>
  <si>
    <t>Normandia 53</t>
  </si>
  <si>
    <t>BARRANCAS</t>
  </si>
  <si>
    <t>LOS ALAMOS</t>
  </si>
  <si>
    <t>Connecta 26</t>
  </si>
  <si>
    <t>Laura Vecino Marrugo</t>
  </si>
  <si>
    <t>Conecta</t>
  </si>
  <si>
    <t>Punto 100</t>
  </si>
  <si>
    <t>Calle 100</t>
  </si>
  <si>
    <t>Kra 27 </t>
  </si>
  <si>
    <t xml:space="preserve">Bicentenario </t>
  </si>
  <si>
    <t>ISO</t>
  </si>
  <si>
    <t>FECHA RECEPCIÓN</t>
  </si>
  <si>
    <t xml:space="preserve">FECHA DE ENVÍO ISO </t>
  </si>
  <si>
    <t>DÍAS DE ENVÍO</t>
  </si>
  <si>
    <t>PRACTICANTE</t>
  </si>
  <si>
    <t>MEDIO (TEAMS/ CORREO)</t>
  </si>
  <si>
    <t>MS (SI O NO)</t>
  </si>
  <si>
    <t>ESTADO</t>
  </si>
  <si>
    <t>NOMBRE</t>
  </si>
  <si>
    <t>CIUDAD</t>
  </si>
  <si>
    <t>ESPECIALISTA</t>
  </si>
  <si>
    <t>LONGITUD</t>
  </si>
  <si>
    <t>LATITUD</t>
  </si>
  <si>
    <t>COMENTARIOS</t>
  </si>
  <si>
    <t>Correo</t>
  </si>
  <si>
    <t>No</t>
  </si>
  <si>
    <t xml:space="preserve">Data 20 </t>
  </si>
  <si>
    <t>Esquina Alpes Pereira</t>
  </si>
  <si>
    <t>Se estaba tomando la decisión de la manera en la que se realizarían dichas isócronas en TM</t>
  </si>
  <si>
    <t>Portal Suba</t>
  </si>
  <si>
    <t>Estación Heroes</t>
  </si>
  <si>
    <t>Portal Dorado</t>
  </si>
  <si>
    <t>La Gaitana</t>
  </si>
  <si>
    <t>Global Andino</t>
  </si>
  <si>
    <t>Catilla el Amparo</t>
  </si>
  <si>
    <t>Hospital Militar</t>
  </si>
  <si>
    <t>Lourdes 13</t>
  </si>
  <si>
    <t>San Martin 7</t>
  </si>
  <si>
    <t>Si</t>
  </si>
  <si>
    <t>Chile 9</t>
  </si>
  <si>
    <t>Se encontraba en espera por Estudio de Origen Destino</t>
  </si>
  <si>
    <t>Teams</t>
  </si>
  <si>
    <t>EDS Abadía</t>
  </si>
  <si>
    <t>Chicó Norte</t>
  </si>
  <si>
    <t>Muequetá</t>
  </si>
  <si>
    <t>Jardín Norte 130</t>
  </si>
  <si>
    <t>Occidente</t>
  </si>
  <si>
    <t>Mazuren 150</t>
  </si>
  <si>
    <t>Oxxo Calle 138</t>
  </si>
  <si>
    <t>Torre Azul</t>
  </si>
  <si>
    <t>Llarco 116</t>
  </si>
  <si>
    <t>Zentia 125</t>
  </si>
  <si>
    <t>La insignia 122</t>
  </si>
  <si>
    <t>Delivery 119</t>
  </si>
  <si>
    <t>Multicentro 119</t>
  </si>
  <si>
    <t>Lago 98</t>
  </si>
  <si>
    <t>EDS Darien</t>
  </si>
  <si>
    <t>Condor 74</t>
  </si>
  <si>
    <t>Centro 93</t>
  </si>
  <si>
    <t>Graund Cl75</t>
  </si>
  <si>
    <t>Urbano 61</t>
  </si>
  <si>
    <t>Franco 70</t>
  </si>
  <si>
    <t>Cabañas 63</t>
  </si>
  <si>
    <t>Centenario M45</t>
  </si>
  <si>
    <t>Oxxo Calle 100</t>
  </si>
  <si>
    <t>Metro I</t>
  </si>
  <si>
    <t>Oxxo ECO 100</t>
  </si>
  <si>
    <t>Canton 106</t>
  </si>
  <si>
    <t>Américas 60</t>
  </si>
  <si>
    <t>Office 7</t>
  </si>
  <si>
    <t xml:space="preserve">Villa Gladys </t>
  </si>
  <si>
    <t>Park 41</t>
  </si>
  <si>
    <t>Prado Alto 129</t>
  </si>
  <si>
    <t>Modelia Central</t>
  </si>
  <si>
    <t xml:space="preserve">EDS Prado 127 </t>
  </si>
  <si>
    <t>San Cristobal</t>
  </si>
  <si>
    <t>Rio Living</t>
  </si>
  <si>
    <t>Barranquilla</t>
  </si>
  <si>
    <t>Malecon 1</t>
  </si>
  <si>
    <t>Malecon II</t>
  </si>
  <si>
    <t>Bodega Quintal</t>
  </si>
  <si>
    <t>Esta me la pidió Jaime, pero luego Leidy me la pidió nuevamente y se le envió el 28/01</t>
  </si>
  <si>
    <t>Academia 24</t>
  </si>
  <si>
    <t>Malecon 72</t>
  </si>
  <si>
    <t>Quinta Real 40</t>
  </si>
  <si>
    <t>Ortezal 44</t>
  </si>
  <si>
    <t>Black 24</t>
  </si>
  <si>
    <t>Metro estación Niquia</t>
  </si>
  <si>
    <t>Medellín</t>
  </si>
  <si>
    <t>Valencia Marin Valentina</t>
  </si>
  <si>
    <t>Americas Grafiti</t>
  </si>
  <si>
    <t>Plaza Zuca</t>
  </si>
  <si>
    <t>Cota</t>
  </si>
  <si>
    <t xml:space="preserve">Metro estación San Antonio </t>
  </si>
  <si>
    <t>Zona 53</t>
  </si>
  <si>
    <t>Oxxo Barbara 116</t>
  </si>
  <si>
    <t>Parque Chapinero</t>
  </si>
  <si>
    <t>Oxxo Living 7C</t>
  </si>
  <si>
    <t>Wow 134</t>
  </si>
  <si>
    <t>Indigo 93</t>
  </si>
  <si>
    <t>Tintala</t>
  </si>
  <si>
    <t>72 Kuepa</t>
  </si>
  <si>
    <t>Centro Empresarial 10 Sur</t>
  </si>
  <si>
    <t>Punto 2 Corredor 7ma</t>
  </si>
  <si>
    <t>Punto 3 Corredor 7ma</t>
  </si>
  <si>
    <t>Punto 4 Corredor 7ma</t>
  </si>
  <si>
    <t>Torre C</t>
  </si>
  <si>
    <t>Oxxo Registraduría Usaquén</t>
  </si>
  <si>
    <t>Unindustriales</t>
  </si>
  <si>
    <t>El Recuerdo 37</t>
  </si>
  <si>
    <t>Oxxo Square 106</t>
  </si>
  <si>
    <t>Oxxo Santa Fe 9na</t>
  </si>
  <si>
    <t>Nuevo Orion</t>
  </si>
  <si>
    <t>Occi-plus</t>
  </si>
  <si>
    <t>Septima setenta</t>
  </si>
  <si>
    <t>Centro 93 parking</t>
  </si>
  <si>
    <t>Kennedy Cade</t>
  </si>
  <si>
    <t>Lago 82-15</t>
  </si>
  <si>
    <t>Country 85</t>
  </si>
  <si>
    <t>Punto 72</t>
  </si>
  <si>
    <t xml:space="preserve">Once setenta y dos </t>
  </si>
  <si>
    <t>Fontibon Kr 100</t>
  </si>
  <si>
    <t>Esperanza 24</t>
  </si>
  <si>
    <t>Torre 40/13</t>
  </si>
  <si>
    <t>Show Palace</t>
  </si>
  <si>
    <t>Zula</t>
  </si>
  <si>
    <t>Toberín 164</t>
  </si>
  <si>
    <t>Metro estación Universidad</t>
  </si>
  <si>
    <t>Matuna</t>
  </si>
  <si>
    <t>Cartagena</t>
  </si>
  <si>
    <t>Moll Cr 2</t>
  </si>
  <si>
    <t>Getsemaní</t>
  </si>
  <si>
    <t>De la cruz</t>
  </si>
  <si>
    <t>Baluarte</t>
  </si>
  <si>
    <t>La carreta</t>
  </si>
  <si>
    <t>Pasaje 2</t>
  </si>
  <si>
    <t>De la Cruz 2</t>
  </si>
  <si>
    <t>Arsenal</t>
  </si>
  <si>
    <t>Manga</t>
  </si>
  <si>
    <t>Torre del reloj</t>
  </si>
  <si>
    <t>Lozano</t>
  </si>
  <si>
    <t>Traslado Cosmos</t>
  </si>
  <si>
    <t>Spring 19</t>
  </si>
  <si>
    <t>Fontibon Centro</t>
  </si>
  <si>
    <t xml:space="preserve">Fontibon Parque </t>
  </si>
  <si>
    <t>Mall 52</t>
  </si>
  <si>
    <t>Sentry 68</t>
  </si>
  <si>
    <t>Plaza Aventura</t>
  </si>
  <si>
    <t>Se envió isocrona via teams, quedo pendiente confirmación de ms</t>
  </si>
  <si>
    <t>Liston 19</t>
  </si>
  <si>
    <t>U simon bolivar </t>
  </si>
  <si>
    <t>Las ubicaciones enviadas no son claras, entonces el 12/02 se le envían imágenes para confirmar el punto</t>
  </si>
  <si>
    <t>Casa Olimpica</t>
  </si>
  <si>
    <t>Uniapoyo</t>
  </si>
  <si>
    <t xml:space="preserve">Gran Boulevard </t>
  </si>
  <si>
    <t xml:space="preserve">Suramericana </t>
  </si>
  <si>
    <t>Santa Paula 109</t>
  </si>
  <si>
    <t>Bocareserva</t>
  </si>
  <si>
    <t>Oxxo San José 134</t>
  </si>
  <si>
    <t>Patios</t>
  </si>
  <si>
    <t>Sabana 167</t>
  </si>
  <si>
    <t>La solicitó a las 6:19pm del 12/02, se le envía a las 8:25am del 13/02</t>
  </si>
  <si>
    <t>Torre 116</t>
  </si>
  <si>
    <t>Industrial 68</t>
  </si>
  <si>
    <t>Paloblanco 72</t>
  </si>
  <si>
    <t>Calle Colombia</t>
  </si>
  <si>
    <t>Global Center AV 19</t>
  </si>
  <si>
    <t>EDS Av 6a. Norte</t>
  </si>
  <si>
    <t>Global BC 19</t>
  </si>
  <si>
    <t>Davinci Alsacia</t>
  </si>
  <si>
    <t>Santa Sofia</t>
  </si>
  <si>
    <t>Parque Usaquen</t>
  </si>
  <si>
    <t>Mesitas Parque</t>
  </si>
  <si>
    <t>El Colegio</t>
  </si>
  <si>
    <t>El Espinal</t>
  </si>
  <si>
    <t>Autosoko</t>
  </si>
  <si>
    <t>Septima Avenida</t>
  </si>
  <si>
    <t>Casa Doctorado</t>
  </si>
  <si>
    <t>Prom 61</t>
  </si>
  <si>
    <t>La solicitó a las 5:19pm, se le envía a las 8:58am del 20/02</t>
  </si>
  <si>
    <t>Latitud 104</t>
  </si>
  <si>
    <t>Bavaria 70</t>
  </si>
  <si>
    <t>Iberoamericano</t>
  </si>
  <si>
    <t>Alcalá Sur</t>
  </si>
  <si>
    <t>Envió la solicitud el 13, pero tuve una confunción en el chat, se solicita el 20 y el mismo 20 se le envía</t>
  </si>
  <si>
    <t>La solicitó a las 6:17pm, se le envía en el transcurso del 24/02</t>
  </si>
  <si>
    <t>Castilla Party</t>
  </si>
  <si>
    <t>La solicitó a las 6:25pm, se le envía en el transcurso del 23/02</t>
  </si>
  <si>
    <t>La solicitó a las 6:29pm, se le envía en el transcurso del 24/02</t>
  </si>
  <si>
    <t>La solicitó a las 6:29pm, se le envía en el transcurso del 24/03</t>
  </si>
  <si>
    <t>La solicitó a las 6:29pm, se le envía en el transcurso del 24/04</t>
  </si>
  <si>
    <t>Autoclick</t>
  </si>
  <si>
    <t>La solicitó a las 6:29pm, se le envía en el transcurso del 24/05</t>
  </si>
  <si>
    <t>Villeta</t>
  </si>
  <si>
    <t>Estrada Kr 70</t>
  </si>
  <si>
    <t>Portos 95</t>
  </si>
  <si>
    <t>Se pidió confirmación de la ubicación del punto y respondió el 25/02, ese mismo día se le envía</t>
  </si>
  <si>
    <t>EDS Villeta</t>
  </si>
  <si>
    <t>Calle Larga</t>
  </si>
  <si>
    <t>Villa Grande</t>
  </si>
  <si>
    <t>Santo Domingo</t>
  </si>
  <si>
    <t>20 de Julio</t>
  </si>
  <si>
    <t>12 de Octubre</t>
  </si>
  <si>
    <t>FUCS</t>
  </si>
  <si>
    <t>Ciudad Techo</t>
  </si>
  <si>
    <t>Florencia</t>
  </si>
  <si>
    <t>Modelia Cr 82</t>
  </si>
  <si>
    <t>Europa Cr 70</t>
  </si>
  <si>
    <t>Oxxo Astoria</t>
  </si>
  <si>
    <t>Autopista 184</t>
  </si>
  <si>
    <t>Prado 134</t>
  </si>
  <si>
    <t>Se pidió confirmación del punto dado que la ubicación no permitía observar el sitio, responde el 4/03 y se le envía el mismo día</t>
  </si>
  <si>
    <t>Santander</t>
  </si>
  <si>
    <t>Se pidió confirmación del punto dado que la ubicación no permitía observar el sitio, responde el 02/03</t>
  </si>
  <si>
    <t>9 Puntos descartados</t>
  </si>
  <si>
    <t>Se le envía solo el primer slide para cada punto</t>
  </si>
  <si>
    <t>Oxxo Prime Tower</t>
  </si>
  <si>
    <t>Oxxo Pasadena 53</t>
  </si>
  <si>
    <t xml:space="preserve">Se envio punto, queda pendiente confirmacion de ms </t>
  </si>
  <si>
    <t>Lagos de Torca</t>
  </si>
  <si>
    <t>La solicitó el 03/03 a las 5:28pm, se le envía a las 7:46 del 04/03</t>
  </si>
  <si>
    <t>Oxxo Cristal 122</t>
  </si>
  <si>
    <t>Las Quintas</t>
  </si>
  <si>
    <t>EDS La Vega</t>
  </si>
  <si>
    <t>La Vega</t>
  </si>
  <si>
    <t>9  16</t>
  </si>
  <si>
    <t>Oxxo Ciudadela</t>
  </si>
  <si>
    <t>Calle Jardín</t>
  </si>
  <si>
    <t xml:space="preserve">Queda en pausa por el momento </t>
  </si>
  <si>
    <t>La 65</t>
  </si>
  <si>
    <t>Los Rosales</t>
  </si>
  <si>
    <t>Santa Ana Soul</t>
  </si>
  <si>
    <t>La 75</t>
  </si>
  <si>
    <t>Cofradía</t>
  </si>
  <si>
    <t>Parque Conquistadores</t>
  </si>
  <si>
    <t>Prosperidad</t>
  </si>
  <si>
    <t>Madrid</t>
  </si>
  <si>
    <t>Septima Soacha</t>
  </si>
  <si>
    <t>Soacha</t>
  </si>
  <si>
    <t>Oxxo Verbenal</t>
  </si>
  <si>
    <t>Ferias 72</t>
  </si>
  <si>
    <t>Circula 1</t>
  </si>
  <si>
    <t>Comuna 13</t>
  </si>
  <si>
    <t>Infantil San José</t>
  </si>
  <si>
    <t>Ensueño</t>
  </si>
  <si>
    <t>Rosalitos</t>
  </si>
  <si>
    <t>Polo club</t>
  </si>
  <si>
    <t>Galery street</t>
  </si>
  <si>
    <t>Parque Industrial</t>
  </si>
  <si>
    <t>Rojas 80</t>
  </si>
  <si>
    <t>Distrito Cr 100</t>
  </si>
  <si>
    <t>Fontibon Cll 23</t>
  </si>
  <si>
    <t>Campus 68</t>
  </si>
  <si>
    <t>Estaba pendiente la confirmación de la ubicación del punto</t>
  </si>
  <si>
    <t>SI</t>
  </si>
  <si>
    <t>CC Floresta</t>
  </si>
  <si>
    <t>La 33</t>
  </si>
  <si>
    <t>Parque Belén</t>
  </si>
  <si>
    <t>Envigado Centro</t>
  </si>
  <si>
    <t>Living</t>
  </si>
  <si>
    <t>La Macarena</t>
  </si>
  <si>
    <t>Sevillana</t>
  </si>
  <si>
    <t>San Simón PA</t>
  </si>
  <si>
    <t>Ibagué</t>
  </si>
  <si>
    <t>Autopista 118</t>
  </si>
  <si>
    <t>Estaba en espera de confirmación para la realización de la isócrona dado que se solicitó el EOD, se le envía a las 10:39am</t>
  </si>
  <si>
    <t>Ferias Cll 72</t>
  </si>
  <si>
    <t>Está en confirmación la ubicación enviada</t>
  </si>
  <si>
    <t>Tunjuelito</t>
  </si>
  <si>
    <t>Centro Memoria</t>
  </si>
  <si>
    <t>Queda pendiente MS y se le hace anotación del descarte de PP cercanos al PP propuesto</t>
  </si>
  <si>
    <t xml:space="preserve">Jardin Botanico </t>
  </si>
  <si>
    <t>Simón Bolivar</t>
  </si>
  <si>
    <t>Pasaje 1060</t>
  </si>
  <si>
    <t>Cervantes 38</t>
  </si>
  <si>
    <t>Pausa, se encuentra cerca de la tienda de torre 40- 13</t>
  </si>
  <si>
    <t>Mall San Francisco</t>
  </si>
  <si>
    <t>Avenida Bolivariana</t>
  </si>
  <si>
    <t>Pinares</t>
  </si>
  <si>
    <t>Pescador</t>
  </si>
  <si>
    <t>La solicita el 06/04 a las 17:56. Se envía isócrona a las 7:23am 08/04, queda pendiente MS</t>
  </si>
  <si>
    <t>La solicita el 06/04 a las 18:02. Se envía isócrona a las 7:25am 08/04, queda pendiente MS</t>
  </si>
  <si>
    <t>La solicita el 06/04 a las 18:05, Se envía isócrona a las 7:30am 08/04, queda pendiente MS</t>
  </si>
  <si>
    <t>Boulevard</t>
  </si>
  <si>
    <t>San Francisco</t>
  </si>
  <si>
    <t>Es la misma ubicación de Mall San Francisco, sin embargo se solicita cambiar el nombre y la isócrona del punto</t>
  </si>
  <si>
    <t>Capilla</t>
  </si>
  <si>
    <t>Imbacano</t>
  </si>
  <si>
    <t>La solicita el 08/04 a las 18:33 sin el nombre del punto. A las 8:00am envía el nombre, se le envía la isócrona a las 8:43 am del 09/04</t>
  </si>
  <si>
    <t>Ibatama</t>
  </si>
  <si>
    <t>Calle Pacoa</t>
  </si>
  <si>
    <t>Calle Guerrero</t>
  </si>
  <si>
    <t>Se está revisando la ubicación</t>
  </si>
  <si>
    <t>Santa Teresita</t>
  </si>
  <si>
    <t>Valencia Valentina Marin</t>
  </si>
  <si>
    <t>Oxxo Express Cr 15</t>
  </si>
  <si>
    <t>Chapinero Bosque Central</t>
  </si>
  <si>
    <t>Armada Cll 17</t>
  </si>
  <si>
    <t>Lisboa Cll 134</t>
  </si>
  <si>
    <t>Oxxo Santa Beatriz</t>
  </si>
  <si>
    <t>Mutis</t>
  </si>
  <si>
    <t>Fontibón Lex</t>
  </si>
  <si>
    <t>Fontibón Ferrocarril</t>
  </si>
  <si>
    <t>San Nicolás</t>
  </si>
  <si>
    <t>Melgar</t>
  </si>
  <si>
    <t>La esme</t>
  </si>
  <si>
    <t>Rincón Cra 93</t>
  </si>
  <si>
    <t>El Rosal</t>
  </si>
  <si>
    <t>La Salle</t>
  </si>
  <si>
    <t>Oxxo Santa Catalina</t>
  </si>
  <si>
    <t>Restrepo 24</t>
  </si>
  <si>
    <t>Titanium</t>
  </si>
  <si>
    <t>Bucaramanga</t>
  </si>
  <si>
    <t>San Juan</t>
  </si>
  <si>
    <t>La Mansión</t>
  </si>
  <si>
    <t>Cajicá</t>
  </si>
  <si>
    <t>Patio Bonito</t>
  </si>
  <si>
    <t>Manila</t>
  </si>
  <si>
    <t>Av Guayabal</t>
  </si>
  <si>
    <t>Melgar Park</t>
  </si>
  <si>
    <t>Tuyo 64</t>
  </si>
  <si>
    <t>El Eden</t>
  </si>
  <si>
    <t>Armenia</t>
  </si>
  <si>
    <t>Batara</t>
  </si>
  <si>
    <t>La Mesa Calle 8</t>
  </si>
  <si>
    <t>Towers 77</t>
  </si>
  <si>
    <t>Montealegre</t>
  </si>
  <si>
    <t>Centro KR 2</t>
  </si>
  <si>
    <t>Julio Florez</t>
  </si>
  <si>
    <t>Vila Nova</t>
  </si>
  <si>
    <t>Murillo Toro</t>
  </si>
  <si>
    <t>Estación 7</t>
  </si>
  <si>
    <t>Zona Franca</t>
  </si>
  <si>
    <t>Industrial Las Americas</t>
  </si>
  <si>
    <t>Street 100</t>
  </si>
  <si>
    <t>Villas de Granada</t>
  </si>
  <si>
    <t>Boyacá 72</t>
  </si>
  <si>
    <t>Velazco 163</t>
  </si>
  <si>
    <t>Bosque Modelia</t>
  </si>
  <si>
    <t>Modelia Antares</t>
  </si>
  <si>
    <t>Falta confirmar dirección</t>
  </si>
  <si>
    <t>Estación 63</t>
  </si>
  <si>
    <t>Facon</t>
  </si>
  <si>
    <t>La Florida KR 5</t>
  </si>
  <si>
    <t>Clínica de colores</t>
  </si>
  <si>
    <t>Metro 16</t>
  </si>
  <si>
    <t>Santa Lucia</t>
  </si>
  <si>
    <t>Terminal de carga</t>
  </si>
  <si>
    <t>Terminal del Sur</t>
  </si>
  <si>
    <t>San Nicolás Faca</t>
  </si>
  <si>
    <t>Facatativá</t>
  </si>
  <si>
    <t>Palmar 9</t>
  </si>
  <si>
    <t>Oxxo Grano de Oro</t>
  </si>
  <si>
    <t>Punto 109</t>
  </si>
  <si>
    <t>Oxxo Alhambra Ac 116</t>
  </si>
  <si>
    <t>Oxxo Giu 122</t>
  </si>
  <si>
    <t>CC Caracol</t>
  </si>
  <si>
    <t>Paipa</t>
  </si>
  <si>
    <t>Kayser</t>
  </si>
  <si>
    <t>Se espera respuesta al correo enviado</t>
  </si>
  <si>
    <t>Variante Madrid</t>
  </si>
  <si>
    <t>Bellatriz</t>
  </si>
  <si>
    <t>Bloc</t>
  </si>
  <si>
    <t xml:space="preserve">EDS Biomax la Ceiba </t>
  </si>
  <si>
    <t>Calle Real</t>
  </si>
  <si>
    <t>Salento</t>
  </si>
  <si>
    <t>Vive Rio</t>
  </si>
  <si>
    <t>Malecon Shakira</t>
  </si>
  <si>
    <t>El Cabrero</t>
  </si>
  <si>
    <t>Plaza del Pozo</t>
  </si>
  <si>
    <t>Bolivar</t>
  </si>
  <si>
    <t>Azucarito</t>
  </si>
  <si>
    <t>Punto Clave 4</t>
  </si>
  <si>
    <t>teams</t>
  </si>
  <si>
    <t>Formacol</t>
  </si>
  <si>
    <t>Mall Providencia</t>
  </si>
  <si>
    <t>Las Margaritas</t>
  </si>
  <si>
    <t>Marsella</t>
  </si>
  <si>
    <t>Grafiti</t>
  </si>
  <si>
    <t>EIX 76</t>
  </si>
  <si>
    <t>Colina Park</t>
  </si>
  <si>
    <t>Sochagota</t>
  </si>
  <si>
    <t>Paipa Street 25</t>
  </si>
  <si>
    <t>Pinot</t>
  </si>
  <si>
    <t>La Autopista</t>
  </si>
  <si>
    <t>Santa Clara</t>
  </si>
  <si>
    <t>Sogamoso Real</t>
  </si>
  <si>
    <t>Sogamoso</t>
  </si>
  <si>
    <t>Duitama Regional</t>
  </si>
  <si>
    <t>Duitama</t>
  </si>
  <si>
    <t>Escalar 81</t>
  </si>
  <si>
    <t>Ciudadela Industrial</t>
  </si>
  <si>
    <t>University Business</t>
  </si>
  <si>
    <t>Los Libertadores</t>
  </si>
  <si>
    <t>Plaza 6</t>
  </si>
  <si>
    <t>Innovo</t>
  </si>
  <si>
    <t>Oxy 9</t>
  </si>
  <si>
    <t>Alcazares 71</t>
  </si>
  <si>
    <t>Timiza 40</t>
  </si>
  <si>
    <t>Eliseos</t>
  </si>
  <si>
    <t>Boyacá Real</t>
  </si>
  <si>
    <t>Rincón Britalia</t>
  </si>
  <si>
    <t>Santa Isabel 27</t>
  </si>
  <si>
    <t>Se le consulta la ubicación del punto porque el link enviado no lleva al sitio de la foto que adjunta en el correo</t>
  </si>
  <si>
    <t>EDS Bosa Holanda</t>
  </si>
  <si>
    <t>Madrigal</t>
  </si>
  <si>
    <t>Brisas 80</t>
  </si>
  <si>
    <t>Centro Mesitas</t>
  </si>
  <si>
    <t>Santa Fe 13</t>
  </si>
  <si>
    <t>EDS Palmas</t>
  </si>
  <si>
    <t>Mall Trivento</t>
  </si>
  <si>
    <t>Oasis</t>
  </si>
  <si>
    <t>Villa del Rosario</t>
  </si>
  <si>
    <t>Nariño Sur</t>
  </si>
  <si>
    <t>Salitre 24</t>
  </si>
  <si>
    <t>Almibar 27</t>
  </si>
  <si>
    <t xml:space="preserve">Laura </t>
  </si>
  <si>
    <t>San Cipriano</t>
  </si>
  <si>
    <t>Innovo Park</t>
  </si>
  <si>
    <t>Boreal 14</t>
  </si>
  <si>
    <t>Bocagrande</t>
  </si>
  <si>
    <t>San Carlos</t>
  </si>
  <si>
    <t>26 Torre Central</t>
  </si>
  <si>
    <t>Republicana</t>
  </si>
  <si>
    <t>Havana</t>
  </si>
  <si>
    <t>Fontipark</t>
  </si>
  <si>
    <t>Embajada</t>
  </si>
  <si>
    <t>Carmelo</t>
  </si>
  <si>
    <t>Hotel Tequendama</t>
  </si>
  <si>
    <t>Belén 76</t>
  </si>
  <si>
    <t>Avenida 33</t>
  </si>
  <si>
    <t>Praderas</t>
  </si>
  <si>
    <t>Posadena 104</t>
  </si>
  <si>
    <t>Mazuren Plaza</t>
  </si>
  <si>
    <t>EDS Green Hills</t>
  </si>
  <si>
    <t>Tunja</t>
  </si>
  <si>
    <t>San Francisco Cali</t>
  </si>
  <si>
    <t>La Mota</t>
  </si>
  <si>
    <t>Madame Peñon Cali</t>
  </si>
  <si>
    <t>Antonio Nariño</t>
  </si>
  <si>
    <t>Mall Plaza Cali</t>
  </si>
  <si>
    <t>Plaza San Diego</t>
  </si>
  <si>
    <t>Oxxo Niza 127</t>
  </si>
  <si>
    <t>Oxxo BN 127</t>
  </si>
  <si>
    <t>Plaza Connnecta 26</t>
  </si>
  <si>
    <t>Centro Cra 50</t>
  </si>
  <si>
    <t>Aventura</t>
  </si>
  <si>
    <t>AV Nueve 116</t>
  </si>
  <si>
    <t>Oxxo Elite</t>
  </si>
  <si>
    <t>Bio Mall Cali</t>
  </si>
  <si>
    <t>Paralela</t>
  </si>
  <si>
    <t>Cedropoint</t>
  </si>
  <si>
    <t>Street 127</t>
  </si>
  <si>
    <t>Empresarial Miranda</t>
  </si>
  <si>
    <t>Manila 2</t>
  </si>
  <si>
    <t>Mayorista</t>
  </si>
  <si>
    <t>Puerto Seco</t>
  </si>
  <si>
    <t xml:space="preserve">Fenix </t>
  </si>
  <si>
    <t>Zona C</t>
  </si>
  <si>
    <t>Chiquinquirá</t>
  </si>
  <si>
    <t>Greengold</t>
  </si>
  <si>
    <t>Diamante</t>
  </si>
  <si>
    <t>Ruta N</t>
  </si>
  <si>
    <t>Occidental 17</t>
  </si>
  <si>
    <t>Oxxo Santa Maria</t>
  </si>
  <si>
    <t>Paipa Terminal</t>
  </si>
  <si>
    <t>Continental 24</t>
  </si>
  <si>
    <t>Venecia Central</t>
  </si>
  <si>
    <t>Colsubsidio 80</t>
  </si>
  <si>
    <t>Plaza de la Aduana</t>
  </si>
  <si>
    <t>Fontanar</t>
  </si>
  <si>
    <t>Chía</t>
  </si>
  <si>
    <t>Muiscas</t>
  </si>
  <si>
    <t>Punto 64</t>
  </si>
  <si>
    <t xml:space="preserve">Teams </t>
  </si>
  <si>
    <t>CC Tunal</t>
  </si>
  <si>
    <t>Vital Point</t>
  </si>
  <si>
    <t>La Rebeca</t>
  </si>
  <si>
    <t>Uniandes</t>
  </si>
  <si>
    <t>Puntos Potenciales de Tienda de nicho</t>
  </si>
  <si>
    <t>Universidad Simón Bolivar</t>
  </si>
  <si>
    <t>TP Zona Franca lote 35</t>
  </si>
  <si>
    <t>TP Zona Franca lote 30</t>
  </si>
  <si>
    <t>TP Texturas</t>
  </si>
  <si>
    <t>Hayuelos</t>
  </si>
  <si>
    <t>CE Nutibara</t>
  </si>
  <si>
    <t>La 10</t>
  </si>
  <si>
    <t>Mall Plaza</t>
  </si>
  <si>
    <t>La 10 Lleras</t>
  </si>
  <si>
    <t>El Poblado 36</t>
  </si>
  <si>
    <t>Pasaje la Bastilla</t>
  </si>
  <si>
    <t>Oxxo Malecon Caiman</t>
  </si>
  <si>
    <t xml:space="preserve">Barranquilla </t>
  </si>
  <si>
    <t>Oxxo Malecon Carrusel</t>
  </si>
  <si>
    <t>Oxxo Malecon Muelle</t>
  </si>
  <si>
    <t>Univerirsidad Pontificia Javeriana</t>
  </si>
  <si>
    <t>Parque Arboleda Pereira</t>
  </si>
  <si>
    <t>Kr 7- 59</t>
  </si>
  <si>
    <t>Pendiente MS</t>
  </si>
  <si>
    <t>K-60</t>
  </si>
  <si>
    <t>Hospital 66</t>
  </si>
  <si>
    <t>AV Pepe Sierra</t>
  </si>
  <si>
    <t>Punto en revisón, anteriormente se realizo un punto llamado argos 116</t>
  </si>
  <si>
    <t>Centro Girardot</t>
  </si>
  <si>
    <t>Oxxo Parking Santa Fe</t>
  </si>
  <si>
    <t>Oxxo Nicolas</t>
  </si>
  <si>
    <t>Mae 122</t>
  </si>
  <si>
    <t>Oxxo Mochi 116</t>
  </si>
  <si>
    <t>Naranjo 12</t>
  </si>
  <si>
    <t>Comercial 170</t>
  </si>
  <si>
    <t>Calle 15</t>
  </si>
  <si>
    <t>Nariño 19</t>
  </si>
  <si>
    <t>Rincón 129</t>
  </si>
  <si>
    <t>La manuelita suba</t>
  </si>
  <si>
    <t>Agro 23</t>
  </si>
  <si>
    <t>Acústica 24</t>
  </si>
  <si>
    <t xml:space="preserve">Parque Anapoima </t>
  </si>
  <si>
    <t xml:space="preserve">Anapoima </t>
  </si>
  <si>
    <t xml:space="preserve">Oasis </t>
  </si>
  <si>
    <t>Bellavista</t>
  </si>
  <si>
    <t>Zona Rosa</t>
  </si>
  <si>
    <t xml:space="preserve">Country Park </t>
  </si>
  <si>
    <t>Rosita</t>
  </si>
  <si>
    <t>Delta</t>
  </si>
  <si>
    <t>Oxxo Plaza Caicedo</t>
  </si>
  <si>
    <t xml:space="preserve">Alto Pance Mall </t>
  </si>
  <si>
    <t>Parque Cra 43B</t>
  </si>
  <si>
    <t>Floresta la 77</t>
  </si>
  <si>
    <t>Oxxo MH Suba</t>
  </si>
  <si>
    <t>Valladolid</t>
  </si>
  <si>
    <t>Oxxo CC 129</t>
  </si>
  <si>
    <t>Takai</t>
  </si>
  <si>
    <t>Gran Granada</t>
  </si>
  <si>
    <t>Parque Central</t>
  </si>
  <si>
    <t>Pablo FC</t>
  </si>
  <si>
    <t>Liberty 59</t>
  </si>
  <si>
    <t xml:space="preserve">Complex Las Vegas </t>
  </si>
  <si>
    <t xml:space="preserve">La 10 Hotel </t>
  </si>
  <si>
    <t>Poblado Calle 10</t>
  </si>
  <si>
    <t>Provenza</t>
  </si>
  <si>
    <t>Las Vegas Cra 47</t>
  </si>
  <si>
    <t>Carlos Restrepo</t>
  </si>
  <si>
    <t>Praderas 65</t>
  </si>
  <si>
    <t>Century</t>
  </si>
  <si>
    <t>Carimagua</t>
  </si>
  <si>
    <t>EDS BIOMAX SANTA SOFIA USME</t>
  </si>
  <si>
    <t>Pacande</t>
  </si>
  <si>
    <t>Torre Samsung</t>
  </si>
  <si>
    <t>Parque Nacional</t>
  </si>
  <si>
    <t>Séptima avenida</t>
  </si>
  <si>
    <t>Rosa 51</t>
  </si>
  <si>
    <t>Fontibon Street</t>
  </si>
  <si>
    <t>Milenta</t>
  </si>
  <si>
    <t>Colombia La 80</t>
  </si>
  <si>
    <t>Díagonal 74A</t>
  </si>
  <si>
    <t>Parque cra 43A</t>
  </si>
  <si>
    <t xml:space="preserve">Colombia La 70 </t>
  </si>
  <si>
    <t>El laguito</t>
  </si>
  <si>
    <t>Parque el poblado</t>
  </si>
  <si>
    <t>Ferias AV 72</t>
  </si>
  <si>
    <t>Esquina 106 pasadena</t>
  </si>
  <si>
    <t>Altamar</t>
  </si>
  <si>
    <t>Tintalito</t>
  </si>
  <si>
    <t>Parque Fundacional</t>
  </si>
  <si>
    <t>Veniza</t>
  </si>
  <si>
    <t>Tibabuyes</t>
  </si>
  <si>
    <t>La Calle 72</t>
  </si>
  <si>
    <t>Party 85</t>
  </si>
  <si>
    <t>Store 170</t>
  </si>
  <si>
    <t>Ambrosia Park</t>
  </si>
  <si>
    <t>Mosquera</t>
  </si>
  <si>
    <t>Plaza Fernandez</t>
  </si>
  <si>
    <t>Plaza Trinidad</t>
  </si>
  <si>
    <t>PARQUE LA CONCORDIA</t>
  </si>
  <si>
    <t>1</t>
  </si>
  <si>
    <t>KENNEDY KRA 78K</t>
  </si>
  <si>
    <t>CASTELLANA KR 30</t>
  </si>
  <si>
    <t>Boyaca calle 54</t>
  </si>
  <si>
    <t>Santa Barbara 106</t>
  </si>
  <si>
    <t xml:space="preserve">Campus Compensar </t>
  </si>
  <si>
    <t>Central 13</t>
  </si>
  <si>
    <t>La 30A</t>
  </si>
  <si>
    <t>Gustavo Restrepo</t>
  </si>
  <si>
    <t>Centro Estación</t>
  </si>
  <si>
    <t>Bolivar Desnudo</t>
  </si>
  <si>
    <t>EDS La Pista</t>
  </si>
  <si>
    <t>Manga Empresarial</t>
  </si>
  <si>
    <t>Calle Tercera</t>
  </si>
  <si>
    <t>Estelar</t>
  </si>
  <si>
    <t>Media Luna</t>
  </si>
  <si>
    <t>AV. Escallon</t>
  </si>
  <si>
    <t>San Fernando Plaza 2</t>
  </si>
  <si>
    <t>Envigado La 37</t>
  </si>
  <si>
    <t>La hotel 10</t>
  </si>
  <si>
    <t>VILLA CRISTOBAL</t>
  </si>
  <si>
    <t>Villa de Leyva</t>
  </si>
  <si>
    <t>MANDALA</t>
  </si>
  <si>
    <t>Mall Plaza cartagena</t>
  </si>
  <si>
    <t>Mallplaza Manizales</t>
  </si>
  <si>
    <t>Manizales</t>
  </si>
  <si>
    <t>Cortezza las Palmas</t>
  </si>
  <si>
    <t>Malecon del mar</t>
  </si>
  <si>
    <t>Es una extensión a lo largo del mar de 5Km y aún no hay una definición exacta del espacio</t>
  </si>
  <si>
    <t>Avenida El Poblado BCJ</t>
  </si>
  <si>
    <t>Clinica Buonavitta</t>
  </si>
  <si>
    <t>Guayabal</t>
  </si>
  <si>
    <t>VILLA DE LEYVA KR 13</t>
  </si>
  <si>
    <t>VILLA 11</t>
  </si>
  <si>
    <t>Onix</t>
  </si>
  <si>
    <t>Green Cr 24</t>
  </si>
  <si>
    <t>Milenta Central</t>
  </si>
  <si>
    <t>Las Mercedes</t>
  </si>
  <si>
    <t>Las Americas</t>
  </si>
  <si>
    <t>Avenida Jardín</t>
  </si>
  <si>
    <t>Sabaneta Cra 43A</t>
  </si>
  <si>
    <t>Provenza Central</t>
  </si>
  <si>
    <t>20 de julio</t>
  </si>
  <si>
    <t>jardin 17 sur</t>
  </si>
  <si>
    <t>Belen La 77</t>
  </si>
  <si>
    <t>no</t>
  </si>
  <si>
    <t>Pinar</t>
  </si>
  <si>
    <t>CR</t>
  </si>
  <si>
    <t>Tienda</t>
  </si>
  <si>
    <t>50WHX</t>
  </si>
  <si>
    <t>AEROPUERTO EL DORADO</t>
  </si>
  <si>
    <t>505ST</t>
  </si>
  <si>
    <t>ALAMOS</t>
  </si>
  <si>
    <t>50QK2</t>
  </si>
  <si>
    <t>1ero De Mayo</t>
  </si>
  <si>
    <t>50VEG</t>
  </si>
  <si>
    <t>APOGEO</t>
  </si>
  <si>
    <t>50EXM</t>
  </si>
  <si>
    <t>72 Castilla</t>
  </si>
  <si>
    <t>ARBORIZADORA</t>
  </si>
  <si>
    <t>50WLE</t>
  </si>
  <si>
    <t>73 Kennedy</t>
  </si>
  <si>
    <t>BAVARIA</t>
  </si>
  <si>
    <t>50JA1</t>
  </si>
  <si>
    <t>78 Kennedy</t>
  </si>
  <si>
    <t>BOLIVIA</t>
  </si>
  <si>
    <t>Especialistas</t>
  </si>
  <si>
    <t>505TQ</t>
  </si>
  <si>
    <t>Acacias</t>
  </si>
  <si>
    <t>509BS</t>
  </si>
  <si>
    <t>Acomedica 2</t>
  </si>
  <si>
    <t>Practicantes</t>
  </si>
  <si>
    <t>MS</t>
  </si>
  <si>
    <t>502B0</t>
  </si>
  <si>
    <t>BRITALIA</t>
  </si>
  <si>
    <t>50IHY</t>
  </si>
  <si>
    <t>Afe Refugio</t>
  </si>
  <si>
    <t>CALANDAIMA</t>
  </si>
  <si>
    <t xml:space="preserve">Cindy Torres </t>
  </si>
  <si>
    <t>505DL</t>
  </si>
  <si>
    <t>Agustin</t>
  </si>
  <si>
    <t>Walter Santiago Quintero</t>
  </si>
  <si>
    <t>50T5A</t>
  </si>
  <si>
    <t xml:space="preserve">Alameda De Unicentro </t>
  </si>
  <si>
    <t>CARVAJAL</t>
  </si>
  <si>
    <t xml:space="preserve">Andres Duque </t>
  </si>
  <si>
    <t>50UPU</t>
  </si>
  <si>
    <t>Alamos 90</t>
  </si>
  <si>
    <t>CASA BLANCA SUBA</t>
  </si>
  <si>
    <t>50FZH</t>
  </si>
  <si>
    <t>Alamos Industrial</t>
  </si>
  <si>
    <t>50TWU</t>
  </si>
  <si>
    <t>Alamos Norte</t>
  </si>
  <si>
    <t>50WJD</t>
  </si>
  <si>
    <t>Alcabama 100</t>
  </si>
  <si>
    <t>50IOP</t>
  </si>
  <si>
    <t>Alcala</t>
  </si>
  <si>
    <t>CIUDAD JARDIN</t>
  </si>
  <si>
    <t>503Z7</t>
  </si>
  <si>
    <t xml:space="preserve">Aldea Comercial </t>
  </si>
  <si>
    <t>CIUDAD MONTES</t>
  </si>
  <si>
    <t>50K6C</t>
  </si>
  <si>
    <t>CIUDAD SALITRE OCCIDENTAL</t>
  </si>
  <si>
    <t>50HZJ</t>
  </si>
  <si>
    <t>Almacentro</t>
  </si>
  <si>
    <t>CIUDAD SALITRE ORIENTAL</t>
  </si>
  <si>
    <t>Paola Cardona</t>
  </si>
  <si>
    <t>50L8W</t>
  </si>
  <si>
    <t>Alonso Calle 19</t>
  </si>
  <si>
    <t>COUNTRY CLUB</t>
  </si>
  <si>
    <t>50SKG</t>
  </si>
  <si>
    <t>Alsacia</t>
  </si>
  <si>
    <t>50P88</t>
  </si>
  <si>
    <t>Alta Suiza</t>
  </si>
  <si>
    <t>EL PRADO</t>
  </si>
  <si>
    <t>50PT8</t>
  </si>
  <si>
    <t>Altavista</t>
  </si>
  <si>
    <t>505N0</t>
  </si>
  <si>
    <t>Alto Prado 49C</t>
  </si>
  <si>
    <t>EL RINCON</t>
  </si>
  <si>
    <t>50L9T</t>
  </si>
  <si>
    <t>Alto Prado 76</t>
  </si>
  <si>
    <t>ENGATIVA</t>
  </si>
  <si>
    <t>50YHD</t>
  </si>
  <si>
    <t xml:space="preserve">Altos De Cabecera 2 </t>
  </si>
  <si>
    <t>50Y4E</t>
  </si>
  <si>
    <t>Altos Del Ciclista</t>
  </si>
  <si>
    <t>501YH</t>
  </si>
  <si>
    <t>America Occidental</t>
  </si>
  <si>
    <t>GARCES NAVAS</t>
  </si>
  <si>
    <t>GRAN BRITALIA</t>
  </si>
  <si>
    <t>50VOZ</t>
  </si>
  <si>
    <t>Américas Boyacá</t>
  </si>
  <si>
    <t>50IP7</t>
  </si>
  <si>
    <t>Anillo Vial</t>
  </si>
  <si>
    <t>ISMAEL PERDOMO</t>
  </si>
  <si>
    <t>502XT</t>
  </si>
  <si>
    <t>Antigua</t>
  </si>
  <si>
    <t>JARDIN BOTANICO</t>
  </si>
  <si>
    <t>50OMJ</t>
  </si>
  <si>
    <t>Aquazul</t>
  </si>
  <si>
    <t>50CV4</t>
  </si>
  <si>
    <t>Arbolatta Mall</t>
  </si>
  <si>
    <t>LA ALHAMBRA</t>
  </si>
  <si>
    <t>50R0P</t>
  </si>
  <si>
    <t>Arrayanes</t>
  </si>
  <si>
    <t>50B6R</t>
  </si>
  <si>
    <t>Arrecife</t>
  </si>
  <si>
    <t>LA ESMERALDA</t>
  </si>
  <si>
    <t>50ZFN</t>
  </si>
  <si>
    <t>Asturias</t>
  </si>
  <si>
    <t>504EU</t>
  </si>
  <si>
    <t>Atabanza</t>
  </si>
  <si>
    <t>LA MACARENA</t>
  </si>
  <si>
    <t>50A5Z</t>
  </si>
  <si>
    <t>Aurora 2</t>
  </si>
  <si>
    <t>50AT6</t>
  </si>
  <si>
    <t>LA URIBE</t>
  </si>
  <si>
    <t>50I2O</t>
  </si>
  <si>
    <t xml:space="preserve">Autonorte 100 </t>
  </si>
  <si>
    <t>50AJF</t>
  </si>
  <si>
    <t xml:space="preserve">Autopista </t>
  </si>
  <si>
    <t>50FKJ</t>
  </si>
  <si>
    <t>50Y57</t>
  </si>
  <si>
    <t>Av Colombia Centenar</t>
  </si>
  <si>
    <t>50RZH</t>
  </si>
  <si>
    <t xml:space="preserve">Av Roosevelt </t>
  </si>
  <si>
    <t>50CJQ</t>
  </si>
  <si>
    <t xml:space="preserve">Av Santa Monica </t>
  </si>
  <si>
    <t>MINUTO DE DIOS</t>
  </si>
  <si>
    <t>5075T</t>
  </si>
  <si>
    <t xml:space="preserve">Av. Pradilla </t>
  </si>
  <si>
    <t>50WLJ</t>
  </si>
  <si>
    <t>50QFF</t>
  </si>
  <si>
    <t>Avenida Palermo</t>
  </si>
  <si>
    <t>50LMN</t>
  </si>
  <si>
    <t xml:space="preserve">Avenida Quimbaya </t>
  </si>
  <si>
    <t>50NUQ</t>
  </si>
  <si>
    <t>PARQUE SIMON BOLIVAR - CAN</t>
  </si>
  <si>
    <t>50FG4</t>
  </si>
  <si>
    <t xml:space="preserve">Avenida Sur </t>
  </si>
  <si>
    <t>50W8O</t>
  </si>
  <si>
    <t>Aves Maria</t>
  </si>
  <si>
    <t>502JA</t>
  </si>
  <si>
    <t xml:space="preserve">Bacata </t>
  </si>
  <si>
    <t>5053N</t>
  </si>
  <si>
    <t xml:space="preserve">Baleares </t>
  </si>
  <si>
    <t>50TLI</t>
  </si>
  <si>
    <t>Banca Armenia</t>
  </si>
  <si>
    <t>50M68</t>
  </si>
  <si>
    <t xml:space="preserve">Barcelona </t>
  </si>
  <si>
    <t>50APD</t>
  </si>
  <si>
    <t>SAN JOSE</t>
  </si>
  <si>
    <t>50M25</t>
  </si>
  <si>
    <t xml:space="preserve">Base Aerea </t>
  </si>
  <si>
    <t>50U9Q</t>
  </si>
  <si>
    <t>Batallón Paraiso</t>
  </si>
  <si>
    <t>50J37</t>
  </si>
  <si>
    <t xml:space="preserve">Batan </t>
  </si>
  <si>
    <t>50BAX</t>
  </si>
  <si>
    <t>Bávaro Plaza</t>
  </si>
  <si>
    <t>50E5U</t>
  </si>
  <si>
    <t xml:space="preserve">Baviera 174 </t>
  </si>
  <si>
    <t>50FQD</t>
  </si>
  <si>
    <t>Belén</t>
  </si>
  <si>
    <t>50OSX</t>
  </si>
  <si>
    <t>Bella Suiza 127</t>
  </si>
  <si>
    <t>50ZEL</t>
  </si>
  <si>
    <t xml:space="preserve">Belmonte </t>
  </si>
  <si>
    <t>TIMIZA</t>
  </si>
  <si>
    <t>50T52</t>
  </si>
  <si>
    <t>Blue Gardens</t>
  </si>
  <si>
    <t>50LTJ</t>
  </si>
  <si>
    <t>Bog Américas</t>
  </si>
  <si>
    <t>501CC</t>
  </si>
  <si>
    <t xml:space="preserve">Bonanza </t>
  </si>
  <si>
    <t>50ZRH</t>
  </si>
  <si>
    <t xml:space="preserve">Bonavista </t>
  </si>
  <si>
    <t>VERBENAL</t>
  </si>
  <si>
    <t>50K7R</t>
  </si>
  <si>
    <t>Bosa Los Naranjos</t>
  </si>
  <si>
    <t>ZONA FRANCA</t>
  </si>
  <si>
    <t>50ROX</t>
  </si>
  <si>
    <t>Bosa Maryland II</t>
  </si>
  <si>
    <t>50Q3X</t>
  </si>
  <si>
    <t>50UZ3</t>
  </si>
  <si>
    <t>50K7W</t>
  </si>
  <si>
    <t>Boston</t>
  </si>
  <si>
    <t>504B3</t>
  </si>
  <si>
    <t xml:space="preserve">Boyaca 53 </t>
  </si>
  <si>
    <t>50CPF</t>
  </si>
  <si>
    <t>Boyacá Parque</t>
  </si>
  <si>
    <t>50PC5</t>
  </si>
  <si>
    <t>50IZL</t>
  </si>
  <si>
    <t>Brisas De La Sexta</t>
  </si>
  <si>
    <t>502SG</t>
  </si>
  <si>
    <t xml:space="preserve">Britalia </t>
  </si>
  <si>
    <t>50NIL</t>
  </si>
  <si>
    <t>Britalia Norte</t>
  </si>
  <si>
    <t>50RBT</t>
  </si>
  <si>
    <t>50BLE</t>
  </si>
  <si>
    <t xml:space="preserve">Bucara Play </t>
  </si>
  <si>
    <t>502Z0</t>
  </si>
  <si>
    <t>Bulevar 70</t>
  </si>
  <si>
    <t>50WFX</t>
  </si>
  <si>
    <t>Buro 24 Ii</t>
  </si>
  <si>
    <t>50Z1X</t>
  </si>
  <si>
    <t>Cabecera</t>
  </si>
  <si>
    <t>509MH</t>
  </si>
  <si>
    <t xml:space="preserve">Cacique Plaza </t>
  </si>
  <si>
    <t>50IS1</t>
  </si>
  <si>
    <t>Cadiz 34</t>
  </si>
  <si>
    <t>50M7H</t>
  </si>
  <si>
    <t xml:space="preserve">Cajica El Eden </t>
  </si>
  <si>
    <t>50YZY</t>
  </si>
  <si>
    <t>Cajica Fontana Comer</t>
  </si>
  <si>
    <t>50EKU</t>
  </si>
  <si>
    <t xml:space="preserve">Calatrava </t>
  </si>
  <si>
    <t>50YC0</t>
  </si>
  <si>
    <t>509HC</t>
  </si>
  <si>
    <t xml:space="preserve">Calera Hills </t>
  </si>
  <si>
    <t>50C7J</t>
  </si>
  <si>
    <t xml:space="preserve">Calima </t>
  </si>
  <si>
    <t>50G73</t>
  </si>
  <si>
    <t xml:space="preserve">Calle 100 </t>
  </si>
  <si>
    <t>50IAH</t>
  </si>
  <si>
    <t xml:space="preserve">Calle 116 </t>
  </si>
  <si>
    <t>50VBQ</t>
  </si>
  <si>
    <t>Calle 138</t>
  </si>
  <si>
    <t>50YUN</t>
  </si>
  <si>
    <t xml:space="preserve">Calle 166 </t>
  </si>
  <si>
    <t>50GAH</t>
  </si>
  <si>
    <t xml:space="preserve">Calle 19 </t>
  </si>
  <si>
    <t>509DC</t>
  </si>
  <si>
    <t xml:space="preserve">Calle 34 </t>
  </si>
  <si>
    <t>501WX</t>
  </si>
  <si>
    <t xml:space="preserve">Calle 44 </t>
  </si>
  <si>
    <t>507BR</t>
  </si>
  <si>
    <t>507Z5</t>
  </si>
  <si>
    <t xml:space="preserve">Calle 48 </t>
  </si>
  <si>
    <t>509Q8</t>
  </si>
  <si>
    <t>50FYX</t>
  </si>
  <si>
    <t>507ZW</t>
  </si>
  <si>
    <t>50DBR</t>
  </si>
  <si>
    <t>50QVC</t>
  </si>
  <si>
    <t>50RXB</t>
  </si>
  <si>
    <t xml:space="preserve">Camino Del Norte </t>
  </si>
  <si>
    <t>50W57</t>
  </si>
  <si>
    <t xml:space="preserve">Campincito </t>
  </si>
  <si>
    <t>50PHR</t>
  </si>
  <si>
    <t>509AX</t>
  </si>
  <si>
    <t>Cancilleria</t>
  </si>
  <si>
    <t>50E7F</t>
  </si>
  <si>
    <t xml:space="preserve">Cantabria </t>
  </si>
  <si>
    <t>50IT4</t>
  </si>
  <si>
    <t>Cañaveral</t>
  </si>
  <si>
    <t>501WG</t>
  </si>
  <si>
    <t>Cañaveralejo</t>
  </si>
  <si>
    <t>50SQJ</t>
  </si>
  <si>
    <t xml:space="preserve">Capellania </t>
  </si>
  <si>
    <t>505A9</t>
  </si>
  <si>
    <t xml:space="preserve">Capital Center </t>
  </si>
  <si>
    <t>5034C</t>
  </si>
  <si>
    <t>500A9</t>
  </si>
  <si>
    <t>50GT9</t>
  </si>
  <si>
    <t xml:space="preserve">Carrera 14 </t>
  </si>
  <si>
    <t>509NU</t>
  </si>
  <si>
    <t>50S41</t>
  </si>
  <si>
    <t xml:space="preserve">Carrera 30 </t>
  </si>
  <si>
    <t>50IMN</t>
  </si>
  <si>
    <t>50YKH</t>
  </si>
  <si>
    <t>50K1D</t>
  </si>
  <si>
    <t xml:space="preserve">Castilla 78 </t>
  </si>
  <si>
    <t>50TFA</t>
  </si>
  <si>
    <t>50EU7</t>
  </si>
  <si>
    <t xml:space="preserve">Catama </t>
  </si>
  <si>
    <t>50BFA</t>
  </si>
  <si>
    <t xml:space="preserve">Catedral </t>
  </si>
  <si>
    <t>50JO4</t>
  </si>
  <si>
    <t xml:space="preserve">Cc Cabecera Et II </t>
  </si>
  <si>
    <t>50HOU</t>
  </si>
  <si>
    <t xml:space="preserve">Cedritos </t>
  </si>
  <si>
    <t>50IXK</t>
  </si>
  <si>
    <t xml:space="preserve">Cedro </t>
  </si>
  <si>
    <t>507KD</t>
  </si>
  <si>
    <t>50CP4</t>
  </si>
  <si>
    <t xml:space="preserve">Centauros </t>
  </si>
  <si>
    <t>502B7</t>
  </si>
  <si>
    <t xml:space="preserve">Central Park </t>
  </si>
  <si>
    <t>50J7G</t>
  </si>
  <si>
    <t xml:space="preserve">Central Point </t>
  </si>
  <si>
    <t>50JVU</t>
  </si>
  <si>
    <t xml:space="preserve">Centrik View </t>
  </si>
  <si>
    <t>50SP9</t>
  </si>
  <si>
    <t>50IPE</t>
  </si>
  <si>
    <t>Ceoh</t>
  </si>
  <si>
    <t>50BUX</t>
  </si>
  <si>
    <t>50A15</t>
  </si>
  <si>
    <t xml:space="preserve">Chia Fique </t>
  </si>
  <si>
    <t>50W56</t>
  </si>
  <si>
    <t>Chicamocha</t>
  </si>
  <si>
    <t>50LEQ</t>
  </si>
  <si>
    <t>50NGG</t>
  </si>
  <si>
    <t>50Y77</t>
  </si>
  <si>
    <t>50HEH</t>
  </si>
  <si>
    <t>501Z1</t>
  </si>
  <si>
    <t>Ciudad del Rio</t>
  </si>
  <si>
    <t>50OIH</t>
  </si>
  <si>
    <t>50O5Y</t>
  </si>
  <si>
    <t xml:space="preserve">Ciudad Roma </t>
  </si>
  <si>
    <t>50POV</t>
  </si>
  <si>
    <t>50S27</t>
  </si>
  <si>
    <t>Clini Versalles Cal</t>
  </si>
  <si>
    <t>50ZHB</t>
  </si>
  <si>
    <t>Club Policia Colina</t>
  </si>
  <si>
    <t>50CQ0</t>
  </si>
  <si>
    <t xml:space="preserve">Concejo </t>
  </si>
  <si>
    <t>505BM</t>
  </si>
  <si>
    <t xml:space="preserve">Concordia 21 </t>
  </si>
  <si>
    <t>50FSE</t>
  </si>
  <si>
    <t xml:space="preserve">Conecta </t>
  </si>
  <si>
    <t>50DOO</t>
  </si>
  <si>
    <t>Connecta 80</t>
  </si>
  <si>
    <t>509FO</t>
  </si>
  <si>
    <t>Contador</t>
  </si>
  <si>
    <t>50QAQ</t>
  </si>
  <si>
    <t xml:space="preserve">Corales Cra 25 </t>
  </si>
  <si>
    <t>50KZS</t>
  </si>
  <si>
    <t>5003A</t>
  </si>
  <si>
    <t xml:space="preserve">Costa Azul </t>
  </si>
  <si>
    <t>50ILT</t>
  </si>
  <si>
    <t>Country Sur</t>
  </si>
  <si>
    <t>50ZMB</t>
  </si>
  <si>
    <t xml:space="preserve">Cristo Comuneros </t>
  </si>
  <si>
    <t>50R9H</t>
  </si>
  <si>
    <t xml:space="preserve">Cuan </t>
  </si>
  <si>
    <t>50QYP</t>
  </si>
  <si>
    <t xml:space="preserve">Davinci </t>
  </si>
  <si>
    <t>50KUO</t>
  </si>
  <si>
    <t>50WYW</t>
  </si>
  <si>
    <t>50YW8</t>
  </si>
  <si>
    <t>Delicias 43</t>
  </si>
  <si>
    <t>50NJ7</t>
  </si>
  <si>
    <t>Diamante Los Colores</t>
  </si>
  <si>
    <t>50CHG</t>
  </si>
  <si>
    <t xml:space="preserve">Diario Del Otun </t>
  </si>
  <si>
    <t>506Q0</t>
  </si>
  <si>
    <t>Distrito 90 Barranqu</t>
  </si>
  <si>
    <t>50PES</t>
  </si>
  <si>
    <t>Distrito Poblado</t>
  </si>
  <si>
    <t>50H58</t>
  </si>
  <si>
    <t>Diverplaza</t>
  </si>
  <si>
    <t>5095B</t>
  </si>
  <si>
    <t xml:space="preserve">Divino Niño </t>
  </si>
  <si>
    <t>50W3U</t>
  </si>
  <si>
    <t>Dorado Plaza</t>
  </si>
  <si>
    <t>5029F</t>
  </si>
  <si>
    <t xml:space="preserve">Eds Aranzoque </t>
  </si>
  <si>
    <t>50JGF</t>
  </si>
  <si>
    <t>Eds Av Libertadores La 70</t>
  </si>
  <si>
    <t>50Q1M</t>
  </si>
  <si>
    <t>Eds Av Simon Bolivar</t>
  </si>
  <si>
    <t>50X14</t>
  </si>
  <si>
    <t>Eds Avenida 68</t>
  </si>
  <si>
    <t>50N33</t>
  </si>
  <si>
    <t>Eds Cambulos Cali</t>
  </si>
  <si>
    <t>50E6C</t>
  </si>
  <si>
    <t>Eds Caney Plaza</t>
  </si>
  <si>
    <t>50WGK</t>
  </si>
  <si>
    <t>Eds Caneyes II</t>
  </si>
  <si>
    <t>5041V</t>
  </si>
  <si>
    <t xml:space="preserve">Eds Carvajal </t>
  </si>
  <si>
    <t>50L4K</t>
  </si>
  <si>
    <t>Eds Comercial Zipaqu</t>
  </si>
  <si>
    <t>50YXS</t>
  </si>
  <si>
    <t xml:space="preserve">Eds Cota </t>
  </si>
  <si>
    <t>50O0L</t>
  </si>
  <si>
    <t xml:space="preserve">Eds El Carmen </t>
  </si>
  <si>
    <t>50I97</t>
  </si>
  <si>
    <t xml:space="preserve">Eds El Diamante </t>
  </si>
  <si>
    <t>50M75</t>
  </si>
  <si>
    <t xml:space="preserve">Eds El Gato </t>
  </si>
  <si>
    <t>505CX</t>
  </si>
  <si>
    <t xml:space="preserve">Eds El Lido </t>
  </si>
  <si>
    <t>50QWV</t>
  </si>
  <si>
    <t>Eds El Limon</t>
  </si>
  <si>
    <t>50GX1</t>
  </si>
  <si>
    <t>Eds El Parque</t>
  </si>
  <si>
    <t>507CV</t>
  </si>
  <si>
    <t xml:space="preserve">Eds El Pire </t>
  </si>
  <si>
    <t>50FIA</t>
  </si>
  <si>
    <t xml:space="preserve">Eds El Roble </t>
  </si>
  <si>
    <t>508EU</t>
  </si>
  <si>
    <t>Eds Estacion Florest</t>
  </si>
  <si>
    <t>50Q44</t>
  </si>
  <si>
    <t>Eds Galán</t>
  </si>
  <si>
    <t>5037C</t>
  </si>
  <si>
    <t>504KO</t>
  </si>
  <si>
    <t xml:space="preserve">Eds Iberia </t>
  </si>
  <si>
    <t>50WM8</t>
  </si>
  <si>
    <t xml:space="preserve">Eds La Badea </t>
  </si>
  <si>
    <t>50G50</t>
  </si>
  <si>
    <t xml:space="preserve">Eds La Peña </t>
  </si>
  <si>
    <t>50WMO</t>
  </si>
  <si>
    <t xml:space="preserve">Eds Las Aguas </t>
  </si>
  <si>
    <t>50HJ9</t>
  </si>
  <si>
    <t>Eds Maldonado</t>
  </si>
  <si>
    <t>50R8O</t>
  </si>
  <si>
    <t>Eds Mayoral</t>
  </si>
  <si>
    <t>50BA4</t>
  </si>
  <si>
    <t>Eds Molino</t>
  </si>
  <si>
    <t>505LR</t>
  </si>
  <si>
    <t xml:space="preserve">Eds Novotech </t>
  </si>
  <si>
    <t>50YBY</t>
  </si>
  <si>
    <t>Eds Nueva Granada</t>
  </si>
  <si>
    <t>50FUZ</t>
  </si>
  <si>
    <t>Eds Otraparte</t>
  </si>
  <si>
    <t>50RJ8</t>
  </si>
  <si>
    <t xml:space="preserve">Eds Palenque </t>
  </si>
  <si>
    <t>505L1</t>
  </si>
  <si>
    <t>Eds Papiros Park 2</t>
  </si>
  <si>
    <t>50FLO</t>
  </si>
  <si>
    <t>Eds Paraíso</t>
  </si>
  <si>
    <t>50DYM</t>
  </si>
  <si>
    <t>Eds Portal De Niquia</t>
  </si>
  <si>
    <t>504KL</t>
  </si>
  <si>
    <t>Eds Puerto Vallarta</t>
  </si>
  <si>
    <t>50O1Z</t>
  </si>
  <si>
    <t xml:space="preserve">Eds Quito 2000 </t>
  </si>
  <si>
    <t>506B6</t>
  </si>
  <si>
    <t>Eds San Antonio</t>
  </si>
  <si>
    <t>507P3</t>
  </si>
  <si>
    <t xml:space="preserve">Eds San Pedro </t>
  </si>
  <si>
    <t>505PY</t>
  </si>
  <si>
    <t>Eds San Rafael</t>
  </si>
  <si>
    <t>50DL3</t>
  </si>
  <si>
    <t>Eds Santo Domingo Bo</t>
  </si>
  <si>
    <t>50YJQ</t>
  </si>
  <si>
    <t>Eds Servicampestre</t>
  </si>
  <si>
    <t>50AMW</t>
  </si>
  <si>
    <t>Eds Suba Salitre</t>
  </si>
  <si>
    <t>50FGA</t>
  </si>
  <si>
    <t>Eds Timiza</t>
  </si>
  <si>
    <t>50LT7</t>
  </si>
  <si>
    <t>Eds Tribunas</t>
  </si>
  <si>
    <t>50BFS</t>
  </si>
  <si>
    <t>50WY4</t>
  </si>
  <si>
    <t>Eds Via Al Mar</t>
  </si>
  <si>
    <t>503FT</t>
  </si>
  <si>
    <t xml:space="preserve">Eds Via Sopo </t>
  </si>
  <si>
    <t>50OER</t>
  </si>
  <si>
    <t>Eds Wellnwaa Hotel</t>
  </si>
  <si>
    <t>50FVK</t>
  </si>
  <si>
    <t>5082N</t>
  </si>
  <si>
    <t>Eje Ambiental</t>
  </si>
  <si>
    <t>506R5</t>
  </si>
  <si>
    <t xml:space="preserve">El Bosque </t>
  </si>
  <si>
    <t>50X3P</t>
  </si>
  <si>
    <t>El Cable</t>
  </si>
  <si>
    <t>50A8C</t>
  </si>
  <si>
    <t>El Dorado</t>
  </si>
  <si>
    <t>503T3</t>
  </si>
  <si>
    <t>50IXL</t>
  </si>
  <si>
    <t>El Esmeraldal</t>
  </si>
  <si>
    <t>50BHI</t>
  </si>
  <si>
    <t>El Japon</t>
  </si>
  <si>
    <t>50UCY</t>
  </si>
  <si>
    <t xml:space="preserve">El Leon </t>
  </si>
  <si>
    <t>50SAE</t>
  </si>
  <si>
    <t xml:space="preserve">El Libertador </t>
  </si>
  <si>
    <t>50Y9Q</t>
  </si>
  <si>
    <t xml:space="preserve">El Peñon </t>
  </si>
  <si>
    <t xml:space="preserve">El Progreso </t>
  </si>
  <si>
    <t>50O4T</t>
  </si>
  <si>
    <t>50CCB</t>
  </si>
  <si>
    <t>El Rincon</t>
  </si>
  <si>
    <t>50R3L</t>
  </si>
  <si>
    <t xml:space="preserve">El Trebol </t>
  </si>
  <si>
    <t>50A3A</t>
  </si>
  <si>
    <t>El Triangulo</t>
  </si>
  <si>
    <t>50BU8</t>
  </si>
  <si>
    <t>Elemento</t>
  </si>
  <si>
    <t>50K8P</t>
  </si>
  <si>
    <t>Empresarial Santa Bárbara</t>
  </si>
  <si>
    <t>50UOH</t>
  </si>
  <si>
    <t xml:space="preserve">Encanto </t>
  </si>
  <si>
    <t>50ZIU</t>
  </si>
  <si>
    <t>Entre Rios</t>
  </si>
  <si>
    <t>508II</t>
  </si>
  <si>
    <t>Escuela Gral. Santander</t>
  </si>
  <si>
    <t>50UB4</t>
  </si>
  <si>
    <t>Esmeralda</t>
  </si>
  <si>
    <t>5031E</t>
  </si>
  <si>
    <t>Esquina Laureles</t>
  </si>
  <si>
    <t>50FGF</t>
  </si>
  <si>
    <t>Estacion 106</t>
  </si>
  <si>
    <t>509BJ</t>
  </si>
  <si>
    <t xml:space="preserve">Estacion Central </t>
  </si>
  <si>
    <t>50BT8</t>
  </si>
  <si>
    <t>Estación Pepe Sierra</t>
  </si>
  <si>
    <t>507FM</t>
  </si>
  <si>
    <t>Estación Ricaurte</t>
  </si>
  <si>
    <t>50A25</t>
  </si>
  <si>
    <t>Estadio a</t>
  </si>
  <si>
    <t>508ZU</t>
  </si>
  <si>
    <t>Estoril</t>
  </si>
  <si>
    <t>508AM</t>
  </si>
  <si>
    <t>50J1V</t>
  </si>
  <si>
    <t>50R3V</t>
  </si>
  <si>
    <t xml:space="preserve">Federman </t>
  </si>
  <si>
    <t>501KA</t>
  </si>
  <si>
    <t xml:space="preserve">Ferrocarril </t>
  </si>
  <si>
    <t>50Y5Y</t>
  </si>
  <si>
    <t xml:space="preserve">Fiesta Suba </t>
  </si>
  <si>
    <t>50NWI</t>
  </si>
  <si>
    <t>50KHU</t>
  </si>
  <si>
    <t>Flora 586</t>
  </si>
  <si>
    <t>50GRF</t>
  </si>
  <si>
    <t>50ZEP</t>
  </si>
  <si>
    <t>Florida Nueva</t>
  </si>
  <si>
    <t>508QV</t>
  </si>
  <si>
    <t>50A9T</t>
  </si>
  <si>
    <t>5088G</t>
  </si>
  <si>
    <t>Foresta Norte Armeni</t>
  </si>
  <si>
    <t>501M6</t>
  </si>
  <si>
    <t>Frutera</t>
  </si>
  <si>
    <t>50ID1</t>
  </si>
  <si>
    <t>Gaira</t>
  </si>
  <si>
    <t>50G2G</t>
  </si>
  <si>
    <t>Galan</t>
  </si>
  <si>
    <t>50D8A</t>
  </si>
  <si>
    <t xml:space="preserve">Galerias 28 </t>
  </si>
  <si>
    <t>50Z8Y</t>
  </si>
  <si>
    <t>50UWA</t>
  </si>
  <si>
    <t xml:space="preserve">Galicia </t>
  </si>
  <si>
    <t>50RZU</t>
  </si>
  <si>
    <t xml:space="preserve">Garces Navas </t>
  </si>
  <si>
    <t>500QC</t>
  </si>
  <si>
    <t>Garzas</t>
  </si>
  <si>
    <t>504F9</t>
  </si>
  <si>
    <t>Giron El Poblado</t>
  </si>
  <si>
    <t>503K5</t>
  </si>
  <si>
    <t>Gonzalez Valencia</t>
  </si>
  <si>
    <t>5093J</t>
  </si>
  <si>
    <t xml:space="preserve">Gradeco </t>
  </si>
  <si>
    <t>50G7N</t>
  </si>
  <si>
    <t xml:space="preserve">Gran Provenza </t>
  </si>
  <si>
    <t>50YSP</t>
  </si>
  <si>
    <t>Granada Inn</t>
  </si>
  <si>
    <t>50W27</t>
  </si>
  <si>
    <t xml:space="preserve">Grand Boulevar </t>
  </si>
  <si>
    <t>50AD5</t>
  </si>
  <si>
    <t>Granjas 69</t>
  </si>
  <si>
    <t>50Z48</t>
  </si>
  <si>
    <t xml:space="preserve">Greco </t>
  </si>
  <si>
    <t>50R7A</t>
  </si>
  <si>
    <t xml:space="preserve">Guadalupe Zapata </t>
  </si>
  <si>
    <t>501H3</t>
  </si>
  <si>
    <t xml:space="preserve">Guali </t>
  </si>
  <si>
    <t>5075I</t>
  </si>
  <si>
    <t xml:space="preserve">Guatoque </t>
  </si>
  <si>
    <t>50A6V</t>
  </si>
  <si>
    <t>Hacienda La Quinta</t>
  </si>
  <si>
    <t>506IV</t>
  </si>
  <si>
    <t>Hermosa Provincia</t>
  </si>
  <si>
    <t>50HVJ</t>
  </si>
  <si>
    <t>509NN</t>
  </si>
  <si>
    <t>Hipotecho Sur</t>
  </si>
  <si>
    <t>50O4Y</t>
  </si>
  <si>
    <t>50KVQ</t>
  </si>
  <si>
    <t>Holguines</t>
  </si>
  <si>
    <t>50GND</t>
  </si>
  <si>
    <t>Hospital Regional</t>
  </si>
  <si>
    <t>50QNG</t>
  </si>
  <si>
    <t xml:space="preserve">Imperial </t>
  </si>
  <si>
    <t>50NQL</t>
  </si>
  <si>
    <t>500E2</t>
  </si>
  <si>
    <t>Invico</t>
  </si>
  <si>
    <t>50FMW</t>
  </si>
  <si>
    <t>50Q8B</t>
  </si>
  <si>
    <t xml:space="preserve">Jardín </t>
  </si>
  <si>
    <t>50IK5</t>
  </si>
  <si>
    <t>50JEO</t>
  </si>
  <si>
    <t>507V9</t>
  </si>
  <si>
    <t xml:space="preserve">Jazmin </t>
  </si>
  <si>
    <t>50JJJ</t>
  </si>
  <si>
    <t xml:space="preserve">Jj Var </t>
  </si>
  <si>
    <t>50VSB</t>
  </si>
  <si>
    <t xml:space="preserve">Junin </t>
  </si>
  <si>
    <t>507S1</t>
  </si>
  <si>
    <t xml:space="preserve">Karmel </t>
  </si>
  <si>
    <t>509T5</t>
  </si>
  <si>
    <t>50BJ8</t>
  </si>
  <si>
    <t>50TYD</t>
  </si>
  <si>
    <t>Kennedy Cll 26</t>
  </si>
  <si>
    <t>5037F</t>
  </si>
  <si>
    <t>Kennedy Sur</t>
  </si>
  <si>
    <t>50SHU</t>
  </si>
  <si>
    <t>La 21</t>
  </si>
  <si>
    <t>50V28</t>
  </si>
  <si>
    <t xml:space="preserve">La 34 </t>
  </si>
  <si>
    <t>508A7</t>
  </si>
  <si>
    <t xml:space="preserve">La 44 </t>
  </si>
  <si>
    <t>50FU5</t>
  </si>
  <si>
    <t xml:space="preserve">La 50 </t>
  </si>
  <si>
    <t>50I8T</t>
  </si>
  <si>
    <t>La 61</t>
  </si>
  <si>
    <t>50SQO</t>
  </si>
  <si>
    <t>505MG</t>
  </si>
  <si>
    <t>La Camelia</t>
  </si>
  <si>
    <t>50OM2</t>
  </si>
  <si>
    <t>La Campiña</t>
  </si>
  <si>
    <t>50FZY</t>
  </si>
  <si>
    <t>50KFI</t>
  </si>
  <si>
    <t>La Concepcion</t>
  </si>
  <si>
    <t xml:space="preserve">La Corona </t>
  </si>
  <si>
    <t>50CVZ</t>
  </si>
  <si>
    <t>La Estrella 1</t>
  </si>
  <si>
    <t>50MD4</t>
  </si>
  <si>
    <t>505OJ</t>
  </si>
  <si>
    <t>La Felicidad 75</t>
  </si>
  <si>
    <t>50V37</t>
  </si>
  <si>
    <t>La Florida Calle 71</t>
  </si>
  <si>
    <t>50OTS</t>
  </si>
  <si>
    <t xml:space="preserve">La Fogata </t>
  </si>
  <si>
    <t>5096H</t>
  </si>
  <si>
    <t>La Fragua</t>
  </si>
  <si>
    <t>501HT</t>
  </si>
  <si>
    <t>La Fraguita</t>
  </si>
  <si>
    <t>50GJR</t>
  </si>
  <si>
    <t xml:space="preserve">La Gran Via </t>
  </si>
  <si>
    <t>50ZGE</t>
  </si>
  <si>
    <t>La Industrial</t>
  </si>
  <si>
    <t>502NP</t>
  </si>
  <si>
    <t>504WD</t>
  </si>
  <si>
    <t>La Lorena Pereira</t>
  </si>
  <si>
    <t>50GPC</t>
  </si>
  <si>
    <t>500GV</t>
  </si>
  <si>
    <t>La Nubia</t>
  </si>
  <si>
    <t>50PK2</t>
  </si>
  <si>
    <t>La Playa</t>
  </si>
  <si>
    <t>50DCI</t>
  </si>
  <si>
    <t>La Pradera Principal</t>
  </si>
  <si>
    <t>50LG6</t>
  </si>
  <si>
    <t xml:space="preserve">La Promesa </t>
  </si>
  <si>
    <t>50YBJ</t>
  </si>
  <si>
    <t>La Riviera</t>
  </si>
  <si>
    <t>50FRT</t>
  </si>
  <si>
    <t>La Samaria</t>
  </si>
  <si>
    <t>50FMO</t>
  </si>
  <si>
    <t>La Uribe 21A</t>
  </si>
  <si>
    <t>50UQ9</t>
  </si>
  <si>
    <t xml:space="preserve">La Victoria </t>
  </si>
  <si>
    <t>506A4</t>
  </si>
  <si>
    <t>La Vida</t>
  </si>
  <si>
    <t>50O0M</t>
  </si>
  <si>
    <t>50USK</t>
  </si>
  <si>
    <t>50YW4</t>
  </si>
  <si>
    <t>Las Colinas</t>
  </si>
  <si>
    <t>50I9M</t>
  </si>
  <si>
    <t>Las Ferias</t>
  </si>
  <si>
    <t>50P1K</t>
  </si>
  <si>
    <t>Las Lomas 2</t>
  </si>
  <si>
    <t>50H00</t>
  </si>
  <si>
    <t>Las Palmas</t>
  </si>
  <si>
    <t>5066P</t>
  </si>
  <si>
    <t>Las Pilas</t>
  </si>
  <si>
    <t>50FLL</t>
  </si>
  <si>
    <t>Laureles La Castellana</t>
  </si>
  <si>
    <t>50JCU</t>
  </si>
  <si>
    <t>Life 200</t>
  </si>
  <si>
    <t>50BEU</t>
  </si>
  <si>
    <t xml:space="preserve">Lima 19 </t>
  </si>
  <si>
    <t>50V8S</t>
  </si>
  <si>
    <t>Lindsay</t>
  </si>
  <si>
    <t>50UUC</t>
  </si>
  <si>
    <t>Llano Grande Pereira</t>
  </si>
  <si>
    <t>5028T</t>
  </si>
  <si>
    <t>5081Y</t>
  </si>
  <si>
    <t xml:space="preserve">Los Arces </t>
  </si>
  <si>
    <t>50BVD</t>
  </si>
  <si>
    <t xml:space="preserve">Los Fundadores </t>
  </si>
  <si>
    <t>50K6D</t>
  </si>
  <si>
    <t>Los Monjes</t>
  </si>
  <si>
    <t>50RIA</t>
  </si>
  <si>
    <t>Luna Park</t>
  </si>
  <si>
    <t>50J6V</t>
  </si>
  <si>
    <t xml:space="preserve">Lusitania Av 68 </t>
  </si>
  <si>
    <t>50ECG</t>
  </si>
  <si>
    <t>5017O</t>
  </si>
  <si>
    <t>Mall Zona Oro</t>
  </si>
  <si>
    <t>50TND</t>
  </si>
  <si>
    <t>Mar</t>
  </si>
  <si>
    <t>50BWT</t>
  </si>
  <si>
    <t>Maraya</t>
  </si>
  <si>
    <t>508OX</t>
  </si>
  <si>
    <t>509XM</t>
  </si>
  <si>
    <t>50LY0</t>
  </si>
  <si>
    <t>Mazanti</t>
  </si>
  <si>
    <t>50Y5F</t>
  </si>
  <si>
    <t>Medellin La 50</t>
  </si>
  <si>
    <t>50V1X</t>
  </si>
  <si>
    <t>Mederi 24</t>
  </si>
  <si>
    <t>500DU</t>
  </si>
  <si>
    <t xml:space="preserve">Mensuli Hic </t>
  </si>
  <si>
    <t>50JDK</t>
  </si>
  <si>
    <t>Mercado Las Ferias</t>
  </si>
  <si>
    <t>Merced 71</t>
  </si>
  <si>
    <t>50FWG</t>
  </si>
  <si>
    <t xml:space="preserve">Meridiano 13 Del Este </t>
  </si>
  <si>
    <t>505QC</t>
  </si>
  <si>
    <t>Metropolis</t>
  </si>
  <si>
    <t>50FIO</t>
  </si>
  <si>
    <t>Midtown</t>
  </si>
  <si>
    <t>5047E</t>
  </si>
  <si>
    <t>Milan 23</t>
  </si>
  <si>
    <t>500TU</t>
  </si>
  <si>
    <t>Milla De Oro</t>
  </si>
  <si>
    <t>50FXR</t>
  </si>
  <si>
    <t>Mirador De Pontevedra</t>
  </si>
  <si>
    <t>50DEU</t>
  </si>
  <si>
    <t>50SVV</t>
  </si>
  <si>
    <t xml:space="preserve">Modelo Norte </t>
  </si>
  <si>
    <t>50NBF</t>
  </si>
  <si>
    <t>50DP1</t>
  </si>
  <si>
    <t>50EPA</t>
  </si>
  <si>
    <t>Montebonito</t>
  </si>
  <si>
    <t>50DB7</t>
  </si>
  <si>
    <t>50HC4</t>
  </si>
  <si>
    <t>Morato</t>
  </si>
  <si>
    <t>500EZ</t>
  </si>
  <si>
    <t>Multicentro</t>
  </si>
  <si>
    <t>5074V</t>
  </si>
  <si>
    <t>50B6V</t>
  </si>
  <si>
    <t>Museo Del Oro</t>
  </si>
  <si>
    <t>50RI7</t>
  </si>
  <si>
    <t>500XK</t>
  </si>
  <si>
    <t>Navarra 114</t>
  </si>
  <si>
    <t>50X03</t>
  </si>
  <si>
    <t>Naxos</t>
  </si>
  <si>
    <t>50Y7N</t>
  </si>
  <si>
    <t>50VU6</t>
  </si>
  <si>
    <t>50FS4</t>
  </si>
  <si>
    <t>Nogal Plaza</t>
  </si>
  <si>
    <t>50U0V</t>
  </si>
  <si>
    <t>Nogales 76</t>
  </si>
  <si>
    <t>50XKM</t>
  </si>
  <si>
    <t>50HFQ</t>
  </si>
  <si>
    <t>Norte 34 Mall Cali</t>
  </si>
  <si>
    <t>501UG</t>
  </si>
  <si>
    <t>North Point</t>
  </si>
  <si>
    <t>50YZF</t>
  </si>
  <si>
    <t>Novena Plus</t>
  </si>
  <si>
    <t>50PF4</t>
  </si>
  <si>
    <t>Nueva Calle</t>
  </si>
  <si>
    <t>50Y0D</t>
  </si>
  <si>
    <t>Nuevo Kennedy</t>
  </si>
  <si>
    <t>509ZF</t>
  </si>
  <si>
    <t>Nutibara Circular 4</t>
  </si>
  <si>
    <t>50Z3Z</t>
  </si>
  <si>
    <t xml:space="preserve">Opalo </t>
  </si>
  <si>
    <t>509GK</t>
  </si>
  <si>
    <t>Optimus</t>
  </si>
  <si>
    <t>5031V</t>
  </si>
  <si>
    <t>Oriental 54</t>
  </si>
  <si>
    <t>50UYL</t>
  </si>
  <si>
    <t>508R7</t>
  </si>
  <si>
    <t>Palermo Piedecuesta</t>
  </si>
  <si>
    <t>50IBH</t>
  </si>
  <si>
    <t>50FWT</t>
  </si>
  <si>
    <t>50KT7</t>
  </si>
  <si>
    <t>Paralela Caldas</t>
  </si>
  <si>
    <t>50JIF</t>
  </si>
  <si>
    <t>5002I</t>
  </si>
  <si>
    <t>Paris Gaitán</t>
  </si>
  <si>
    <t>50YL3</t>
  </si>
  <si>
    <t>508Y2</t>
  </si>
  <si>
    <t>50VNN</t>
  </si>
  <si>
    <t xml:space="preserve">Parque Central </t>
  </si>
  <si>
    <t>5016I</t>
  </si>
  <si>
    <t>Parque De Los Niños</t>
  </si>
  <si>
    <t>50NI2</t>
  </si>
  <si>
    <t>Parque Del Perro 34</t>
  </si>
  <si>
    <t>505J9</t>
  </si>
  <si>
    <t xml:space="preserve">Parque Del Rio </t>
  </si>
  <si>
    <t>5057U</t>
  </si>
  <si>
    <t>Parque Floridablanca</t>
  </si>
  <si>
    <t>502FE</t>
  </si>
  <si>
    <t xml:space="preserve">Parque Las Aguas </t>
  </si>
  <si>
    <t>50QBU</t>
  </si>
  <si>
    <t>Parque Modelia</t>
  </si>
  <si>
    <t>504I1</t>
  </si>
  <si>
    <t>Parque Natura</t>
  </si>
  <si>
    <t>50TAE</t>
  </si>
  <si>
    <t>50VIZ</t>
  </si>
  <si>
    <t>50FSB</t>
  </si>
  <si>
    <t>Pasarela III</t>
  </si>
  <si>
    <t>50EDM</t>
  </si>
  <si>
    <t>Pascual</t>
  </si>
  <si>
    <t>50HPC</t>
  </si>
  <si>
    <t>50M2Q</t>
  </si>
  <si>
    <t xml:space="preserve">Paseo Sevilla </t>
  </si>
  <si>
    <t>50I6A</t>
  </si>
  <si>
    <t>Paseo Villa del Rio</t>
  </si>
  <si>
    <t>506VJ</t>
  </si>
  <si>
    <t>Paulo VI</t>
  </si>
  <si>
    <t>Peñalisa</t>
  </si>
  <si>
    <t>50I9C</t>
  </si>
  <si>
    <t>Pereira Plaza</t>
  </si>
  <si>
    <t>50YNG</t>
  </si>
  <si>
    <t>Piedra Pintada 42</t>
  </si>
  <si>
    <t>50GTZ</t>
  </si>
  <si>
    <t>Pies Descalzos</t>
  </si>
  <si>
    <t>50YTV</t>
  </si>
  <si>
    <t>50D3K</t>
  </si>
  <si>
    <t>Pista Aeropuerto</t>
  </si>
  <si>
    <t>50JYI</t>
  </si>
  <si>
    <t>Plaza de La Paz</t>
  </si>
  <si>
    <t>50DZ2</t>
  </si>
  <si>
    <t>50NAT</t>
  </si>
  <si>
    <t>Plaza Mayor Bquilla</t>
  </si>
  <si>
    <t>50A39</t>
  </si>
  <si>
    <t>50EBZ</t>
  </si>
  <si>
    <t>Plaza Suba</t>
  </si>
  <si>
    <t>5080J</t>
  </si>
  <si>
    <t>Plaza U</t>
  </si>
  <si>
    <t>5015P</t>
  </si>
  <si>
    <t>Plazuela Del Virrey</t>
  </si>
  <si>
    <t>50L3S</t>
  </si>
  <si>
    <t>Poblado Mall</t>
  </si>
  <si>
    <t>50R6Q</t>
  </si>
  <si>
    <t>Podium</t>
  </si>
  <si>
    <t>50TXT</t>
  </si>
  <si>
    <t>505LP</t>
  </si>
  <si>
    <t xml:space="preserve">Portal </t>
  </si>
  <si>
    <t>Portal Alamos</t>
  </si>
  <si>
    <t>507VJ</t>
  </si>
  <si>
    <t>Portal Javeriana</t>
  </si>
  <si>
    <t>50FUR</t>
  </si>
  <si>
    <t>Portal Quindio</t>
  </si>
  <si>
    <t>50TM6</t>
  </si>
  <si>
    <t>Porvenir 72</t>
  </si>
  <si>
    <t>50EDJ</t>
  </si>
  <si>
    <t>Potosi</t>
  </si>
  <si>
    <t>50TNR</t>
  </si>
  <si>
    <t>Pozo De Donato</t>
  </si>
  <si>
    <t>50WHN</t>
  </si>
  <si>
    <t>Prado 129</t>
  </si>
  <si>
    <t>502D5</t>
  </si>
  <si>
    <t xml:space="preserve">Prado Alto </t>
  </si>
  <si>
    <t>50OCF</t>
  </si>
  <si>
    <t>Pradomar</t>
  </si>
  <si>
    <t>50YNR</t>
  </si>
  <si>
    <t>Primavera</t>
  </si>
  <si>
    <t>50V6P</t>
  </si>
  <si>
    <t xml:space="preserve">Primera 27 </t>
  </si>
  <si>
    <t>50WBA</t>
  </si>
  <si>
    <t>Procuraduria</t>
  </si>
  <si>
    <t>Provivienda Oriental</t>
  </si>
  <si>
    <t>50JG7</t>
  </si>
  <si>
    <t>Puente 116</t>
  </si>
  <si>
    <t>50K54</t>
  </si>
  <si>
    <t>Puerto Madero</t>
  </si>
  <si>
    <t>5090P</t>
  </si>
  <si>
    <t>Qds Mall</t>
  </si>
  <si>
    <t>507QO</t>
  </si>
  <si>
    <t>Quebradaseca 32</t>
  </si>
  <si>
    <t>509LN</t>
  </si>
  <si>
    <t>50J91</t>
  </si>
  <si>
    <t>507II</t>
  </si>
  <si>
    <t>Quintas De Madrid</t>
  </si>
  <si>
    <t>50G5S</t>
  </si>
  <si>
    <t>Quirigua</t>
  </si>
  <si>
    <t>50NEN</t>
  </si>
  <si>
    <t>Quiroga</t>
  </si>
  <si>
    <t>500D4</t>
  </si>
  <si>
    <t xml:space="preserve">Race 33 </t>
  </si>
  <si>
    <t>50LY9</t>
  </si>
  <si>
    <t>Real De Minas</t>
  </si>
  <si>
    <t>509GN</t>
  </si>
  <si>
    <t>Reserva De Colina</t>
  </si>
  <si>
    <t>50LLL</t>
  </si>
  <si>
    <t xml:space="preserve">Reserva Del Cedro </t>
  </si>
  <si>
    <t>503P8</t>
  </si>
  <si>
    <t>Restrepo Carrera 18</t>
  </si>
  <si>
    <t>508Y5</t>
  </si>
  <si>
    <t xml:space="preserve">Restrepo Occidental </t>
  </si>
  <si>
    <t>5015G</t>
  </si>
  <si>
    <t>Ricaurte Plaza</t>
  </si>
  <si>
    <t>50NKC</t>
  </si>
  <si>
    <t xml:space="preserve">Rincon De Los Andes </t>
  </si>
  <si>
    <t>Rio Alto</t>
  </si>
  <si>
    <t>506MG</t>
  </si>
  <si>
    <t>Rionegro</t>
  </si>
  <si>
    <t>50HLD</t>
  </si>
  <si>
    <t>50UD5</t>
  </si>
  <si>
    <t>Rose Poblado</t>
  </si>
  <si>
    <t>50F9Y</t>
  </si>
  <si>
    <t>50W6C</t>
  </si>
  <si>
    <t>S48 Tower</t>
  </si>
  <si>
    <t>50B8U</t>
  </si>
  <si>
    <t>Sabaneta Carmelo</t>
  </si>
  <si>
    <t>50B01</t>
  </si>
  <si>
    <t>Salazar Gomez</t>
  </si>
  <si>
    <t>50TBI</t>
  </si>
  <si>
    <t>Salitre</t>
  </si>
  <si>
    <t>50Q5V</t>
  </si>
  <si>
    <t>503IG</t>
  </si>
  <si>
    <t>San Alonso</t>
  </si>
  <si>
    <t>50M9T</t>
  </si>
  <si>
    <t>San Andresito 38</t>
  </si>
  <si>
    <t>503KR</t>
  </si>
  <si>
    <t xml:space="preserve">San Basilio </t>
  </si>
  <si>
    <t>508E5</t>
  </si>
  <si>
    <t>San Bernabe</t>
  </si>
  <si>
    <t>50VBZ</t>
  </si>
  <si>
    <t>502SM</t>
  </si>
  <si>
    <t xml:space="preserve">San Francis </t>
  </si>
  <si>
    <t>50GU7</t>
  </si>
  <si>
    <t>50XIH</t>
  </si>
  <si>
    <t>San Jorge</t>
  </si>
  <si>
    <t>50KAS</t>
  </si>
  <si>
    <t>50MAX</t>
  </si>
  <si>
    <t>San Luis</t>
  </si>
  <si>
    <t>50OK9</t>
  </si>
  <si>
    <t>San Mateo</t>
  </si>
  <si>
    <t>50CHQ</t>
  </si>
  <si>
    <t>50AN6</t>
  </si>
  <si>
    <t>50KCK</t>
  </si>
  <si>
    <t>San Pedro</t>
  </si>
  <si>
    <t>50OTW</t>
  </si>
  <si>
    <t>San Sebastian</t>
  </si>
  <si>
    <t>50WX4</t>
  </si>
  <si>
    <t>San Vicente</t>
  </si>
  <si>
    <t>50N5B</t>
  </si>
  <si>
    <t>San Victorino</t>
  </si>
  <si>
    <t>50T71</t>
  </si>
  <si>
    <t>50G5R</t>
  </si>
  <si>
    <t>50QYB</t>
  </si>
  <si>
    <t>Santa Bibiana 106</t>
  </si>
  <si>
    <t>50M28</t>
  </si>
  <si>
    <t>Santa Helenita</t>
  </si>
  <si>
    <t>50YNW</t>
  </si>
  <si>
    <t>Santa Margarita</t>
  </si>
  <si>
    <t>50UEL</t>
  </si>
  <si>
    <t xml:space="preserve">Santa Maria 73 </t>
  </si>
  <si>
    <t>50WL9</t>
  </si>
  <si>
    <t>Santa Mariana</t>
  </si>
  <si>
    <t>50W5T</t>
  </si>
  <si>
    <t>Santa Matilde</t>
  </si>
  <si>
    <t>50D9D</t>
  </si>
  <si>
    <t>502P7</t>
  </si>
  <si>
    <t xml:space="preserve">Santiago Perez </t>
  </si>
  <si>
    <t>50YU7</t>
  </si>
  <si>
    <t>Santo Tomás</t>
  </si>
  <si>
    <t>507X2</t>
  </si>
  <si>
    <t>Sauzalito</t>
  </si>
  <si>
    <t>509WH</t>
  </si>
  <si>
    <t xml:space="preserve">Septima 49 </t>
  </si>
  <si>
    <t>50Q0D</t>
  </si>
  <si>
    <t>Septima Nieves</t>
  </si>
  <si>
    <t>500WO</t>
  </si>
  <si>
    <t>Serena</t>
  </si>
  <si>
    <t>50JRV</t>
  </si>
  <si>
    <t>Sevilla</t>
  </si>
  <si>
    <t>50WIV</t>
  </si>
  <si>
    <t>50CVG</t>
  </si>
  <si>
    <t>Simca</t>
  </si>
  <si>
    <t>50XXZ</t>
  </si>
  <si>
    <t xml:space="preserve">Soacha Bochica </t>
  </si>
  <si>
    <t>507TK</t>
  </si>
  <si>
    <t>Soledad Park</t>
  </si>
  <si>
    <t>50I1H</t>
  </si>
  <si>
    <t>50SLM</t>
  </si>
  <si>
    <t xml:space="preserve">Soto 42 </t>
  </si>
  <si>
    <t>50R37</t>
  </si>
  <si>
    <t>Sotomayor</t>
  </si>
  <si>
    <t>50KPJ</t>
  </si>
  <si>
    <t>Square</t>
  </si>
  <si>
    <t>50N5I</t>
  </si>
  <si>
    <t>Suba 103</t>
  </si>
  <si>
    <t>505OC</t>
  </si>
  <si>
    <t>Suba 151</t>
  </si>
  <si>
    <t>50THG</t>
  </si>
  <si>
    <t>Suba Navetas</t>
  </si>
  <si>
    <t>50F2E</t>
  </si>
  <si>
    <t>Subazar 92</t>
  </si>
  <si>
    <t>50QI2</t>
  </si>
  <si>
    <t xml:space="preserve">Sunday </t>
  </si>
  <si>
    <t>50N82</t>
  </si>
  <si>
    <t>Surisalcedo</t>
  </si>
  <si>
    <t>50IMP</t>
  </si>
  <si>
    <t>50WBU</t>
  </si>
  <si>
    <t>Tatika</t>
  </si>
  <si>
    <t>505QD</t>
  </si>
  <si>
    <t>50ZFV</t>
  </si>
  <si>
    <t>Tequendama 42</t>
  </si>
  <si>
    <t>50YVY</t>
  </si>
  <si>
    <t>504XY</t>
  </si>
  <si>
    <t>Terminal Terrestre</t>
  </si>
  <si>
    <t>Terranova</t>
  </si>
  <si>
    <t>5026R</t>
  </si>
  <si>
    <t>Terraze 183</t>
  </si>
  <si>
    <t>503RV</t>
  </si>
  <si>
    <t>Teusaquillo 2725</t>
  </si>
  <si>
    <t>50LD6</t>
  </si>
  <si>
    <t xml:space="preserve">Tibana Oporto </t>
  </si>
  <si>
    <t>50UNK</t>
  </si>
  <si>
    <t>Toberin Centro</t>
  </si>
  <si>
    <t>50H6K</t>
  </si>
  <si>
    <t>Torre 108</t>
  </si>
  <si>
    <t>503E4</t>
  </si>
  <si>
    <t>Torre Americas</t>
  </si>
  <si>
    <t>50ARM</t>
  </si>
  <si>
    <t>Torre Atlantica</t>
  </si>
  <si>
    <t>50WF1</t>
  </si>
  <si>
    <t>508I6</t>
  </si>
  <si>
    <t xml:space="preserve">Torre Sapiencia </t>
  </si>
  <si>
    <t>50J59</t>
  </si>
  <si>
    <t>Torre Viva 26</t>
  </si>
  <si>
    <t>50XKZ</t>
  </si>
  <si>
    <t>Torres De Sion</t>
  </si>
  <si>
    <t>503L9</t>
  </si>
  <si>
    <t>Torres De Timiza</t>
  </si>
  <si>
    <t>503EZ</t>
  </si>
  <si>
    <t>Torres Del Bosque</t>
  </si>
  <si>
    <t>502T9</t>
  </si>
  <si>
    <t xml:space="preserve">Toscana </t>
  </si>
  <si>
    <t>50F2M</t>
  </si>
  <si>
    <t>50O1R</t>
  </si>
  <si>
    <t>5077A</t>
  </si>
  <si>
    <t>Tres Esquinas</t>
  </si>
  <si>
    <t>50IEL</t>
  </si>
  <si>
    <t>Trinidad Galan</t>
  </si>
  <si>
    <t>50I5X</t>
  </si>
  <si>
    <t>Tripoli</t>
  </si>
  <si>
    <t>501H8</t>
  </si>
  <si>
    <t>Trivenza</t>
  </si>
  <si>
    <t>50U43</t>
  </si>
  <si>
    <t>Uan Sur</t>
  </si>
  <si>
    <t>50CBM</t>
  </si>
  <si>
    <t>Uni 32</t>
  </si>
  <si>
    <t>50XQU</t>
  </si>
  <si>
    <t>50HES</t>
  </si>
  <si>
    <t xml:space="preserve">Uniminuto </t>
  </si>
  <si>
    <t>50P0S</t>
  </si>
  <si>
    <t>Unique</t>
  </si>
  <si>
    <t>50I1U</t>
  </si>
  <si>
    <t>Universitario</t>
  </si>
  <si>
    <t>502TX</t>
  </si>
  <si>
    <t>Urban 165</t>
  </si>
  <si>
    <t>50LS3</t>
  </si>
  <si>
    <t>50FXX</t>
  </si>
  <si>
    <t>50JO9</t>
  </si>
  <si>
    <t xml:space="preserve">Valencia 27 </t>
  </si>
  <si>
    <t>50SA1</t>
  </si>
  <si>
    <t xml:space="preserve">Valenciana </t>
  </si>
  <si>
    <t>50YRG</t>
  </si>
  <si>
    <t>Valparaiso 127</t>
  </si>
  <si>
    <t>5023G</t>
  </si>
  <si>
    <t xml:space="preserve">Varsovia </t>
  </si>
  <si>
    <t>502IH</t>
  </si>
  <si>
    <t xml:space="preserve">Venecia Kra 54 </t>
  </si>
  <si>
    <t>5080V</t>
  </si>
  <si>
    <t>Veranera</t>
  </si>
  <si>
    <t>508YN</t>
  </si>
  <si>
    <t>Versalles</t>
  </si>
  <si>
    <t>50WTM</t>
  </si>
  <si>
    <t>Via 40-77</t>
  </si>
  <si>
    <t>50O3W</t>
  </si>
  <si>
    <t xml:space="preserve">Via Ferrocarril </t>
  </si>
  <si>
    <t>50DZF</t>
  </si>
  <si>
    <t>Viejo Prado</t>
  </si>
  <si>
    <t>50KIU</t>
  </si>
  <si>
    <t xml:space="preserve">Villa Country </t>
  </si>
  <si>
    <t>50EIF</t>
  </si>
  <si>
    <t xml:space="preserve">Villa Del Rio </t>
  </si>
  <si>
    <t>50O0D</t>
  </si>
  <si>
    <t xml:space="preserve">Villa Diana </t>
  </si>
  <si>
    <t>50HHB</t>
  </si>
  <si>
    <t>Villa Luz 77</t>
  </si>
  <si>
    <t>50Z9G</t>
  </si>
  <si>
    <t xml:space="preserve">Villa Olimpica </t>
  </si>
  <si>
    <t>50VWN</t>
  </si>
  <si>
    <t>50MV2</t>
  </si>
  <si>
    <t>Villa Verde</t>
  </si>
  <si>
    <t>5064C</t>
  </si>
  <si>
    <t>Villamaria</t>
  </si>
  <si>
    <t>50CED</t>
  </si>
  <si>
    <t>50H9C</t>
  </si>
  <si>
    <t>Virrey 90</t>
  </si>
  <si>
    <t>50KID</t>
  </si>
  <si>
    <t>Viscaya</t>
  </si>
  <si>
    <t>50K9M</t>
  </si>
  <si>
    <t>Viterra</t>
  </si>
  <si>
    <t>50QF5</t>
  </si>
  <si>
    <t>York</t>
  </si>
  <si>
    <t>50MTQ</t>
  </si>
  <si>
    <t>Zaban</t>
  </si>
  <si>
    <t>50MWR</t>
  </si>
  <si>
    <t>Zipaquira Estacion D</t>
  </si>
  <si>
    <t>50PY6</t>
  </si>
  <si>
    <t>509RX</t>
  </si>
  <si>
    <t>50D1F</t>
  </si>
  <si>
    <t>Zona In</t>
  </si>
  <si>
    <t>50ZAC</t>
  </si>
  <si>
    <t>Zoológico</t>
  </si>
  <si>
    <t>50KLL</t>
  </si>
  <si>
    <t>Valher Caf</t>
  </si>
  <si>
    <t>50PMY</t>
  </si>
  <si>
    <t>Var Av 68 Bog</t>
  </si>
  <si>
    <t>Varsovia (Ibaque)</t>
  </si>
  <si>
    <t>Venecia Kra 54 Bog</t>
  </si>
  <si>
    <t>Veranera (Arm)</t>
  </si>
  <si>
    <t>Versalles Bog</t>
  </si>
  <si>
    <t>Via Ferrocarril Bga</t>
  </si>
  <si>
    <t>Viejo Prado (Baq)</t>
  </si>
  <si>
    <t>Villa Country (Baq)</t>
  </si>
  <si>
    <t>Villa Del Rio Bog</t>
  </si>
  <si>
    <t>Villa Diana Bog</t>
  </si>
  <si>
    <t>Villa Luz 77 Bog</t>
  </si>
  <si>
    <t>Villa Olimpica Caf</t>
  </si>
  <si>
    <t>Villa Prado Bog</t>
  </si>
  <si>
    <t>50M1S</t>
  </si>
  <si>
    <t>Villa Rincon Bog</t>
  </si>
  <si>
    <t>Villamaria Bog</t>
  </si>
  <si>
    <t>Villas 95 15 (Bog)</t>
  </si>
  <si>
    <t>Virrey 90 (Bog)</t>
  </si>
  <si>
    <t>Viscaya Bog</t>
  </si>
  <si>
    <t>Viterra Bga</t>
  </si>
  <si>
    <t>York (Mde)</t>
  </si>
  <si>
    <t>Zaban (Sbnt)</t>
  </si>
  <si>
    <t>Zona Francia</t>
  </si>
  <si>
    <t>Zona In Bog</t>
  </si>
  <si>
    <t>Zoologico (Baq)</t>
  </si>
  <si>
    <t>50HT3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</si>
</sst>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0"/>
    <numFmt numFmtId="165" formatCode="#,##0.0000"/>
    <numFmt numFmtId="166" formatCode="0.000"/>
    <numFmt numFmtId="167" formatCode="#,##0.00000"/>
    <numFmt numFmtId="168" formatCode="_-* #,##0_-;\-* #,##0_-;_-* &quot;-&quot;??_-;_-@_-"/>
  </numFmts>
  <fonts count="11">
    <font>
      <sz val="11"/>
      <color theme="1"/>
      <name val="Aptos Narrow"/>
      <family val="2"/>
      <scheme val="minor"/>
    </font>
    <font>
      <sz val="11"/>
      <color theme="0"/>
      <name val="Aptos Narrow"/>
      <family val="2"/>
      <scheme val="minor"/>
    </font>
    <font>
      <sz val="8"/>
      <name val="Aptos Narrow"/>
      <family val="2"/>
      <scheme val="minor"/>
    </font>
    <font>
      <u/>
      <sz val="11"/>
      <color theme="10"/>
      <name val="Aptos Narrow"/>
      <family val="2"/>
      <scheme val="minor"/>
    </font>
    <font>
      <sz val="11"/>
      <color rgb="FF242424"/>
      <name val="Aptos Narrow"/>
      <family val="2"/>
    </font>
    <font>
      <sz val="11"/>
      <color rgb="FF000000"/>
      <name val="Aptos Narrow"/>
      <family val="2"/>
      <scheme val="minor"/>
    </font>
    <font>
      <sz val="11"/>
      <color rgb="FF000000"/>
      <name val="Aptos Narrow"/>
      <family val="2"/>
    </font>
    <font>
      <b/>
      <sz val="11"/>
      <color theme="0"/>
      <name val="Aptos Narrow"/>
      <family val="2"/>
      <scheme val="minor"/>
    </font>
    <font>
      <sz val="11"/>
      <name val="Aptos Narrow"/>
      <family val="2"/>
      <scheme val="minor"/>
    </font>
    <font>
      <sz val="11"/>
      <color theme="1"/>
      <name val="Aptos Narrow"/>
      <family val="2"/>
      <scheme val="minor"/>
    </font>
    <font>
      <sz val="11"/>
      <color rgb="FF242424"/>
      <name val="Aptos Narrow"/>
      <charset val="1"/>
    </font>
  </fonts>
  <fills count="9">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002060"/>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0" fontId="3" fillId="0" borderId="0" applyNumberFormat="0" applyFill="0" applyBorder="0" applyAlignment="0" applyProtection="0"/>
    <xf numFmtId="43" fontId="9" fillId="0" borderId="0" applyFont="0" applyFill="0" applyBorder="0" applyAlignment="0" applyProtection="0"/>
  </cellStyleXfs>
  <cellXfs count="84">
    <xf numFmtId="0" fontId="0" fillId="0" borderId="0" xfId="0"/>
    <xf numFmtId="0" fontId="1" fillId="2" borderId="0" xfId="0" applyFont="1" applyFill="1" applyAlignment="1">
      <alignment horizontal="center" vertical="center" wrapText="1"/>
    </xf>
    <xf numFmtId="0" fontId="0" fillId="0" borderId="0" xfId="0" applyAlignment="1">
      <alignment horizontal="center"/>
    </xf>
    <xf numFmtId="14" fontId="1" fillId="2" borderId="0" xfId="0" applyNumberFormat="1" applyFont="1" applyFill="1" applyAlignment="1">
      <alignment horizontal="center" vertical="center" wrapText="1"/>
    </xf>
    <xf numFmtId="14" fontId="0" fillId="0" borderId="0" xfId="0" applyNumberFormat="1" applyAlignment="1">
      <alignment horizontal="center"/>
    </xf>
    <xf numFmtId="14" fontId="0" fillId="0" borderId="0" xfId="0" applyNumberFormat="1"/>
    <xf numFmtId="164" fontId="1" fillId="2" borderId="0" xfId="0" applyNumberFormat="1" applyFont="1" applyFill="1" applyAlignment="1">
      <alignment horizontal="center" vertical="center" wrapText="1"/>
    </xf>
    <xf numFmtId="164" fontId="0" fillId="0" borderId="0" xfId="0" applyNumberFormat="1" applyAlignment="1">
      <alignment horizontal="center"/>
    </xf>
    <xf numFmtId="0" fontId="3" fillId="0" borderId="0" xfId="1"/>
    <xf numFmtId="164" fontId="4" fillId="0" borderId="0" xfId="0" applyNumberFormat="1" applyFont="1" applyAlignment="1">
      <alignment horizontal="center"/>
    </xf>
    <xf numFmtId="164" fontId="0" fillId="0" borderId="0" xfId="0" applyNumberFormat="1" applyAlignment="1">
      <alignment horizontal="center" vertical="center"/>
    </xf>
    <xf numFmtId="0" fontId="0" fillId="3" borderId="0" xfId="0" applyFill="1" applyAlignment="1">
      <alignment horizontal="center"/>
    </xf>
    <xf numFmtId="14" fontId="0" fillId="3" borderId="0" xfId="0" applyNumberFormat="1" applyFill="1"/>
    <xf numFmtId="164" fontId="0" fillId="3" borderId="0" xfId="0" applyNumberFormat="1" applyFill="1" applyAlignment="1">
      <alignment horizontal="center" vertical="center"/>
    </xf>
    <xf numFmtId="164" fontId="0" fillId="3" borderId="0" xfId="0" applyNumberFormat="1" applyFill="1" applyAlignment="1">
      <alignment horizontal="center"/>
    </xf>
    <xf numFmtId="0" fontId="3" fillId="3" borderId="0" xfId="1" applyFill="1"/>
    <xf numFmtId="0" fontId="0" fillId="3" borderId="0" xfId="0" applyFill="1"/>
    <xf numFmtId="0" fontId="0" fillId="0" borderId="0" xfId="0" applyAlignment="1">
      <alignment horizontal="center" vertical="center"/>
    </xf>
    <xf numFmtId="165" fontId="0" fillId="0" borderId="0" xfId="0" applyNumberFormat="1" applyAlignment="1">
      <alignment horizontal="center"/>
    </xf>
    <xf numFmtId="0" fontId="0" fillId="4" borderId="0" xfId="0" applyFill="1" applyAlignment="1">
      <alignment horizontal="center"/>
    </xf>
    <xf numFmtId="14" fontId="0" fillId="4" borderId="0" xfId="0" applyNumberFormat="1" applyFill="1"/>
    <xf numFmtId="164" fontId="0" fillId="4" borderId="0" xfId="0" applyNumberFormat="1" applyFill="1" applyAlignment="1">
      <alignment horizontal="center" vertical="center"/>
    </xf>
    <xf numFmtId="164" fontId="0" fillId="4" borderId="0" xfId="0" applyNumberFormat="1" applyFill="1" applyAlignment="1">
      <alignment horizontal="center"/>
    </xf>
    <xf numFmtId="1" fontId="1" fillId="2" borderId="0" xfId="0" applyNumberFormat="1" applyFont="1" applyFill="1" applyAlignment="1">
      <alignment horizontal="center" vertical="center" wrapText="1"/>
    </xf>
    <xf numFmtId="1" fontId="0" fillId="0" borderId="0" xfId="0" applyNumberFormat="1" applyAlignment="1">
      <alignment horizontal="center"/>
    </xf>
    <xf numFmtId="164" fontId="6" fillId="0" borderId="0" xfId="0" applyNumberFormat="1" applyFont="1" applyAlignment="1">
      <alignment horizontal="center"/>
    </xf>
    <xf numFmtId="166" fontId="0" fillId="0" borderId="0" xfId="0" applyNumberFormat="1" applyAlignment="1">
      <alignment horizontal="center" vertical="center"/>
    </xf>
    <xf numFmtId="167" fontId="6" fillId="0" borderId="0" xfId="0" applyNumberFormat="1" applyFont="1" applyAlignment="1">
      <alignment horizontal="center" vertical="center"/>
    </xf>
    <xf numFmtId="167" fontId="6" fillId="0" borderId="0" xfId="0" applyNumberFormat="1" applyFont="1" applyAlignment="1">
      <alignment horizontal="center"/>
    </xf>
    <xf numFmtId="165" fontId="6" fillId="0" borderId="0" xfId="0" applyNumberFormat="1" applyFont="1" applyAlignment="1">
      <alignment horizontal="center"/>
    </xf>
    <xf numFmtId="1" fontId="0" fillId="0" borderId="0" xfId="0" applyNumberFormat="1"/>
    <xf numFmtId="0" fontId="0" fillId="0" borderId="1" xfId="0" applyBorder="1"/>
    <xf numFmtId="49" fontId="7" fillId="5" borderId="2" xfId="0" applyNumberFormat="1" applyFont="1" applyFill="1" applyBorder="1" applyAlignment="1">
      <alignment horizontal="center"/>
    </xf>
    <xf numFmtId="49" fontId="8" fillId="0" borderId="2" xfId="0" applyNumberFormat="1" applyFont="1" applyBorder="1" applyAlignment="1">
      <alignment horizontal="center"/>
    </xf>
    <xf numFmtId="0" fontId="0" fillId="0" borderId="1" xfId="0" applyBorder="1" applyAlignment="1">
      <alignment horizontal="center"/>
    </xf>
    <xf numFmtId="49" fontId="0" fillId="0" borderId="1" xfId="0" applyNumberFormat="1" applyBorder="1" applyAlignment="1">
      <alignment horizontal="center"/>
    </xf>
    <xf numFmtId="0" fontId="5" fillId="0" borderId="1" xfId="0" applyFont="1" applyBorder="1" applyAlignment="1">
      <alignment horizontal="center"/>
    </xf>
    <xf numFmtId="14" fontId="0" fillId="0" borderId="1" xfId="0" applyNumberFormat="1" applyBorder="1"/>
    <xf numFmtId="1" fontId="0" fillId="0" borderId="1" xfId="0" applyNumberFormat="1" applyBorder="1"/>
    <xf numFmtId="164" fontId="0" fillId="0" borderId="1" xfId="0" applyNumberFormat="1" applyBorder="1" applyAlignment="1">
      <alignment horizontal="center"/>
    </xf>
    <xf numFmtId="165" fontId="6" fillId="0" borderId="1" xfId="0" applyNumberFormat="1" applyFont="1" applyBorder="1" applyAlignment="1">
      <alignment horizontal="center"/>
    </xf>
    <xf numFmtId="0" fontId="7" fillId="5" borderId="1" xfId="0" applyFont="1" applyFill="1" applyBorder="1" applyAlignment="1">
      <alignment horizontal="center"/>
    </xf>
    <xf numFmtId="0" fontId="3" fillId="4" borderId="0" xfId="2" applyFill="1"/>
    <xf numFmtId="1" fontId="0" fillId="3" borderId="0" xfId="0" applyNumberFormat="1" applyFill="1"/>
    <xf numFmtId="0" fontId="3" fillId="0" borderId="0" xfId="2"/>
    <xf numFmtId="167" fontId="4" fillId="0" borderId="0" xfId="0" applyNumberFormat="1" applyFont="1" applyAlignment="1">
      <alignment horizontal="center"/>
    </xf>
    <xf numFmtId="165" fontId="4" fillId="0" borderId="0" xfId="0" applyNumberFormat="1" applyFont="1" applyAlignment="1">
      <alignment horizontal="center"/>
    </xf>
    <xf numFmtId="167" fontId="4" fillId="0" borderId="1" xfId="0" applyNumberFormat="1" applyFont="1" applyBorder="1" applyAlignment="1">
      <alignment horizontal="center"/>
    </xf>
    <xf numFmtId="165" fontId="4" fillId="0" borderId="1" xfId="0" applyNumberFormat="1" applyFont="1" applyBorder="1" applyAlignment="1">
      <alignment horizontal="center"/>
    </xf>
    <xf numFmtId="164" fontId="1" fillId="2" borderId="0" xfId="0" applyNumberFormat="1" applyFont="1"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0" fillId="4" borderId="0" xfId="0" applyFill="1" applyAlignment="1">
      <alignment horizontal="center" vertical="center"/>
    </xf>
    <xf numFmtId="14" fontId="0" fillId="0" borderId="0" xfId="0" applyNumberFormat="1" applyAlignment="1">
      <alignment horizontal="center" vertical="center"/>
    </xf>
    <xf numFmtId="14" fontId="0" fillId="6" borderId="0" xfId="0" applyNumberFormat="1" applyFill="1" applyAlignment="1">
      <alignment horizontal="center" vertical="center"/>
    </xf>
    <xf numFmtId="0" fontId="0" fillId="7" borderId="0" xfId="0" applyFill="1"/>
    <xf numFmtId="0" fontId="0" fillId="7" borderId="0" xfId="0" applyFill="1" applyAlignment="1">
      <alignment horizontal="left"/>
    </xf>
    <xf numFmtId="1" fontId="0" fillId="8" borderId="0" xfId="0" applyNumberFormat="1" applyFill="1" applyAlignment="1">
      <alignment horizontal="center"/>
    </xf>
    <xf numFmtId="14" fontId="0" fillId="8" borderId="0" xfId="0" applyNumberFormat="1" applyFill="1"/>
    <xf numFmtId="1" fontId="0" fillId="8" borderId="0" xfId="0" applyNumberFormat="1" applyFill="1"/>
    <xf numFmtId="14" fontId="0" fillId="8" borderId="0" xfId="0" applyNumberFormat="1" applyFill="1" applyAlignment="1">
      <alignment horizontal="center" vertical="center"/>
    </xf>
    <xf numFmtId="0" fontId="0" fillId="8" borderId="0" xfId="0" applyFill="1" applyAlignment="1">
      <alignment horizontal="center"/>
    </xf>
    <xf numFmtId="0" fontId="0" fillId="8" borderId="0" xfId="0" applyFill="1" applyAlignment="1">
      <alignment horizontal="center" vertical="center"/>
    </xf>
    <xf numFmtId="164" fontId="0" fillId="8" borderId="0" xfId="0" applyNumberFormat="1" applyFill="1" applyAlignment="1">
      <alignment horizontal="center"/>
    </xf>
    <xf numFmtId="0" fontId="0" fillId="8" borderId="0" xfId="0" applyFill="1" applyAlignment="1">
      <alignment horizontal="left"/>
    </xf>
    <xf numFmtId="0" fontId="0" fillId="8" borderId="0" xfId="0" applyFill="1"/>
    <xf numFmtId="1" fontId="8" fillId="0" borderId="0" xfId="0" applyNumberFormat="1" applyFont="1" applyAlignment="1">
      <alignment horizontal="center"/>
    </xf>
    <xf numFmtId="14" fontId="8" fillId="0" borderId="0" xfId="0" applyNumberFormat="1" applyFont="1"/>
    <xf numFmtId="1" fontId="8" fillId="0" borderId="0" xfId="0" applyNumberFormat="1" applyFont="1"/>
    <xf numFmtId="14" fontId="8" fillId="0" borderId="0" xfId="0" applyNumberFormat="1" applyFont="1" applyAlignment="1">
      <alignment horizontal="center" vertical="center"/>
    </xf>
    <xf numFmtId="0" fontId="8" fillId="0" borderId="0" xfId="0" applyFont="1" applyAlignment="1">
      <alignment horizontal="center"/>
    </xf>
    <xf numFmtId="164" fontId="8" fillId="0" borderId="0" xfId="0" applyNumberFormat="1" applyFont="1" applyAlignment="1">
      <alignment horizontal="center"/>
    </xf>
    <xf numFmtId="0" fontId="8" fillId="0" borderId="0" xfId="0" applyFont="1" applyAlignment="1">
      <alignment horizontal="left"/>
    </xf>
    <xf numFmtId="0" fontId="8" fillId="0" borderId="0" xfId="0" applyFont="1"/>
    <xf numFmtId="0" fontId="0" fillId="7" borderId="0" xfId="0" applyFill="1" applyAlignment="1">
      <alignment horizontal="center"/>
    </xf>
    <xf numFmtId="164" fontId="0" fillId="0" borderId="0" xfId="0" applyNumberFormat="1" applyAlignment="1">
      <alignment horizontal="center" vertical="top"/>
    </xf>
    <xf numFmtId="164" fontId="0" fillId="0" borderId="0" xfId="0" quotePrefix="1" applyNumberFormat="1" applyAlignment="1">
      <alignment horizontal="center"/>
    </xf>
    <xf numFmtId="167" fontId="0" fillId="0" borderId="0" xfId="0" applyNumberFormat="1" applyAlignment="1">
      <alignment horizontal="center"/>
    </xf>
    <xf numFmtId="0" fontId="5" fillId="0" borderId="0" xfId="0" applyFont="1" applyAlignment="1">
      <alignment horizontal="center"/>
    </xf>
    <xf numFmtId="14" fontId="0" fillId="0" borderId="0" xfId="0" quotePrefix="1" applyNumberFormat="1" applyAlignment="1">
      <alignment horizontal="right"/>
    </xf>
    <xf numFmtId="164" fontId="10" fillId="0" borderId="0" xfId="0" applyNumberFormat="1" applyFont="1" applyAlignment="1">
      <alignment horizontal="center"/>
    </xf>
    <xf numFmtId="168" fontId="0" fillId="0" borderId="0" xfId="3" quotePrefix="1" applyNumberFormat="1" applyFont="1" applyAlignment="1">
      <alignment horizontal="right"/>
    </xf>
    <xf numFmtId="1" fontId="0" fillId="0" borderId="0" xfId="3" applyNumberFormat="1" applyFont="1"/>
    <xf numFmtId="168" fontId="0" fillId="0" borderId="0" xfId="3" applyNumberFormat="1" applyFont="1" applyAlignment="1">
      <alignment horizontal="right"/>
    </xf>
  </cellXfs>
  <cellStyles count="4">
    <cellStyle name="Hipervínculo" xfId="2" builtinId="8"/>
    <cellStyle name="Hyperlink" xfId="1" xr:uid="{00000000-000B-0000-0000-000008000000}"/>
    <cellStyle name="Millares" xfId="3" builtinId="3"/>
    <cellStyle name="Normal" xfId="0" builtinId="0"/>
  </cellStyles>
  <dxfs count="181">
    <dxf>
      <border diagonalUp="0" diagonalDown="0">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bgColor theme="9" tint="0.79998168889431442"/>
        </patternFill>
      </fill>
    </dxf>
    <dxf>
      <fill>
        <patternFill>
          <bgColor rgb="FFFFFF00"/>
        </patternFill>
      </fill>
    </dxf>
    <dxf>
      <fill>
        <patternFill>
          <bgColor theme="8" tint="0.79998168889431442"/>
        </patternFill>
      </fill>
    </dxf>
    <dxf>
      <font>
        <color rgb="FF9C0006"/>
      </font>
    </dxf>
    <dxf>
      <font>
        <color rgb="FF9C0006"/>
      </font>
      <fill>
        <patternFill>
          <bgColor rgb="FFFFC7CE"/>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ont>
        <color rgb="FF9C0006"/>
      </font>
    </dxf>
    <dxf>
      <font>
        <color rgb="FFFFC000"/>
      </font>
    </dxf>
    <dxf>
      <font>
        <color theme="9"/>
      </font>
    </dxf>
    <dxf>
      <font>
        <color theme="9"/>
      </font>
    </dxf>
    <dxf>
      <font>
        <color rgb="FFFFC000"/>
      </font>
    </dxf>
    <dxf>
      <font>
        <color rgb="FF9C0006"/>
      </font>
    </dxf>
    <dxf>
      <fill>
        <patternFill>
          <bgColor rgb="FFFFFF00"/>
        </patternFill>
      </fill>
    </dxf>
    <dxf>
      <fill>
        <patternFill>
          <bgColor theme="8" tint="0.79998168889431442"/>
        </patternFill>
      </fill>
    </dxf>
    <dxf>
      <fill>
        <patternFill>
          <bgColor theme="9" tint="0.79998168889431442"/>
        </patternFill>
      </fill>
    </dxf>
    <dxf>
      <font>
        <color theme="9"/>
      </font>
    </dxf>
    <dxf>
      <font>
        <color rgb="FFFFC000"/>
      </font>
    </dxf>
    <dxf>
      <font>
        <color rgb="FF9C0006"/>
      </font>
    </dxf>
    <dxf>
      <font>
        <color rgb="FF9C0006"/>
      </font>
    </dxf>
    <dxf>
      <font>
        <color rgb="FFFFC000"/>
      </font>
    </dxf>
    <dxf>
      <font>
        <color theme="9"/>
      </font>
    </dxf>
    <dxf>
      <font>
        <color rgb="FFFFC000"/>
      </font>
    </dxf>
    <dxf>
      <font>
        <color theme="9"/>
      </font>
    </dxf>
    <dxf>
      <font>
        <color rgb="FF9C0006"/>
      </font>
    </dxf>
    <dxf>
      <font>
        <color rgb="FF9C0006"/>
      </font>
    </dxf>
    <dxf>
      <font>
        <color rgb="FFFFC000"/>
      </font>
    </dxf>
    <dxf>
      <font>
        <color theme="9"/>
      </font>
    </dxf>
    <dxf>
      <font>
        <color rgb="FFFFC000"/>
      </font>
    </dxf>
    <dxf>
      <font>
        <color theme="9"/>
      </font>
    </dxf>
    <dxf>
      <font>
        <color rgb="FF9C0006"/>
      </font>
    </dxf>
    <dxf>
      <font>
        <color rgb="FFFFC000"/>
      </font>
    </dxf>
    <dxf>
      <font>
        <color theme="9"/>
      </font>
    </dxf>
    <dxf>
      <font>
        <color rgb="FF9C0006"/>
      </font>
    </dxf>
    <dxf>
      <font>
        <color theme="9"/>
      </font>
    </dxf>
    <dxf>
      <font>
        <color rgb="FFFFC000"/>
      </font>
    </dxf>
    <dxf>
      <font>
        <color rgb="FF9C0006"/>
      </font>
    </dxf>
    <dxf>
      <font>
        <color rgb="FF9C0006"/>
      </font>
    </dxf>
    <dxf>
      <font>
        <color theme="9"/>
      </font>
    </dxf>
    <dxf>
      <font>
        <color rgb="FFFFC000"/>
      </font>
    </dxf>
    <dxf>
      <font>
        <color theme="9"/>
      </font>
    </dxf>
    <dxf>
      <font>
        <color rgb="FFFFC000"/>
      </font>
    </dxf>
    <dxf>
      <font>
        <color rgb="FF9C0006"/>
      </font>
    </dxf>
    <dxf>
      <font>
        <color theme="9"/>
      </font>
    </dxf>
    <dxf>
      <font>
        <color rgb="FFFFC000"/>
      </font>
    </dxf>
    <dxf>
      <font>
        <color rgb="FF9C0006"/>
      </font>
    </dxf>
    <dxf>
      <font>
        <color theme="9"/>
      </font>
    </dxf>
    <dxf>
      <font>
        <color rgb="FFFFC000"/>
      </font>
    </dxf>
    <dxf>
      <font>
        <color rgb="FF9C0006"/>
      </font>
    </dxf>
    <dxf>
      <font>
        <color theme="9"/>
      </font>
    </dxf>
    <dxf>
      <font>
        <color rgb="FFFFC000"/>
      </font>
    </dxf>
    <dxf>
      <font>
        <color rgb="FF9C0006"/>
      </font>
    </dxf>
    <dxf>
      <font>
        <color rgb="FF9C0006"/>
      </font>
    </dxf>
    <dxf>
      <font>
        <color rgb="FFFFC000"/>
      </font>
    </dxf>
    <dxf>
      <font>
        <color theme="9"/>
      </font>
    </dxf>
    <dxf>
      <font>
        <color rgb="FFFFC000"/>
      </font>
    </dxf>
    <dxf>
      <font>
        <color theme="9"/>
      </font>
    </dxf>
    <dxf>
      <font>
        <color rgb="FF9C0006"/>
      </font>
    </dxf>
    <dxf>
      <font>
        <color rgb="FF9C0006"/>
      </font>
    </dxf>
    <dxf>
      <font>
        <color theme="9"/>
      </font>
    </dxf>
    <dxf>
      <font>
        <color rgb="FFFFC000"/>
      </font>
    </dxf>
    <dxf>
      <font>
        <color rgb="FF9C0006"/>
      </font>
    </dxf>
    <dxf>
      <font>
        <color rgb="FFFFC000"/>
      </font>
    </dxf>
    <dxf>
      <font>
        <color theme="9"/>
      </font>
    </dxf>
    <dxf>
      <font>
        <color theme="9"/>
      </font>
    </dxf>
    <dxf>
      <font>
        <color rgb="FF9C0006"/>
      </font>
    </dxf>
    <dxf>
      <font>
        <color rgb="FFFFC000"/>
      </font>
    </dxf>
    <dxf>
      <font>
        <color rgb="FFFFC000"/>
      </font>
    </dxf>
    <dxf>
      <font>
        <color theme="9"/>
      </font>
    </dxf>
    <dxf>
      <font>
        <color rgb="FF9C0006"/>
      </font>
    </dxf>
    <dxf>
      <font>
        <color theme="9"/>
      </font>
    </dxf>
    <dxf>
      <font>
        <color rgb="FFFFC000"/>
      </font>
    </dxf>
    <dxf>
      <font>
        <color rgb="FF9C0006"/>
      </font>
    </dxf>
    <dxf>
      <font>
        <color rgb="FF9C0006"/>
      </font>
    </dxf>
    <dxf>
      <font>
        <color rgb="FFFFC000"/>
      </font>
    </dxf>
    <dxf>
      <font>
        <color theme="9"/>
      </font>
    </dxf>
    <dxf>
      <font>
        <color theme="9"/>
      </font>
    </dxf>
    <dxf>
      <font>
        <color rgb="FF9C0006"/>
      </font>
    </dxf>
    <dxf>
      <font>
        <color rgb="FFFFC000"/>
      </font>
    </dxf>
    <dxf>
      <font>
        <color rgb="FFFFC000"/>
      </font>
    </dxf>
    <dxf>
      <font>
        <color theme="9"/>
      </font>
    </dxf>
    <dxf>
      <font>
        <color rgb="FF9C0006"/>
      </font>
    </dxf>
    <dxf>
      <font>
        <color rgb="FF9C0006"/>
      </font>
    </dxf>
    <dxf>
      <font>
        <color rgb="FFFFC000"/>
      </font>
    </dxf>
    <dxf>
      <font>
        <color theme="9"/>
      </font>
    </dxf>
    <dxf>
      <font>
        <color rgb="FFFFC000"/>
      </font>
    </dxf>
    <dxf>
      <font>
        <color rgb="FF9C0006"/>
      </font>
    </dxf>
    <dxf>
      <font>
        <color theme="9"/>
      </font>
    </dxf>
    <dxf>
      <font>
        <color theme="9"/>
      </font>
    </dxf>
    <dxf>
      <font>
        <color rgb="FF9C0006"/>
      </font>
    </dxf>
    <dxf>
      <font>
        <color rgb="FFFFC000"/>
      </font>
    </dxf>
    <dxf>
      <font>
        <color theme="9"/>
      </font>
    </dxf>
    <dxf>
      <font>
        <color rgb="FFFFC000"/>
      </font>
    </dxf>
    <dxf>
      <font>
        <color rgb="FF9C0006"/>
      </font>
    </dxf>
    <dxf>
      <font>
        <color rgb="FFFFC000"/>
      </font>
    </dxf>
    <dxf>
      <font>
        <color rgb="FF9C0006"/>
      </font>
    </dxf>
    <dxf>
      <font>
        <color theme="9"/>
      </font>
    </dxf>
    <dxf>
      <font>
        <color theme="9"/>
      </font>
    </dxf>
    <dxf>
      <font>
        <color rgb="FFFFC000"/>
      </font>
    </dxf>
    <dxf>
      <font>
        <color rgb="FF9C0006"/>
      </font>
    </dxf>
    <dxf>
      <font>
        <color theme="9"/>
      </font>
    </dxf>
    <dxf>
      <font>
        <color rgb="FF9C0006"/>
      </font>
    </dxf>
    <dxf>
      <font>
        <color rgb="FFFFC000"/>
      </font>
    </dxf>
    <dxf>
      <font>
        <color theme="9"/>
      </font>
    </dxf>
    <dxf>
      <font>
        <color rgb="FFFFC000"/>
      </font>
    </dxf>
    <dxf>
      <font>
        <color rgb="FF9C0006"/>
      </font>
    </dxf>
    <dxf>
      <font>
        <color rgb="FFFFC000"/>
      </font>
    </dxf>
    <dxf>
      <font>
        <color theme="9"/>
      </font>
    </dxf>
    <dxf>
      <font>
        <color rgb="FF9C0006"/>
      </font>
    </dxf>
    <dxf>
      <font>
        <color theme="9"/>
      </font>
    </dxf>
    <dxf>
      <font>
        <color rgb="FFFFC000"/>
      </font>
    </dxf>
    <dxf>
      <font>
        <color rgb="FF9C0006"/>
      </font>
    </dxf>
    <dxf>
      <font>
        <color rgb="FFFFC000"/>
      </font>
    </dxf>
    <dxf>
      <font>
        <color theme="9"/>
      </font>
    </dxf>
    <dxf>
      <font>
        <color rgb="FF9C0006"/>
      </font>
    </dxf>
    <dxf>
      <font>
        <color theme="9"/>
      </font>
    </dxf>
    <dxf>
      <font>
        <color rgb="FF9C0006"/>
      </font>
    </dxf>
    <dxf>
      <font>
        <color rgb="FFFFC000"/>
      </font>
    </dxf>
    <dxf>
      <font>
        <color theme="9"/>
      </font>
    </dxf>
    <dxf>
      <font>
        <color rgb="FFFFC000"/>
      </font>
    </dxf>
    <dxf>
      <font>
        <color rgb="FF9C0006"/>
      </font>
    </dxf>
    <dxf>
      <font>
        <color theme="9"/>
      </font>
    </dxf>
    <dxf>
      <font>
        <color rgb="FFFFC000"/>
      </font>
    </dxf>
    <dxf>
      <font>
        <color rgb="FF9C0006"/>
      </font>
    </dxf>
    <dxf>
      <font>
        <color rgb="FFFFC000"/>
      </font>
    </dxf>
    <dxf>
      <font>
        <color theme="9"/>
      </font>
    </dxf>
    <dxf>
      <font>
        <color rgb="FF9C0006"/>
      </font>
    </dxf>
    <dxf>
      <font>
        <color theme="9"/>
      </font>
    </dxf>
    <dxf>
      <font>
        <color rgb="FFFFC000"/>
      </font>
    </dxf>
    <dxf>
      <font>
        <color rgb="FF9C0006"/>
      </font>
    </dxf>
    <dxf>
      <font>
        <color rgb="FF9C0006"/>
      </font>
    </dxf>
    <dxf>
      <font>
        <color rgb="FFFFC000"/>
      </font>
    </dxf>
    <dxf>
      <font>
        <color theme="9"/>
      </font>
    </dxf>
    <dxf>
      <font>
        <color theme="9"/>
      </font>
    </dxf>
    <dxf>
      <font>
        <color rgb="FFFFC000"/>
      </font>
    </dxf>
    <dxf>
      <font>
        <color rgb="FF9C0006"/>
      </font>
    </dxf>
    <dxf>
      <font>
        <color rgb="FF9C0006"/>
      </font>
    </dxf>
    <dxf>
      <font>
        <color rgb="FFFFC000"/>
      </font>
    </dxf>
    <dxf>
      <font>
        <color theme="9"/>
      </font>
    </dxf>
    <dxf>
      <font>
        <color rgb="FF9C0006"/>
      </font>
    </dxf>
    <dxf>
      <font>
        <color rgb="FFFFC000"/>
      </font>
    </dxf>
    <dxf>
      <font>
        <color theme="9"/>
      </font>
    </dxf>
    <dxf>
      <fill>
        <patternFill>
          <bgColor theme="8" tint="0.79998168889431442"/>
        </patternFill>
      </fill>
    </dxf>
    <dxf>
      <fill>
        <patternFill>
          <bgColor theme="9" tint="0.79998168889431442"/>
        </patternFill>
      </fill>
    </dxf>
    <dxf>
      <fill>
        <patternFill>
          <bgColor rgb="FFFFFF00"/>
        </patternFill>
      </fill>
    </dxf>
    <dxf>
      <fill>
        <patternFill>
          <bgColor rgb="FFFFFF00"/>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rgb="FFFFFF00"/>
        </patternFill>
      </fill>
    </dxf>
    <dxf>
      <fill>
        <patternFill>
          <bgColor theme="8" tint="0.79998168889431442"/>
        </patternFill>
      </fill>
    </dxf>
    <dxf>
      <fill>
        <patternFill>
          <bgColor theme="8" tint="0.79998168889431442"/>
        </patternFill>
      </fill>
    </dxf>
    <dxf>
      <fill>
        <patternFill>
          <bgColor rgb="FFFFFF00"/>
        </patternFill>
      </fill>
    </dxf>
    <dxf>
      <fill>
        <patternFill>
          <bgColor theme="9" tint="0.79998168889431442"/>
        </patternFill>
      </fill>
    </dxf>
    <dxf>
      <fill>
        <patternFill>
          <bgColor rgb="FFFFFFCC"/>
        </patternFill>
      </fill>
    </dxf>
    <dxf>
      <fill>
        <patternFill>
          <bgColor theme="9" tint="0.79998168889431442"/>
        </patternFill>
      </fill>
    </dxf>
    <dxf>
      <font>
        <color auto="1"/>
      </font>
      <fill>
        <patternFill>
          <bgColor rgb="FFFFCCCC"/>
        </patternFill>
      </fill>
    </dxf>
    <dxf>
      <fill>
        <patternFill>
          <bgColor theme="9" tint="0.79998168889431442"/>
        </patternFill>
      </fill>
    </dxf>
    <dxf>
      <fill>
        <patternFill>
          <bgColor theme="8" tint="0.79998168889431442"/>
        </patternFill>
      </fill>
    </dxf>
    <dxf>
      <fill>
        <patternFill>
          <bgColor rgb="FFFFFF00"/>
        </patternFill>
      </fill>
    </dxf>
    <dxf>
      <fill>
        <patternFill>
          <bgColor rgb="FFFFFF00"/>
        </patternFill>
      </fill>
    </dxf>
    <dxf>
      <fill>
        <patternFill>
          <bgColor theme="9" tint="0.79998168889431442"/>
        </patternFill>
      </fill>
    </dxf>
    <dxf>
      <fill>
        <patternFill>
          <bgColor theme="8" tint="0.79998168889431442"/>
        </patternFill>
      </fill>
    </dxf>
    <dxf>
      <fill>
        <patternFill>
          <bgColor rgb="FFFFFF00"/>
        </patternFill>
      </fill>
    </dxf>
    <dxf>
      <fill>
        <patternFill>
          <bgColor theme="9" tint="0.79998168889431442"/>
        </patternFill>
      </fill>
    </dxf>
    <dxf>
      <fill>
        <patternFill>
          <bgColor theme="8" tint="0.79998168889431442"/>
        </patternFill>
      </fill>
    </dxf>
  </dxfs>
  <tableStyles count="0" defaultTableStyle="TableStyleMedium2" defaultPivotStyle="PivotStyleLight16"/>
  <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8FE390-F801-48C8-BF9E-11630E83D90F}" name="Tabla3" displayName="Tabla3" ref="G9:G25" headerRowCount="0" totalsRowShown="0" headerRowDxfId="1">
  <tableColumns count="1">
    <tableColumn id="1" xr3:uid="{1BB00A63-6978-424B-8CB6-AF0D82CD93F7}" name="Especialistas" dataDxfId="0"/>
  </tableColumns>
  <tableStyleInfo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F9003D-090D-4E87-AE59-8A8E65BC357D}">
  <we:reference id="wa200004179" version="2025.2.0.0" store="en-US" storeType="OMEX"/>
  <we:alternateReferences>
    <we:reference id="wa200004179" version="2025.2.0.0" store="" storeType="OMEX"/>
  </we:alternateReferences>
  <we:properties>
    <we:property name="app-config" value="&quot;{\&quot;map\&quot;:{\&quot;webmap\&quot;:{\&quot;is3d\&quot;:false,\&quot;itemData\&quot;:{\&quot;operationalLayers\&quot;:[],\&quot;tables\&quot;:[],\&quot;baseMap\&quot;:{\&quot;baseMapLayers\&quot;:[{\&quot;id\&quot;:\&quot;World_Hillshade_3805\&quot;,\&quot;opacity\&quot;:1,\&quot;title\&quot;:\&quot;Sombreado mundial\&quot;,\&quot;url\&quot;:\&quot;https://services.arcgisonline.com/arcgis/rest/services/Elevation/World_Hillshade/MapServer\&quot;,\&quot;visibility\&quot;:true,\&quot;layerType\&quot;:\&quot;ArcGISTiledMapServiceLayer\&quot;},{\&quot;id\&quot;:\&quot;VectorTile_2333\&quot;,\&quot;opacity\&quot;:1,\&quot;title\&quot;:\&quot;Mapa topográfico mundial\&quot;,\&quot;visibility\&quot;:true,\&quot;layerType\&quot;:\&quot;VectorTileLayer\&quot;,\&quot;styleUrl\&quot;:\&quot;https://cdn.arcgis.com/sharing/rest/content/items/0d27022487ad4e09ae8f274e8d502776/resources/styles/root.json\&quot;}],\&quot;title\&quot;:\&quot;Topográfico\&quot;},\&quot;version\&quot;:\&quot;2.26\&quot;,\&quot;authoringApp\&quot;:\&quot;ArcGIS for Excel\&quot;,\&quot;bookmarks\&quot;:[],\&quot;initialState\&quot;:{\&quot;viewpoint\&quot;:{\&quot;targetGeometry\&quot;:{\&quot;spatialReference\&quot;:{\&quot;latestWkid\&quot;:3857,\&quot;wkid\&quot;:102100},\&quot;xmin\&quot;:-8282714.380043451,\&quot;ymin\&quot;:429324.6349069299,\&quot;xmax\&quot;:-8183040.49515963,\&quot;ymax\&quot;:568745.7744990241}}}}},\&quot;webmapExtensions\&quot;:{\&quot;format\&quot;:2}}}&quot;"/>
    <we:property name="arcgis-connection" value="&quot;{\&quot;portalUrl\&quot;:\&quot;https://www.arcgis.com\&quot;}&quot;"/>
  </we:properties>
  <we:bindings>
    <we:binding id="cellRange-yHGpb" type="matrix" appref="{B3AA8345-B800-4837-874B-767F11B6EF46}"/>
    <we:binding id="cellRange-brLF4" type="matrix" appref="{8459FCAD-17AB-4DDA-B4F2-FE31035BAFC2}"/>
    <we:binding id="cellRange-MiDvb" type="matrix" appref="{5EBC1A6D-5213-4CD5-B17E-7D2EBF6B3E45}"/>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s>_xldudf_ARCGIS_COORDINATETONOTATION</we:customFunctionIds>
        <we:customFunctionIds>_xldudf_ARCGIS_COORDINATEFROMNOTATION</we:customFunctionIds>
        <we:customFunctionIds>_xldudf_ARCGIS_PROJECTPOINT</we:customFunctionIds>
        <we:customFunctionIds>_xldudf_ARCGIS_PROJECTGEOMETRY</we:customFunctionIds>
      </we:customFunctionIdList>
    </a:ext>
    <a:ext xmlns:a="http://schemas.openxmlformats.org/drawingml/2006/main" uri="{0858819E-0033-43BF-8937-05EC82904868}">
      <we:backgroundApp state="1" runtimeId="Esri.TaskPane.Url"/>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9E42-5133-4435-8623-0A9C1F4F495F}">
  <sheetPr codeName="Hoja1"/>
  <dimension ref="A1:XFD477"/>
  <sheetViews>
    <sheetView zoomScale="55" zoomScaleNormal="55" workbookViewId="0">
      <pane ySplit="1" topLeftCell="A109" activePane="bottomLeft" state="frozen"/>
      <selection pane="bottomLeft" activeCell="H126" sqref="H126:H129"/>
      <selection activeCell="L340" sqref="L340"/>
    </sheetView>
  </sheetViews>
  <sheetFormatPr defaultColWidth="11.42578125" defaultRowHeight="15" customHeight="1"/>
  <cols>
    <col min="1" max="1" width="15.7109375" style="2" bestFit="1" customWidth="1"/>
    <col min="2" max="2" width="11.140625" style="5" bestFit="1" customWidth="1"/>
    <col min="3" max="3" width="11.140625" style="5" customWidth="1"/>
    <col min="4" max="4" width="11.42578125" style="30"/>
    <col min="5" max="5" width="11.140625" style="5" customWidth="1"/>
    <col min="6" max="6" width="15.7109375" style="2" customWidth="1"/>
    <col min="7" max="7" width="23.85546875" style="17" bestFit="1" customWidth="1"/>
    <col min="8" max="8" width="24.42578125" style="2" customWidth="1"/>
    <col min="10" max="10" width="28" style="2" bestFit="1" customWidth="1"/>
    <col min="11" max="11" width="24" style="10" bestFit="1" customWidth="1"/>
    <col min="12" max="12" width="21.140625" style="7" bestFit="1" customWidth="1"/>
    <col min="13" max="13" width="20.42578125" bestFit="1" customWidth="1"/>
    <col min="15" max="15" width="19" bestFit="1" customWidth="1"/>
    <col min="18" max="18" width="19.28515625" bestFit="1" customWidth="1"/>
    <col min="21" max="21" width="19.85546875" bestFit="1" customWidth="1"/>
    <col min="27" max="27" width="15.42578125" bestFit="1" customWidth="1"/>
  </cols>
  <sheetData>
    <row r="1" spans="1:31" ht="42.6" customHeight="1">
      <c r="A1" s="1" t="s">
        <v>0</v>
      </c>
      <c r="B1" s="3" t="s">
        <v>1</v>
      </c>
      <c r="C1" s="3" t="s">
        <v>2</v>
      </c>
      <c r="D1" s="23" t="s">
        <v>3</v>
      </c>
      <c r="E1" s="3" t="s">
        <v>4</v>
      </c>
      <c r="F1" s="1" t="s">
        <v>5</v>
      </c>
      <c r="G1" s="1" t="s">
        <v>6</v>
      </c>
      <c r="H1" s="1" t="s">
        <v>7</v>
      </c>
      <c r="I1" s="1" t="s">
        <v>8</v>
      </c>
      <c r="J1" s="1" t="s">
        <v>9</v>
      </c>
      <c r="K1" s="6" t="s">
        <v>10</v>
      </c>
      <c r="L1" s="6" t="s">
        <v>11</v>
      </c>
      <c r="M1" s="1" t="s">
        <v>12</v>
      </c>
      <c r="N1" s="1" t="s">
        <v>13</v>
      </c>
      <c r="O1" s="1" t="s">
        <v>14</v>
      </c>
      <c r="P1" s="1" t="s">
        <v>13</v>
      </c>
      <c r="Q1" s="1" t="s">
        <v>15</v>
      </c>
      <c r="R1" s="1" t="s">
        <v>16</v>
      </c>
      <c r="S1" s="1" t="s">
        <v>13</v>
      </c>
      <c r="T1" s="1" t="s">
        <v>15</v>
      </c>
      <c r="U1" s="1" t="s">
        <v>17</v>
      </c>
      <c r="V1" s="1" t="s">
        <v>13</v>
      </c>
      <c r="W1" s="1" t="s">
        <v>15</v>
      </c>
      <c r="X1" s="1" t="s">
        <v>18</v>
      </c>
      <c r="Y1" s="1" t="s">
        <v>13</v>
      </c>
      <c r="Z1" s="1" t="s">
        <v>15</v>
      </c>
      <c r="AA1" s="1" t="s">
        <v>19</v>
      </c>
      <c r="AB1" s="1" t="s">
        <v>13</v>
      </c>
      <c r="AC1" s="1" t="s">
        <v>15</v>
      </c>
      <c r="AD1" s="1" t="s">
        <v>20</v>
      </c>
      <c r="AE1" s="1" t="s">
        <v>21</v>
      </c>
    </row>
    <row r="2" spans="1:31" ht="14.45">
      <c r="A2" s="2">
        <v>1</v>
      </c>
      <c r="B2" s="4">
        <v>45853</v>
      </c>
      <c r="C2" s="4"/>
      <c r="E2" s="4"/>
      <c r="F2" s="2" t="s">
        <v>22</v>
      </c>
      <c r="G2" s="2" t="s">
        <v>23</v>
      </c>
      <c r="H2" s="2" t="s">
        <v>24</v>
      </c>
      <c r="I2" s="2" t="s">
        <v>25</v>
      </c>
      <c r="J2" s="2" t="s">
        <v>26</v>
      </c>
      <c r="K2" s="10">
        <v>-74.047725919773498</v>
      </c>
      <c r="L2" s="7">
        <v>4.7184031523109899</v>
      </c>
      <c r="M2" s="2" t="s">
        <v>27</v>
      </c>
      <c r="N2" s="2" t="s">
        <v>28</v>
      </c>
      <c r="O2" s="2"/>
      <c r="P2" s="2"/>
      <c r="Q2" s="2"/>
      <c r="R2" s="2"/>
      <c r="S2" s="2"/>
      <c r="T2" s="2"/>
      <c r="U2" s="2"/>
      <c r="V2" s="2"/>
      <c r="W2" s="2"/>
      <c r="X2" s="2"/>
      <c r="Y2" s="2"/>
      <c r="Z2" s="2"/>
      <c r="AA2" s="2"/>
      <c r="AB2" s="2"/>
      <c r="AC2" s="2"/>
      <c r="AD2" s="2">
        <f t="shared" ref="AD2:AD32" si="0">COUNTA(M2,O2,R2,U2,X2,AA2)</f>
        <v>1</v>
      </c>
      <c r="AE2" s="8" t="str">
        <f t="shared" ref="AE2:AE31" si="1">+HYPERLINK("https://www.google.com/maps?q=" &amp; SUBSTITUTE(L2, ",", ".") &amp; "," &amp; SUBSTITUTE(K2, ",", "."),"Ver en mapa")</f>
        <v>Ver en mapa</v>
      </c>
    </row>
    <row r="3" spans="1:31" ht="14.45">
      <c r="A3" s="2">
        <v>2</v>
      </c>
      <c r="B3" s="5">
        <v>45853</v>
      </c>
      <c r="F3" s="2" t="s">
        <v>22</v>
      </c>
      <c r="G3" s="2" t="s">
        <v>29</v>
      </c>
      <c r="H3" s="2" t="s">
        <v>30</v>
      </c>
      <c r="I3" s="2" t="s">
        <v>25</v>
      </c>
      <c r="J3" s="2" t="s">
        <v>26</v>
      </c>
      <c r="K3" s="10">
        <v>-74.067613399999999</v>
      </c>
      <c r="L3" s="7">
        <v>4.6743335000000004</v>
      </c>
      <c r="M3" s="2"/>
      <c r="N3" s="2"/>
      <c r="O3" s="2"/>
      <c r="P3" s="2"/>
      <c r="Q3" s="2"/>
      <c r="R3" s="2"/>
      <c r="S3" s="2"/>
      <c r="T3" s="2"/>
      <c r="U3" s="2"/>
      <c r="V3" s="2"/>
      <c r="W3" s="2"/>
      <c r="X3" s="2"/>
      <c r="Y3" s="2"/>
      <c r="Z3" s="2"/>
      <c r="AA3" s="2"/>
      <c r="AB3" s="2"/>
      <c r="AC3" s="2"/>
      <c r="AD3" s="2">
        <f t="shared" si="0"/>
        <v>0</v>
      </c>
      <c r="AE3" s="8" t="str">
        <f t="shared" si="1"/>
        <v>Ver en mapa</v>
      </c>
    </row>
    <row r="4" spans="1:31" ht="14.45">
      <c r="A4" s="2">
        <v>3</v>
      </c>
      <c r="B4" s="5">
        <v>45853</v>
      </c>
      <c r="F4" s="2" t="s">
        <v>22</v>
      </c>
      <c r="G4" s="2" t="s">
        <v>31</v>
      </c>
      <c r="H4" s="2" t="s">
        <v>32</v>
      </c>
      <c r="I4" s="2" t="s">
        <v>25</v>
      </c>
      <c r="J4" s="2" t="s">
        <v>33</v>
      </c>
      <c r="K4" s="10">
        <v>-74.040865699999998</v>
      </c>
      <c r="L4" s="7">
        <v>4.6812405999999998</v>
      </c>
      <c r="M4" s="2" t="s">
        <v>34</v>
      </c>
      <c r="N4" s="2" t="s">
        <v>28</v>
      </c>
      <c r="O4" s="2" t="s">
        <v>35</v>
      </c>
      <c r="P4" s="2" t="s">
        <v>28</v>
      </c>
      <c r="Q4" s="2"/>
      <c r="R4" s="2"/>
      <c r="S4" s="2"/>
      <c r="T4" s="2"/>
      <c r="U4" s="2"/>
      <c r="V4" s="2"/>
      <c r="W4" s="2"/>
      <c r="X4" s="2"/>
      <c r="Y4" s="2"/>
      <c r="Z4" s="2"/>
      <c r="AA4" s="2"/>
      <c r="AB4" s="2"/>
      <c r="AC4" s="2"/>
      <c r="AD4" s="2">
        <f t="shared" si="0"/>
        <v>2</v>
      </c>
      <c r="AE4" s="8" t="str">
        <f t="shared" si="1"/>
        <v>Ver en mapa</v>
      </c>
    </row>
    <row r="5" spans="1:31" ht="14.45">
      <c r="A5" s="2">
        <v>4</v>
      </c>
      <c r="B5" s="5">
        <v>45854</v>
      </c>
      <c r="F5" s="2" t="s">
        <v>22</v>
      </c>
      <c r="G5" s="2" t="s">
        <v>36</v>
      </c>
      <c r="H5" s="2" t="s">
        <v>37</v>
      </c>
      <c r="I5" s="2" t="s">
        <v>25</v>
      </c>
      <c r="J5" s="2" t="s">
        <v>38</v>
      </c>
      <c r="K5" s="10">
        <v>-74.067101449265493</v>
      </c>
      <c r="L5" s="7">
        <v>4.6371340156946399</v>
      </c>
      <c r="M5" s="2" t="s">
        <v>39</v>
      </c>
      <c r="N5" s="2" t="s">
        <v>40</v>
      </c>
      <c r="O5" s="2" t="s">
        <v>41</v>
      </c>
      <c r="P5" s="2" t="s">
        <v>28</v>
      </c>
      <c r="Q5" s="2"/>
      <c r="R5" s="2"/>
      <c r="S5" s="2"/>
      <c r="T5" s="2"/>
      <c r="U5" s="2"/>
      <c r="V5" s="2"/>
      <c r="W5" s="2"/>
      <c r="X5" s="2"/>
      <c r="Y5" s="2"/>
      <c r="Z5" s="2"/>
      <c r="AA5" s="2"/>
      <c r="AB5" s="2"/>
      <c r="AC5" s="2"/>
      <c r="AD5" s="2">
        <f t="shared" si="0"/>
        <v>2</v>
      </c>
      <c r="AE5" s="8" t="str">
        <f t="shared" si="1"/>
        <v>Ver en mapa</v>
      </c>
    </row>
    <row r="6" spans="1:31" ht="14.45">
      <c r="A6" s="2">
        <v>5</v>
      </c>
      <c r="B6" s="5">
        <v>45854</v>
      </c>
      <c r="F6" s="2" t="s">
        <v>22</v>
      </c>
      <c r="G6" s="2" t="s">
        <v>42</v>
      </c>
      <c r="H6" s="2" t="s">
        <v>43</v>
      </c>
      <c r="I6" s="2" t="s">
        <v>25</v>
      </c>
      <c r="J6" s="2" t="s">
        <v>44</v>
      </c>
      <c r="K6" s="10">
        <v>-74.083565975628204</v>
      </c>
      <c r="L6" s="7">
        <v>4.6294915607640901</v>
      </c>
      <c r="M6" s="2" t="s">
        <v>45</v>
      </c>
      <c r="N6" s="2" t="s">
        <v>40</v>
      </c>
      <c r="O6" s="2"/>
      <c r="P6" s="2"/>
      <c r="Q6" s="2"/>
      <c r="R6" s="2"/>
      <c r="S6" s="2"/>
      <c r="T6" s="2"/>
      <c r="U6" s="2"/>
      <c r="V6" s="2"/>
      <c r="W6" s="2"/>
      <c r="X6" s="2"/>
      <c r="Y6" s="2"/>
      <c r="Z6" s="2"/>
      <c r="AA6" s="2"/>
      <c r="AB6" s="2"/>
      <c r="AC6" s="2"/>
      <c r="AD6" s="2">
        <f t="shared" si="0"/>
        <v>1</v>
      </c>
      <c r="AE6" s="8" t="str">
        <f t="shared" si="1"/>
        <v>Ver en mapa</v>
      </c>
    </row>
    <row r="7" spans="1:31" ht="14.45">
      <c r="A7" s="2">
        <v>6</v>
      </c>
      <c r="B7" s="5">
        <v>45854</v>
      </c>
      <c r="F7" s="2" t="s">
        <v>22</v>
      </c>
      <c r="G7" s="2" t="s">
        <v>46</v>
      </c>
      <c r="H7" s="2" t="s">
        <v>47</v>
      </c>
      <c r="I7" s="2" t="s">
        <v>25</v>
      </c>
      <c r="J7" s="2" t="s">
        <v>48</v>
      </c>
      <c r="K7" s="10">
        <v>-74.105435700000001</v>
      </c>
      <c r="L7" s="9">
        <v>4.6720360000000003</v>
      </c>
      <c r="M7" s="2" t="s">
        <v>49</v>
      </c>
      <c r="N7" s="2" t="s">
        <v>40</v>
      </c>
      <c r="O7" s="2"/>
      <c r="P7" s="2"/>
      <c r="Q7" s="2"/>
      <c r="R7" s="2"/>
      <c r="S7" s="2"/>
      <c r="T7" s="2"/>
      <c r="U7" s="2"/>
      <c r="V7" s="2"/>
      <c r="W7" s="2"/>
      <c r="X7" s="2"/>
      <c r="Y7" s="2"/>
      <c r="Z7" s="2"/>
      <c r="AA7" s="2"/>
      <c r="AB7" s="2"/>
      <c r="AC7" s="2"/>
      <c r="AD7" s="2">
        <f t="shared" si="0"/>
        <v>1</v>
      </c>
      <c r="AE7" s="8" t="str">
        <f t="shared" si="1"/>
        <v>Ver en mapa</v>
      </c>
    </row>
    <row r="8" spans="1:31" ht="14.45">
      <c r="A8" s="2">
        <v>7</v>
      </c>
      <c r="B8" s="5">
        <v>45854</v>
      </c>
      <c r="F8" s="2" t="s">
        <v>22</v>
      </c>
      <c r="G8" s="2" t="s">
        <v>50</v>
      </c>
      <c r="H8" s="2" t="s">
        <v>51</v>
      </c>
      <c r="I8" s="2" t="s">
        <v>25</v>
      </c>
      <c r="J8" s="2" t="s">
        <v>52</v>
      </c>
      <c r="K8" s="10">
        <v>-74.118327800000003</v>
      </c>
      <c r="L8" s="9">
        <v>4.6301671000000004</v>
      </c>
      <c r="M8" s="2"/>
      <c r="N8" s="2"/>
      <c r="O8" s="2"/>
      <c r="P8" s="2"/>
      <c r="Q8" s="2"/>
      <c r="R8" s="2"/>
      <c r="S8" s="2"/>
      <c r="T8" s="2"/>
      <c r="U8" s="2"/>
      <c r="V8" s="2"/>
      <c r="W8" s="2"/>
      <c r="X8" s="2"/>
      <c r="Y8" s="2"/>
      <c r="Z8" s="2"/>
      <c r="AA8" s="2"/>
      <c r="AB8" s="2"/>
      <c r="AC8" s="2"/>
      <c r="AD8" s="2">
        <f t="shared" si="0"/>
        <v>0</v>
      </c>
      <c r="AE8" s="8" t="str">
        <f t="shared" si="1"/>
        <v>Ver en mapa</v>
      </c>
    </row>
    <row r="9" spans="1:31" ht="14.45">
      <c r="A9" s="2">
        <v>8</v>
      </c>
      <c r="B9" s="5">
        <v>45854</v>
      </c>
      <c r="F9" s="2" t="s">
        <v>22</v>
      </c>
      <c r="G9" s="2" t="s">
        <v>31</v>
      </c>
      <c r="H9" s="2" t="s">
        <v>53</v>
      </c>
      <c r="I9" s="2" t="s">
        <v>25</v>
      </c>
      <c r="J9" s="2" t="s">
        <v>52</v>
      </c>
      <c r="K9" s="10">
        <v>-74.045008899999999</v>
      </c>
      <c r="L9" s="9">
        <v>4.6795514000000002</v>
      </c>
      <c r="M9" s="2"/>
      <c r="N9" s="2"/>
      <c r="O9" s="2"/>
      <c r="P9" s="2"/>
      <c r="Q9" s="2"/>
      <c r="R9" s="2"/>
      <c r="S9" s="2"/>
      <c r="T9" s="2"/>
      <c r="U9" s="2"/>
      <c r="V9" s="2"/>
      <c r="W9" s="2"/>
      <c r="X9" s="2"/>
      <c r="Y9" s="2"/>
      <c r="Z9" s="2"/>
      <c r="AA9" s="2"/>
      <c r="AB9" s="2"/>
      <c r="AC9" s="2"/>
      <c r="AD9" s="2">
        <f t="shared" si="0"/>
        <v>0</v>
      </c>
      <c r="AE9" s="8" t="str">
        <f t="shared" si="1"/>
        <v>Ver en mapa</v>
      </c>
    </row>
    <row r="10" spans="1:31" ht="14.45">
      <c r="A10" s="2">
        <v>9</v>
      </c>
      <c r="B10" s="5">
        <v>45855</v>
      </c>
      <c r="F10" s="2" t="s">
        <v>22</v>
      </c>
      <c r="G10" s="2" t="s">
        <v>54</v>
      </c>
      <c r="H10" s="2" t="s">
        <v>55</v>
      </c>
      <c r="I10" s="2" t="s">
        <v>25</v>
      </c>
      <c r="J10" s="2" t="s">
        <v>56</v>
      </c>
      <c r="K10" s="10">
        <v>-74.064278099999996</v>
      </c>
      <c r="L10" s="9">
        <v>4.6449321000000001</v>
      </c>
      <c r="M10" s="2" t="s">
        <v>57</v>
      </c>
      <c r="N10" s="2" t="s">
        <v>40</v>
      </c>
      <c r="O10" s="2" t="s">
        <v>58</v>
      </c>
      <c r="P10" s="2" t="s">
        <v>40</v>
      </c>
      <c r="Q10" s="2"/>
      <c r="R10" s="2"/>
      <c r="S10" s="2"/>
      <c r="T10" s="2"/>
      <c r="U10" s="2"/>
      <c r="V10" s="2"/>
      <c r="W10" s="2"/>
      <c r="X10" s="2"/>
      <c r="Y10" s="2"/>
      <c r="Z10" s="2"/>
      <c r="AA10" s="2"/>
      <c r="AB10" s="2"/>
      <c r="AC10" s="2"/>
      <c r="AD10" s="2">
        <f t="shared" si="0"/>
        <v>2</v>
      </c>
      <c r="AE10" s="8" t="str">
        <f t="shared" si="1"/>
        <v>Ver en mapa</v>
      </c>
    </row>
    <row r="11" spans="1:31" ht="14.45">
      <c r="A11" s="2">
        <v>10</v>
      </c>
      <c r="B11" s="5">
        <v>45855</v>
      </c>
      <c r="F11" s="2" t="s">
        <v>22</v>
      </c>
      <c r="G11" s="2" t="s">
        <v>31</v>
      </c>
      <c r="H11" s="2" t="s">
        <v>59</v>
      </c>
      <c r="I11" s="2" t="s">
        <v>25</v>
      </c>
      <c r="J11" s="2" t="s">
        <v>56</v>
      </c>
      <c r="K11" s="10">
        <v>-74.059603699999997</v>
      </c>
      <c r="L11" s="9">
        <v>4.6621632999999996</v>
      </c>
      <c r="M11" s="2"/>
      <c r="N11" s="2"/>
      <c r="O11" s="2"/>
      <c r="P11" s="2"/>
      <c r="Q11" s="2"/>
      <c r="R11" s="2"/>
      <c r="S11" s="2"/>
      <c r="T11" s="2"/>
      <c r="U11" s="2"/>
      <c r="V11" s="2"/>
      <c r="W11" s="2"/>
      <c r="X11" s="2"/>
      <c r="Y11" s="2"/>
      <c r="Z11" s="2"/>
      <c r="AA11" s="2"/>
      <c r="AB11" s="2"/>
      <c r="AC11" s="2"/>
      <c r="AD11" s="2">
        <f t="shared" si="0"/>
        <v>0</v>
      </c>
      <c r="AE11" s="8" t="str">
        <f t="shared" si="1"/>
        <v>Ver en mapa</v>
      </c>
    </row>
    <row r="12" spans="1:31" ht="14.45">
      <c r="A12" s="2">
        <v>11</v>
      </c>
      <c r="B12" s="5">
        <v>45855</v>
      </c>
      <c r="F12" s="2" t="s">
        <v>22</v>
      </c>
      <c r="G12" s="2" t="s">
        <v>31</v>
      </c>
      <c r="H12" s="2" t="s">
        <v>60</v>
      </c>
      <c r="I12" s="2" t="s">
        <v>25</v>
      </c>
      <c r="J12" s="2" t="s">
        <v>56</v>
      </c>
      <c r="K12" s="10">
        <v>-74.056398400000006</v>
      </c>
      <c r="L12" s="9">
        <v>4.6643791999999999</v>
      </c>
      <c r="M12" s="2" t="s">
        <v>61</v>
      </c>
      <c r="N12" s="2" t="s">
        <v>40</v>
      </c>
      <c r="O12" s="2" t="s">
        <v>62</v>
      </c>
      <c r="P12" s="2" t="s">
        <v>63</v>
      </c>
      <c r="Q12" s="2"/>
      <c r="R12" s="2" t="s">
        <v>64</v>
      </c>
      <c r="S12" s="2" t="s">
        <v>28</v>
      </c>
      <c r="T12" s="2"/>
      <c r="U12" s="2"/>
      <c r="V12" s="2"/>
      <c r="W12" s="2"/>
      <c r="X12" s="2"/>
      <c r="Y12" s="2"/>
      <c r="Z12" s="2"/>
      <c r="AA12" s="2"/>
      <c r="AB12" s="2"/>
      <c r="AC12" s="2"/>
      <c r="AD12" s="2">
        <f t="shared" si="0"/>
        <v>3</v>
      </c>
      <c r="AE12" s="8" t="str">
        <f t="shared" si="1"/>
        <v>Ver en mapa</v>
      </c>
    </row>
    <row r="13" spans="1:31" ht="14.45">
      <c r="A13" s="2">
        <v>12</v>
      </c>
      <c r="B13" s="5">
        <v>45855</v>
      </c>
      <c r="F13" s="2" t="s">
        <v>22</v>
      </c>
      <c r="G13" s="2" t="s">
        <v>31</v>
      </c>
      <c r="H13" s="2" t="s">
        <v>65</v>
      </c>
      <c r="I13" s="2" t="s">
        <v>25</v>
      </c>
      <c r="J13" s="2" t="s">
        <v>56</v>
      </c>
      <c r="K13" s="10">
        <v>-74.051980999999998</v>
      </c>
      <c r="L13" s="9">
        <v>4.6680650000000004</v>
      </c>
      <c r="M13" s="2" t="s">
        <v>66</v>
      </c>
      <c r="N13" s="2" t="s">
        <v>63</v>
      </c>
      <c r="O13" s="2"/>
      <c r="P13" s="2"/>
      <c r="Q13" s="2"/>
      <c r="R13" s="2"/>
      <c r="S13" s="2"/>
      <c r="T13" s="2"/>
      <c r="U13" s="2"/>
      <c r="V13" s="2"/>
      <c r="W13" s="2"/>
      <c r="X13" s="2"/>
      <c r="Y13" s="2"/>
      <c r="Z13" s="2"/>
      <c r="AA13" s="2"/>
      <c r="AB13" s="2"/>
      <c r="AC13" s="2"/>
      <c r="AD13" s="2">
        <f t="shared" si="0"/>
        <v>1</v>
      </c>
      <c r="AE13" s="8" t="str">
        <f t="shared" si="1"/>
        <v>Ver en mapa</v>
      </c>
    </row>
    <row r="14" spans="1:31" ht="14.45">
      <c r="A14" s="2">
        <v>13</v>
      </c>
      <c r="B14" s="5">
        <v>45855</v>
      </c>
      <c r="F14" s="2" t="s">
        <v>22</v>
      </c>
      <c r="G14" s="2" t="s">
        <v>67</v>
      </c>
      <c r="H14" s="2" t="s">
        <v>68</v>
      </c>
      <c r="I14" s="2" t="s">
        <v>25</v>
      </c>
      <c r="J14" s="2" t="s">
        <v>56</v>
      </c>
      <c r="K14" s="10">
        <v>-74.052024500000002</v>
      </c>
      <c r="L14" s="9">
        <v>4.6635939000000004</v>
      </c>
      <c r="M14" s="2"/>
      <c r="N14" s="2"/>
      <c r="O14" s="2"/>
      <c r="P14" s="2"/>
      <c r="Q14" s="2"/>
      <c r="R14" s="2"/>
      <c r="S14" s="2"/>
      <c r="T14" s="2"/>
      <c r="U14" s="2"/>
      <c r="V14" s="2"/>
      <c r="W14" s="2"/>
      <c r="X14" s="2"/>
      <c r="Y14" s="2"/>
      <c r="Z14" s="2"/>
      <c r="AA14" s="2"/>
      <c r="AB14" s="2"/>
      <c r="AC14" s="2"/>
      <c r="AD14" s="2">
        <f t="shared" si="0"/>
        <v>0</v>
      </c>
      <c r="AE14" s="8" t="str">
        <f t="shared" si="1"/>
        <v>Ver en mapa</v>
      </c>
    </row>
    <row r="15" spans="1:31" ht="14.45">
      <c r="A15" s="2">
        <v>14</v>
      </c>
      <c r="B15" s="5">
        <v>45855</v>
      </c>
      <c r="F15" s="2" t="s">
        <v>22</v>
      </c>
      <c r="G15" s="2" t="s">
        <v>31</v>
      </c>
      <c r="H15" s="2" t="s">
        <v>69</v>
      </c>
      <c r="I15" s="2" t="s">
        <v>25</v>
      </c>
      <c r="J15" s="2" t="s">
        <v>56</v>
      </c>
      <c r="K15" s="10">
        <v>-74.060181</v>
      </c>
      <c r="L15" s="7">
        <v>4.6613360999999998</v>
      </c>
      <c r="M15" s="2" t="s">
        <v>61</v>
      </c>
      <c r="N15" s="2" t="s">
        <v>63</v>
      </c>
      <c r="O15" s="2" t="s">
        <v>70</v>
      </c>
      <c r="P15" s="2" t="s">
        <v>40</v>
      </c>
      <c r="Q15" s="2"/>
      <c r="R15" s="2"/>
      <c r="S15" s="2"/>
      <c r="T15" s="2"/>
      <c r="U15" s="2"/>
      <c r="V15" s="2"/>
      <c r="W15" s="2"/>
      <c r="X15" s="2"/>
      <c r="Y15" s="2"/>
      <c r="Z15" s="2"/>
      <c r="AA15" s="2"/>
      <c r="AB15" s="2"/>
      <c r="AC15" s="2"/>
      <c r="AD15" s="2">
        <f t="shared" si="0"/>
        <v>2</v>
      </c>
      <c r="AE15" s="8" t="str">
        <f t="shared" si="1"/>
        <v>Ver en mapa</v>
      </c>
    </row>
    <row r="16" spans="1:31" ht="14.45">
      <c r="A16" s="2">
        <v>15</v>
      </c>
      <c r="B16" s="5">
        <v>45855</v>
      </c>
      <c r="F16" s="2" t="s">
        <v>22</v>
      </c>
      <c r="G16" s="2" t="s">
        <v>31</v>
      </c>
      <c r="H16" s="2" t="s">
        <v>71</v>
      </c>
      <c r="I16" s="2" t="s">
        <v>25</v>
      </c>
      <c r="J16" s="2" t="s">
        <v>56</v>
      </c>
      <c r="K16" s="10">
        <v>-74.060805999999999</v>
      </c>
      <c r="L16" s="7">
        <v>4.6612549999999997</v>
      </c>
      <c r="M16" s="2" t="s">
        <v>61</v>
      </c>
      <c r="N16" s="2" t="s">
        <v>63</v>
      </c>
      <c r="O16" s="2" t="s">
        <v>70</v>
      </c>
      <c r="P16" s="2" t="s">
        <v>40</v>
      </c>
      <c r="Q16" s="2"/>
      <c r="R16" s="2"/>
      <c r="S16" s="2"/>
      <c r="T16" s="2"/>
      <c r="U16" s="2"/>
      <c r="V16" s="2"/>
      <c r="W16" s="2"/>
      <c r="X16" s="2"/>
      <c r="Y16" s="2"/>
      <c r="Z16" s="2"/>
      <c r="AA16" s="2"/>
      <c r="AB16" s="2"/>
      <c r="AC16" s="2"/>
      <c r="AD16" s="2">
        <f t="shared" si="0"/>
        <v>2</v>
      </c>
      <c r="AE16" s="8" t="str">
        <f t="shared" si="1"/>
        <v>Ver en mapa</v>
      </c>
    </row>
    <row r="17" spans="1:31" ht="14.45">
      <c r="A17" s="2">
        <v>16</v>
      </c>
      <c r="B17" s="5">
        <v>45859</v>
      </c>
      <c r="F17" s="2" t="s">
        <v>22</v>
      </c>
      <c r="G17" s="2" t="s">
        <v>72</v>
      </c>
      <c r="H17" s="2" t="s">
        <v>73</v>
      </c>
      <c r="I17" s="2" t="s">
        <v>25</v>
      </c>
      <c r="J17" s="2" t="s">
        <v>38</v>
      </c>
      <c r="K17" s="10">
        <v>-74.084400599999995</v>
      </c>
      <c r="L17" s="7">
        <v>4.6512897999999998</v>
      </c>
      <c r="M17" s="2" t="s">
        <v>74</v>
      </c>
      <c r="N17" s="2" t="s">
        <v>63</v>
      </c>
      <c r="O17" s="2"/>
      <c r="P17" s="2"/>
      <c r="Q17" s="2"/>
      <c r="R17" s="2"/>
      <c r="S17" s="2"/>
      <c r="T17" s="2"/>
      <c r="U17" s="2"/>
      <c r="V17" s="2"/>
      <c r="W17" s="2"/>
      <c r="X17" s="2"/>
      <c r="Y17" s="2"/>
      <c r="Z17" s="2"/>
      <c r="AA17" s="2"/>
      <c r="AB17" s="2"/>
      <c r="AC17" s="2"/>
      <c r="AD17" s="2">
        <f t="shared" si="0"/>
        <v>1</v>
      </c>
      <c r="AE17" s="8" t="str">
        <f t="shared" si="1"/>
        <v>Ver en mapa</v>
      </c>
    </row>
    <row r="18" spans="1:31" ht="14.45">
      <c r="A18" s="2">
        <v>17</v>
      </c>
      <c r="B18" s="5">
        <v>45859</v>
      </c>
      <c r="F18" s="2" t="s">
        <v>22</v>
      </c>
      <c r="G18" s="2" t="s">
        <v>75</v>
      </c>
      <c r="H18" s="2" t="s">
        <v>76</v>
      </c>
      <c r="I18" s="2" t="s">
        <v>25</v>
      </c>
      <c r="J18" s="2" t="s">
        <v>56</v>
      </c>
      <c r="K18" s="10">
        <v>-74.042575999999997</v>
      </c>
      <c r="L18" s="7">
        <v>4.748259</v>
      </c>
      <c r="M18" s="2" t="s">
        <v>77</v>
      </c>
      <c r="N18" s="2" t="s">
        <v>63</v>
      </c>
      <c r="O18" s="2"/>
      <c r="P18" s="2"/>
      <c r="Q18" s="2"/>
      <c r="R18" s="2"/>
      <c r="S18" s="2"/>
      <c r="T18" s="2"/>
      <c r="U18" s="2"/>
      <c r="V18" s="2"/>
      <c r="W18" s="2"/>
      <c r="X18" s="2"/>
      <c r="Y18" s="2"/>
      <c r="Z18" s="2"/>
      <c r="AA18" s="2"/>
      <c r="AB18" s="2"/>
      <c r="AC18" s="2"/>
      <c r="AD18" s="2">
        <f t="shared" si="0"/>
        <v>1</v>
      </c>
      <c r="AE18" s="8" t="str">
        <f t="shared" si="1"/>
        <v>Ver en mapa</v>
      </c>
    </row>
    <row r="19" spans="1:31" ht="14.45">
      <c r="A19" s="2">
        <v>18</v>
      </c>
      <c r="B19" s="5">
        <v>21</v>
      </c>
      <c r="F19" s="2" t="s">
        <v>22</v>
      </c>
      <c r="G19" s="2" t="s">
        <v>78</v>
      </c>
      <c r="H19" s="2" t="s">
        <v>79</v>
      </c>
      <c r="I19" s="2" t="s">
        <v>25</v>
      </c>
      <c r="J19" s="2" t="s">
        <v>80</v>
      </c>
      <c r="K19" s="10">
        <v>-74.070383199999995</v>
      </c>
      <c r="L19" s="7">
        <v>4.6087819999999997</v>
      </c>
      <c r="M19" s="2"/>
      <c r="N19" s="2"/>
      <c r="O19" s="2"/>
      <c r="P19" s="2"/>
      <c r="Q19" s="2"/>
      <c r="R19" s="2"/>
      <c r="S19" s="2"/>
      <c r="T19" s="2"/>
      <c r="U19" s="2"/>
      <c r="V19" s="2"/>
      <c r="W19" s="2"/>
      <c r="X19" s="2"/>
      <c r="Y19" s="2"/>
      <c r="Z19" s="2"/>
      <c r="AA19" s="2"/>
      <c r="AB19" s="2"/>
      <c r="AC19" s="2"/>
      <c r="AD19" s="2">
        <f t="shared" si="0"/>
        <v>0</v>
      </c>
      <c r="AE19" s="8" t="str">
        <f t="shared" si="1"/>
        <v>Ver en mapa</v>
      </c>
    </row>
    <row r="20" spans="1:31" ht="14.45">
      <c r="A20" s="2">
        <v>19</v>
      </c>
      <c r="B20" s="5">
        <v>45860</v>
      </c>
      <c r="F20" s="2" t="s">
        <v>22</v>
      </c>
      <c r="G20" s="2" t="s">
        <v>31</v>
      </c>
      <c r="H20" s="2" t="s">
        <v>81</v>
      </c>
      <c r="I20" s="2" t="s">
        <v>25</v>
      </c>
      <c r="J20" s="2" t="s">
        <v>56</v>
      </c>
      <c r="K20" s="10">
        <v>-74.045888899999994</v>
      </c>
      <c r="L20" s="7">
        <v>4.6777221999999998</v>
      </c>
      <c r="M20" s="2" t="s">
        <v>82</v>
      </c>
      <c r="N20" s="2" t="s">
        <v>63</v>
      </c>
      <c r="O20" s="2" t="s">
        <v>83</v>
      </c>
      <c r="P20" s="2" t="s">
        <v>63</v>
      </c>
      <c r="Q20" s="2"/>
      <c r="R20" s="2"/>
      <c r="S20" s="2"/>
      <c r="T20" s="2"/>
      <c r="U20" s="2"/>
      <c r="V20" s="2"/>
      <c r="W20" s="2"/>
      <c r="X20" s="2"/>
      <c r="Y20" s="2"/>
      <c r="Z20" s="2"/>
      <c r="AA20" s="2"/>
      <c r="AB20" s="2"/>
      <c r="AC20" s="2"/>
      <c r="AD20" s="2">
        <f t="shared" si="0"/>
        <v>2</v>
      </c>
      <c r="AE20" s="8" t="str">
        <f t="shared" si="1"/>
        <v>Ver en mapa</v>
      </c>
    </row>
    <row r="21" spans="1:31" ht="14.45">
      <c r="A21" s="2">
        <v>20</v>
      </c>
      <c r="B21" s="5">
        <v>45860</v>
      </c>
      <c r="F21" s="2" t="s">
        <v>22</v>
      </c>
      <c r="G21" s="2" t="s">
        <v>84</v>
      </c>
      <c r="H21" s="2" t="s">
        <v>85</v>
      </c>
      <c r="I21" s="2" t="s">
        <v>25</v>
      </c>
      <c r="J21" s="2" t="s">
        <v>38</v>
      </c>
      <c r="K21" s="10">
        <v>-74.116299600000005</v>
      </c>
      <c r="L21" s="7">
        <v>4.627688</v>
      </c>
      <c r="M21" s="2" t="s">
        <v>86</v>
      </c>
      <c r="N21" s="2" t="s">
        <v>28</v>
      </c>
      <c r="O21" s="2"/>
      <c r="P21" s="2"/>
      <c r="Q21" s="2"/>
      <c r="R21" s="2"/>
      <c r="S21" s="2"/>
      <c r="T21" s="2"/>
      <c r="U21" s="2"/>
      <c r="V21" s="2"/>
      <c r="W21" s="2"/>
      <c r="X21" s="2"/>
      <c r="Y21" s="2"/>
      <c r="Z21" s="2"/>
      <c r="AA21" s="2"/>
      <c r="AB21" s="2"/>
      <c r="AC21" s="2"/>
      <c r="AD21" s="2">
        <f t="shared" si="0"/>
        <v>1</v>
      </c>
      <c r="AE21" s="8" t="str">
        <f t="shared" si="1"/>
        <v>Ver en mapa</v>
      </c>
    </row>
    <row r="22" spans="1:31" ht="14.45">
      <c r="A22" s="2">
        <v>21</v>
      </c>
      <c r="B22" s="5">
        <v>45862</v>
      </c>
      <c r="F22" s="2" t="s">
        <v>22</v>
      </c>
      <c r="G22" s="2" t="s">
        <v>87</v>
      </c>
      <c r="H22" s="2" t="s">
        <v>88</v>
      </c>
      <c r="I22" s="2" t="s">
        <v>25</v>
      </c>
      <c r="J22" s="2" t="s">
        <v>89</v>
      </c>
      <c r="K22" s="10">
        <v>-74.115678188867506</v>
      </c>
      <c r="L22" s="7">
        <v>4.71756814391067</v>
      </c>
      <c r="M22" s="2"/>
      <c r="N22" s="2"/>
      <c r="O22" s="2"/>
      <c r="P22" s="2"/>
      <c r="Q22" s="2"/>
      <c r="R22" s="2"/>
      <c r="S22" s="2"/>
      <c r="T22" s="2"/>
      <c r="U22" s="2"/>
      <c r="V22" s="2"/>
      <c r="W22" s="2"/>
      <c r="X22" s="2"/>
      <c r="Y22" s="2"/>
      <c r="Z22" s="2"/>
      <c r="AA22" s="2"/>
      <c r="AB22" s="2"/>
      <c r="AC22" s="2"/>
      <c r="AD22" s="2">
        <f t="shared" si="0"/>
        <v>0</v>
      </c>
      <c r="AE22" s="8" t="str">
        <f t="shared" si="1"/>
        <v>Ver en mapa</v>
      </c>
    </row>
    <row r="23" spans="1:31" ht="14.45">
      <c r="A23" s="2">
        <v>22</v>
      </c>
      <c r="B23" s="5">
        <v>45862</v>
      </c>
      <c r="F23" s="2" t="s">
        <v>22</v>
      </c>
      <c r="G23" s="2" t="s">
        <v>90</v>
      </c>
      <c r="H23" s="2" t="s">
        <v>91</v>
      </c>
      <c r="I23" s="2" t="s">
        <v>92</v>
      </c>
      <c r="J23" s="2" t="s">
        <v>38</v>
      </c>
      <c r="K23" s="10">
        <v>-74.070322333665104</v>
      </c>
      <c r="L23" s="7">
        <v>4.6005919702811902</v>
      </c>
      <c r="M23" s="2" t="s">
        <v>93</v>
      </c>
      <c r="N23" s="2" t="s">
        <v>63</v>
      </c>
      <c r="O23" s="2" t="s">
        <v>94</v>
      </c>
      <c r="P23" s="2" t="s">
        <v>63</v>
      </c>
      <c r="Q23" s="2"/>
      <c r="R23" s="2" t="s">
        <v>95</v>
      </c>
      <c r="S23" s="2" t="s">
        <v>63</v>
      </c>
      <c r="T23" s="2"/>
      <c r="U23" s="2"/>
      <c r="V23" s="2"/>
      <c r="W23" s="2"/>
      <c r="X23" s="2"/>
      <c r="Y23" s="2"/>
      <c r="Z23" s="2"/>
      <c r="AA23" s="2"/>
      <c r="AB23" s="2"/>
      <c r="AC23" s="2"/>
      <c r="AD23" s="2">
        <f t="shared" si="0"/>
        <v>3</v>
      </c>
      <c r="AE23" s="8" t="str">
        <f t="shared" si="1"/>
        <v>Ver en mapa</v>
      </c>
    </row>
    <row r="24" spans="1:31" ht="14.45">
      <c r="A24" s="2">
        <v>23</v>
      </c>
      <c r="B24" s="5">
        <v>45867</v>
      </c>
      <c r="F24" s="2" t="s">
        <v>22</v>
      </c>
      <c r="G24" s="2" t="s">
        <v>31</v>
      </c>
      <c r="H24" s="2" t="s">
        <v>96</v>
      </c>
      <c r="I24" s="2" t="s">
        <v>25</v>
      </c>
      <c r="J24" s="2" t="s">
        <v>56</v>
      </c>
      <c r="K24" s="10">
        <v>-74.046384700000004</v>
      </c>
      <c r="L24" s="7">
        <v>4.6787098</v>
      </c>
      <c r="M24" s="2" t="s">
        <v>83</v>
      </c>
      <c r="N24" s="2" t="s">
        <v>63</v>
      </c>
      <c r="O24" s="2"/>
      <c r="R24" s="2"/>
      <c r="S24" s="2"/>
      <c r="T24" s="2"/>
      <c r="U24" s="2"/>
      <c r="V24" s="2"/>
      <c r="W24" s="2"/>
      <c r="X24" s="2"/>
      <c r="Y24" s="2"/>
      <c r="Z24" s="2"/>
      <c r="AA24" s="2"/>
      <c r="AB24" s="2"/>
      <c r="AC24" s="2"/>
      <c r="AD24" s="2">
        <f t="shared" si="0"/>
        <v>1</v>
      </c>
      <c r="AE24" s="8" t="str">
        <f t="shared" si="1"/>
        <v>Ver en mapa</v>
      </c>
    </row>
    <row r="25" spans="1:31" ht="14.45">
      <c r="A25" s="2">
        <v>24</v>
      </c>
      <c r="B25" s="5">
        <v>45867</v>
      </c>
      <c r="F25" s="2" t="s">
        <v>22</v>
      </c>
      <c r="G25" s="2" t="s">
        <v>97</v>
      </c>
      <c r="H25" s="2" t="s">
        <v>98</v>
      </c>
      <c r="I25" s="2" t="s">
        <v>25</v>
      </c>
      <c r="J25" s="2" t="s">
        <v>80</v>
      </c>
      <c r="K25" s="10">
        <v>-74.069863999999995</v>
      </c>
      <c r="L25" s="7">
        <v>4.6138367999999996</v>
      </c>
      <c r="M25" s="2" t="s">
        <v>99</v>
      </c>
      <c r="N25" s="2" t="s">
        <v>63</v>
      </c>
      <c r="O25" s="2"/>
      <c r="R25" s="2"/>
      <c r="S25" s="2"/>
      <c r="T25" s="2"/>
      <c r="U25" s="2"/>
      <c r="V25" s="2"/>
      <c r="W25" s="2"/>
      <c r="X25" s="2"/>
      <c r="Y25" s="2"/>
      <c r="Z25" s="2"/>
      <c r="AA25" s="2"/>
      <c r="AB25" s="2"/>
      <c r="AC25" s="2"/>
      <c r="AD25" s="2">
        <f t="shared" si="0"/>
        <v>1</v>
      </c>
      <c r="AE25" s="8" t="str">
        <f t="shared" si="1"/>
        <v>Ver en mapa</v>
      </c>
    </row>
    <row r="26" spans="1:31" ht="14.45">
      <c r="A26" s="2">
        <v>25</v>
      </c>
      <c r="B26" s="5">
        <v>45868</v>
      </c>
      <c r="F26" s="2" t="s">
        <v>22</v>
      </c>
      <c r="G26" s="2" t="s">
        <v>100</v>
      </c>
      <c r="H26" s="2" t="s">
        <v>101</v>
      </c>
      <c r="I26" s="2" t="s">
        <v>25</v>
      </c>
      <c r="J26" s="2" t="s">
        <v>89</v>
      </c>
      <c r="K26" s="10">
        <v>-74.046594499999998</v>
      </c>
      <c r="L26" s="7">
        <v>4.7550290000000004</v>
      </c>
      <c r="M26" s="2" t="s">
        <v>102</v>
      </c>
      <c r="N26" s="2" t="s">
        <v>40</v>
      </c>
      <c r="O26" s="2"/>
      <c r="R26" s="2"/>
      <c r="S26" s="2"/>
      <c r="T26" s="2"/>
      <c r="U26" s="2"/>
      <c r="V26" s="2"/>
      <c r="W26" s="2"/>
      <c r="X26" s="2"/>
      <c r="Y26" s="2"/>
      <c r="Z26" s="2"/>
      <c r="AA26" s="2"/>
      <c r="AB26" s="2"/>
      <c r="AC26" s="2"/>
      <c r="AD26" s="2">
        <f t="shared" si="0"/>
        <v>1</v>
      </c>
      <c r="AE26" s="8" t="str">
        <f t="shared" si="1"/>
        <v>Ver en mapa</v>
      </c>
    </row>
    <row r="27" spans="1:31" ht="15" customHeight="1">
      <c r="A27" s="2">
        <v>26</v>
      </c>
      <c r="B27" s="5">
        <v>45873</v>
      </c>
      <c r="F27" s="2" t="s">
        <v>22</v>
      </c>
      <c r="G27" s="2" t="s">
        <v>36</v>
      </c>
      <c r="H27" s="2" t="s">
        <v>103</v>
      </c>
      <c r="I27" s="2" t="s">
        <v>25</v>
      </c>
      <c r="J27" s="2" t="s">
        <v>38</v>
      </c>
      <c r="K27" s="10">
        <v>-74.0685669873953</v>
      </c>
      <c r="L27" s="7">
        <v>4.6421874840971498</v>
      </c>
      <c r="M27" s="2" t="s">
        <v>41</v>
      </c>
      <c r="N27" s="2" t="s">
        <v>40</v>
      </c>
      <c r="O27" s="2" t="s">
        <v>104</v>
      </c>
      <c r="P27" s="2" t="s">
        <v>28</v>
      </c>
      <c r="Q27" s="2"/>
      <c r="R27" s="2"/>
      <c r="S27" s="2"/>
      <c r="T27" s="2"/>
      <c r="U27" s="2"/>
      <c r="V27" s="2"/>
      <c r="W27" s="2"/>
      <c r="X27" s="2"/>
      <c r="Y27" s="2"/>
      <c r="Z27" s="2"/>
      <c r="AA27" s="2"/>
      <c r="AB27" s="2"/>
      <c r="AC27" s="2"/>
      <c r="AD27" s="2">
        <f t="shared" si="0"/>
        <v>2</v>
      </c>
      <c r="AE27" s="8" t="str">
        <f t="shared" si="1"/>
        <v>Ver en mapa</v>
      </c>
    </row>
    <row r="28" spans="1:31" ht="15" customHeight="1">
      <c r="A28" s="2">
        <v>27</v>
      </c>
      <c r="B28" s="5">
        <v>45873</v>
      </c>
      <c r="F28" s="2" t="s">
        <v>22</v>
      </c>
      <c r="G28" s="2" t="s">
        <v>36</v>
      </c>
      <c r="H28" s="2" t="s">
        <v>105</v>
      </c>
      <c r="I28" s="2" t="s">
        <v>25</v>
      </c>
      <c r="J28" s="2" t="s">
        <v>38</v>
      </c>
      <c r="K28" s="10">
        <v>-74.075976999999995</v>
      </c>
      <c r="L28" s="7">
        <v>4.6418017000000003</v>
      </c>
      <c r="M28" s="2" t="s">
        <v>106</v>
      </c>
      <c r="N28" s="2" t="s">
        <v>40</v>
      </c>
      <c r="O28" s="2" t="s">
        <v>107</v>
      </c>
      <c r="P28" s="2" t="s">
        <v>40</v>
      </c>
      <c r="Q28" s="2"/>
      <c r="R28" s="2"/>
      <c r="S28" s="2"/>
      <c r="T28" s="2"/>
      <c r="U28" s="2"/>
      <c r="V28" s="2"/>
      <c r="W28" s="2"/>
      <c r="X28" s="2"/>
      <c r="Y28" s="2"/>
      <c r="Z28" s="2"/>
      <c r="AA28" s="2"/>
      <c r="AB28" s="2"/>
      <c r="AC28" s="2"/>
      <c r="AD28" s="2">
        <f t="shared" si="0"/>
        <v>2</v>
      </c>
      <c r="AE28" s="8" t="str">
        <f t="shared" si="1"/>
        <v>Ver en mapa</v>
      </c>
    </row>
    <row r="29" spans="1:31" ht="15" customHeight="1">
      <c r="A29" s="2">
        <v>28</v>
      </c>
      <c r="B29" s="5">
        <v>45873</v>
      </c>
      <c r="F29" s="2" t="s">
        <v>22</v>
      </c>
      <c r="G29" s="2" t="s">
        <v>75</v>
      </c>
      <c r="H29" s="2" t="s">
        <v>108</v>
      </c>
      <c r="I29" s="2" t="s">
        <v>25</v>
      </c>
      <c r="J29" s="2" t="s">
        <v>56</v>
      </c>
      <c r="K29" s="10">
        <v>-74.043876800000007</v>
      </c>
      <c r="L29" s="7">
        <v>4.7410173999999996</v>
      </c>
      <c r="M29" s="2" t="s">
        <v>109</v>
      </c>
      <c r="N29" s="2" t="s">
        <v>40</v>
      </c>
      <c r="O29" s="2" t="s">
        <v>110</v>
      </c>
      <c r="P29" s="2" t="s">
        <v>40</v>
      </c>
      <c r="Q29" s="2"/>
      <c r="R29" s="2"/>
      <c r="S29" s="2"/>
      <c r="T29" s="2"/>
      <c r="U29" s="2"/>
      <c r="V29" s="2"/>
      <c r="W29" s="2"/>
      <c r="X29" s="2"/>
      <c r="Y29" s="2"/>
      <c r="Z29" s="2"/>
      <c r="AA29" s="2"/>
      <c r="AB29" s="2"/>
      <c r="AC29" s="2"/>
      <c r="AD29" s="2">
        <f t="shared" si="0"/>
        <v>2</v>
      </c>
      <c r="AE29" s="8" t="str">
        <f t="shared" si="1"/>
        <v>Ver en mapa</v>
      </c>
    </row>
    <row r="30" spans="1:31" ht="15" customHeight="1">
      <c r="A30" s="2">
        <v>29</v>
      </c>
      <c r="B30" s="5">
        <v>45883</v>
      </c>
      <c r="F30" s="2" t="s">
        <v>22</v>
      </c>
      <c r="G30" s="2" t="s">
        <v>31</v>
      </c>
      <c r="H30" s="2" t="s">
        <v>111</v>
      </c>
      <c r="I30" s="2" t="s">
        <v>92</v>
      </c>
      <c r="J30" s="2" t="s">
        <v>52</v>
      </c>
      <c r="K30" s="10">
        <v>-74.044046499999993</v>
      </c>
      <c r="L30" s="7">
        <v>4.6814287999999999</v>
      </c>
      <c r="M30" s="2" t="s">
        <v>35</v>
      </c>
      <c r="N30" s="2" t="s">
        <v>63</v>
      </c>
      <c r="O30" s="2" t="s">
        <v>82</v>
      </c>
      <c r="P30" s="2" t="s">
        <v>63</v>
      </c>
      <c r="Q30" s="2"/>
      <c r="R30" s="2" t="s">
        <v>112</v>
      </c>
      <c r="S30" s="2" t="s">
        <v>40</v>
      </c>
      <c r="T30" s="2"/>
      <c r="U30" s="2" t="s">
        <v>113</v>
      </c>
      <c r="V30" s="2" t="s">
        <v>40</v>
      </c>
      <c r="W30" s="2"/>
      <c r="X30" s="2"/>
      <c r="Y30" s="2"/>
      <c r="Z30" s="2"/>
      <c r="AA30" s="2"/>
      <c r="AB30" s="2"/>
      <c r="AC30" s="2"/>
      <c r="AD30" s="2">
        <f t="shared" si="0"/>
        <v>4</v>
      </c>
      <c r="AE30" s="8" t="str">
        <f t="shared" si="1"/>
        <v>Ver en mapa</v>
      </c>
    </row>
    <row r="31" spans="1:31" ht="15" customHeight="1">
      <c r="A31" s="2">
        <v>30</v>
      </c>
      <c r="B31" s="5">
        <v>45883</v>
      </c>
      <c r="F31" s="2" t="s">
        <v>22</v>
      </c>
      <c r="G31" s="2" t="s">
        <v>75</v>
      </c>
      <c r="H31" s="2" t="s">
        <v>114</v>
      </c>
      <c r="I31" s="2" t="s">
        <v>92</v>
      </c>
      <c r="J31" s="2" t="s">
        <v>115</v>
      </c>
      <c r="K31" s="10">
        <v>-74.043253800000002</v>
      </c>
      <c r="L31" s="7">
        <v>4.7504616000000004</v>
      </c>
      <c r="M31" s="2" t="s">
        <v>77</v>
      </c>
      <c r="N31" s="2" t="s">
        <v>63</v>
      </c>
      <c r="O31" s="2"/>
      <c r="P31" s="2"/>
      <c r="Q31" s="2"/>
      <c r="R31" s="2"/>
      <c r="S31" s="2"/>
      <c r="T31" s="2"/>
      <c r="U31" s="2"/>
      <c r="V31" s="2"/>
      <c r="W31" s="2"/>
      <c r="X31" s="2"/>
      <c r="Y31" s="2"/>
      <c r="Z31" s="2"/>
      <c r="AA31" s="2"/>
      <c r="AB31" s="2"/>
      <c r="AC31" s="2"/>
      <c r="AD31" s="2">
        <f t="shared" si="0"/>
        <v>1</v>
      </c>
      <c r="AE31" s="8" t="str">
        <f t="shared" si="1"/>
        <v>Ver en mapa</v>
      </c>
    </row>
    <row r="32" spans="1:31" ht="15" customHeight="1">
      <c r="A32" s="2">
        <v>31</v>
      </c>
      <c r="B32" s="5">
        <v>45883</v>
      </c>
      <c r="F32" s="2" t="s">
        <v>22</v>
      </c>
      <c r="G32" s="2" t="s">
        <v>75</v>
      </c>
      <c r="H32" s="2" t="s">
        <v>76</v>
      </c>
      <c r="I32" s="2" t="s">
        <v>92</v>
      </c>
      <c r="J32" s="2" t="s">
        <v>115</v>
      </c>
      <c r="K32" s="10">
        <v>-74.042480699999999</v>
      </c>
      <c r="L32" s="10">
        <v>4.7483630999999997</v>
      </c>
      <c r="M32" s="2" t="s">
        <v>77</v>
      </c>
      <c r="N32" s="2" t="s">
        <v>63</v>
      </c>
      <c r="O32" s="2" t="s">
        <v>116</v>
      </c>
      <c r="P32" s="2" t="s">
        <v>63</v>
      </c>
      <c r="Q32" s="2"/>
      <c r="R32" s="2"/>
      <c r="S32" s="2"/>
      <c r="T32" s="2"/>
      <c r="U32" s="2"/>
      <c r="V32" s="2"/>
      <c r="W32" s="2"/>
      <c r="X32" s="2"/>
      <c r="Y32" s="2"/>
      <c r="Z32" s="2"/>
      <c r="AA32" s="2"/>
      <c r="AB32" s="2"/>
      <c r="AC32" s="2"/>
      <c r="AD32" s="2">
        <f t="shared" si="0"/>
        <v>2</v>
      </c>
      <c r="AE32" s="8" t="e">
        <f>+HYPERLINK("https://www.google.com/maps?q=" &amp; SUBSTITUTE(#REF!, ",", ".") &amp; "," &amp; SUBSTITUTE(L32, ",", "."),"Ver en mapa")</f>
        <v>#REF!</v>
      </c>
    </row>
    <row r="33" spans="1:31" ht="15" customHeight="1">
      <c r="A33" s="2">
        <v>74</v>
      </c>
      <c r="B33" s="5">
        <v>45979</v>
      </c>
      <c r="F33" s="2" t="s">
        <v>117</v>
      </c>
      <c r="G33" s="17" t="s">
        <v>118</v>
      </c>
      <c r="H33" s="2" t="s">
        <v>119</v>
      </c>
      <c r="I33" s="2" t="s">
        <v>25</v>
      </c>
      <c r="J33" s="2" t="s">
        <v>120</v>
      </c>
      <c r="K33" s="10">
        <v>-75.568102199999998</v>
      </c>
      <c r="L33" s="7">
        <v>6.2096305000000003</v>
      </c>
      <c r="M33" s="2" t="s">
        <v>121</v>
      </c>
      <c r="N33" s="2" t="s">
        <v>40</v>
      </c>
      <c r="O33" s="2"/>
      <c r="P33" s="2"/>
      <c r="Q33" s="2"/>
      <c r="R33" s="2"/>
      <c r="S33" s="2"/>
      <c r="T33" s="2"/>
      <c r="U33" s="2"/>
      <c r="V33" s="2"/>
      <c r="W33" s="2"/>
      <c r="X33" s="2"/>
      <c r="Y33" s="2"/>
      <c r="Z33" s="2"/>
      <c r="AA33" s="2"/>
      <c r="AB33" s="2"/>
      <c r="AC33" s="2"/>
      <c r="AD33" s="2">
        <f t="shared" ref="AD33:AD50" si="2">COUNTA(M33,O33,R33,U33,X33,AA33)</f>
        <v>1</v>
      </c>
      <c r="AE33" s="8" t="str">
        <f t="shared" ref="AE33:AE41" si="3">+HYPERLINK("https://www.google.com/maps?q=" &amp; SUBSTITUTE(L33, ",", ".") &amp; "," &amp; SUBSTITUTE(K33, ",", "."),"Ver en mapa")</f>
        <v>Ver en mapa</v>
      </c>
    </row>
    <row r="34" spans="1:31" s="16" customFormat="1" ht="15" customHeight="1">
      <c r="A34" s="11"/>
      <c r="B34" s="12"/>
      <c r="C34" s="12"/>
      <c r="D34" s="43"/>
      <c r="E34" s="12"/>
      <c r="F34" s="11"/>
      <c r="G34" s="11"/>
      <c r="H34" s="11"/>
      <c r="I34" s="11"/>
      <c r="J34" s="11"/>
      <c r="K34" s="13"/>
      <c r="L34" s="14"/>
      <c r="M34" s="11"/>
      <c r="N34" s="11"/>
      <c r="O34" s="11"/>
      <c r="P34" s="11"/>
      <c r="Q34" s="11"/>
      <c r="R34" s="11"/>
      <c r="S34" s="11"/>
      <c r="T34" s="11"/>
      <c r="U34" s="11"/>
      <c r="V34" s="11"/>
      <c r="W34" s="11"/>
      <c r="X34" s="11"/>
      <c r="Y34" s="11"/>
      <c r="Z34" s="11"/>
      <c r="AA34" s="11"/>
      <c r="AB34" s="11"/>
      <c r="AC34" s="11"/>
      <c r="AD34" s="11">
        <f t="shared" si="2"/>
        <v>0</v>
      </c>
      <c r="AE34" s="15" t="str">
        <f t="shared" si="3"/>
        <v>Ver en mapa</v>
      </c>
    </row>
    <row r="35" spans="1:31" ht="15" customHeight="1">
      <c r="A35" s="2">
        <v>33</v>
      </c>
      <c r="B35" s="5">
        <v>45896</v>
      </c>
      <c r="F35" s="2" t="s">
        <v>22</v>
      </c>
      <c r="G35" s="2" t="s">
        <v>23</v>
      </c>
      <c r="H35" s="2" t="s">
        <v>122</v>
      </c>
      <c r="I35" s="2" t="s">
        <v>25</v>
      </c>
      <c r="J35" s="2" t="s">
        <v>123</v>
      </c>
      <c r="K35" s="10">
        <v>-74.048486400000002</v>
      </c>
      <c r="L35" s="7">
        <v>4.7202682999999999</v>
      </c>
      <c r="M35" s="2" t="s">
        <v>27</v>
      </c>
      <c r="N35" s="2" t="s">
        <v>28</v>
      </c>
      <c r="O35" s="2"/>
      <c r="P35" s="2"/>
      <c r="Q35" s="2"/>
      <c r="R35" s="2"/>
      <c r="S35" s="2"/>
      <c r="T35" s="2"/>
      <c r="U35" s="2"/>
      <c r="V35" s="2"/>
      <c r="W35" s="2"/>
      <c r="X35" s="2"/>
      <c r="Y35" s="2"/>
      <c r="Z35" s="2"/>
      <c r="AA35" s="2"/>
      <c r="AB35" s="2"/>
      <c r="AC35" s="2"/>
      <c r="AD35" s="2">
        <f t="shared" si="2"/>
        <v>1</v>
      </c>
      <c r="AE35" s="8" t="str">
        <f t="shared" si="3"/>
        <v>Ver en mapa</v>
      </c>
    </row>
    <row r="36" spans="1:31" ht="15" customHeight="1">
      <c r="A36" s="2">
        <v>34</v>
      </c>
      <c r="B36" s="5">
        <v>45896</v>
      </c>
      <c r="F36" s="2" t="s">
        <v>22</v>
      </c>
      <c r="G36" s="2" t="s">
        <v>124</v>
      </c>
      <c r="H36" s="2" t="s">
        <v>125</v>
      </c>
      <c r="I36" s="2" t="s">
        <v>25</v>
      </c>
      <c r="J36" s="2" t="s">
        <v>80</v>
      </c>
      <c r="K36" s="10">
        <v>-74.141005000000007</v>
      </c>
      <c r="L36" s="7">
        <v>4.6394070000000003</v>
      </c>
      <c r="M36" s="2" t="s">
        <v>126</v>
      </c>
      <c r="N36" s="2" t="s">
        <v>40</v>
      </c>
      <c r="O36" s="2"/>
      <c r="P36" s="2"/>
      <c r="Q36" s="2"/>
      <c r="R36" s="2"/>
      <c r="S36" s="2"/>
      <c r="T36" s="2"/>
      <c r="U36" s="2"/>
      <c r="V36" s="2"/>
      <c r="W36" s="2"/>
      <c r="X36" s="2"/>
      <c r="Y36" s="2"/>
      <c r="Z36" s="2"/>
      <c r="AA36" s="2"/>
      <c r="AB36" s="2"/>
      <c r="AC36" s="2"/>
      <c r="AD36" s="2">
        <f t="shared" si="2"/>
        <v>1</v>
      </c>
      <c r="AE36" s="8" t="str">
        <f t="shared" si="3"/>
        <v>Ver en mapa</v>
      </c>
    </row>
    <row r="37" spans="1:31" ht="15" customHeight="1">
      <c r="A37" s="2">
        <v>35</v>
      </c>
      <c r="B37" s="5">
        <v>45897</v>
      </c>
      <c r="F37" s="2" t="s">
        <v>22</v>
      </c>
      <c r="G37" s="2" t="s">
        <v>127</v>
      </c>
      <c r="H37" s="2" t="s">
        <v>128</v>
      </c>
      <c r="I37" s="2" t="s">
        <v>25</v>
      </c>
      <c r="J37" s="2" t="s">
        <v>52</v>
      </c>
      <c r="K37" s="10">
        <v>-74.062197699999999</v>
      </c>
      <c r="L37" s="7">
        <v>4.6419610000000002</v>
      </c>
      <c r="M37" s="2" t="s">
        <v>129</v>
      </c>
      <c r="N37" s="2" t="s">
        <v>40</v>
      </c>
      <c r="O37" s="2"/>
      <c r="P37" s="2"/>
      <c r="Q37" s="2"/>
      <c r="R37" s="2"/>
      <c r="S37" s="2"/>
      <c r="T37" s="2"/>
      <c r="U37" s="2"/>
      <c r="V37" s="2"/>
      <c r="W37" s="2"/>
      <c r="X37" s="2"/>
      <c r="Y37" s="2"/>
      <c r="Z37" s="2"/>
      <c r="AA37" s="2"/>
      <c r="AB37" s="2"/>
      <c r="AC37" s="2"/>
      <c r="AD37" s="2">
        <f t="shared" si="2"/>
        <v>1</v>
      </c>
      <c r="AE37" s="8" t="str">
        <f t="shared" si="3"/>
        <v>Ver en mapa</v>
      </c>
    </row>
    <row r="38" spans="1:31" ht="15" customHeight="1">
      <c r="A38" s="2">
        <v>36</v>
      </c>
      <c r="B38" s="5">
        <v>45897</v>
      </c>
      <c r="F38" s="2" t="s">
        <v>22</v>
      </c>
      <c r="G38" s="2" t="s">
        <v>130</v>
      </c>
      <c r="H38" s="2" t="s">
        <v>131</v>
      </c>
      <c r="I38" s="2" t="s">
        <v>25</v>
      </c>
      <c r="J38" s="2" t="s">
        <v>132</v>
      </c>
      <c r="K38" s="10">
        <v>-74.094154000000003</v>
      </c>
      <c r="L38" s="7">
        <v>4.7500850000000003</v>
      </c>
      <c r="M38" s="2" t="s">
        <v>133</v>
      </c>
      <c r="N38" s="2" t="s">
        <v>63</v>
      </c>
      <c r="O38" s="2" t="s">
        <v>134</v>
      </c>
      <c r="P38" s="2" t="s">
        <v>40</v>
      </c>
      <c r="Q38" s="2"/>
      <c r="R38" s="2"/>
      <c r="S38" s="2"/>
      <c r="T38" s="2"/>
      <c r="U38" s="2"/>
      <c r="V38" s="2"/>
      <c r="W38" s="2"/>
      <c r="X38" s="2"/>
      <c r="Y38" s="2"/>
      <c r="Z38" s="2"/>
      <c r="AA38" s="2"/>
      <c r="AB38" s="2"/>
      <c r="AC38" s="2"/>
      <c r="AD38" s="2">
        <f t="shared" si="2"/>
        <v>2</v>
      </c>
      <c r="AE38" s="8" t="str">
        <f t="shared" si="3"/>
        <v>Ver en mapa</v>
      </c>
    </row>
    <row r="39" spans="1:31" ht="15" customHeight="1">
      <c r="A39" s="2">
        <v>37</v>
      </c>
      <c r="B39" s="5">
        <v>45897</v>
      </c>
      <c r="F39" s="2" t="s">
        <v>22</v>
      </c>
      <c r="G39" s="2" t="s">
        <v>130</v>
      </c>
      <c r="H39" s="2" t="s">
        <v>135</v>
      </c>
      <c r="I39" s="2" t="s">
        <v>25</v>
      </c>
      <c r="J39" s="2" t="s">
        <v>132</v>
      </c>
      <c r="K39" s="10">
        <v>-74.084973043553106</v>
      </c>
      <c r="L39" s="7">
        <v>4.7409117549024202</v>
      </c>
      <c r="M39" s="2" t="s">
        <v>136</v>
      </c>
      <c r="N39" s="2" t="s">
        <v>40</v>
      </c>
      <c r="O39" s="2"/>
      <c r="P39" s="2"/>
      <c r="Q39" s="2"/>
      <c r="R39" s="2"/>
      <c r="S39" s="2"/>
      <c r="T39" s="2"/>
      <c r="U39" s="2"/>
      <c r="V39" s="2"/>
      <c r="W39" s="2"/>
      <c r="X39" s="2"/>
      <c r="Y39" s="2"/>
      <c r="Z39" s="2"/>
      <c r="AA39" s="2"/>
      <c r="AB39" s="2"/>
      <c r="AC39" s="2"/>
      <c r="AD39" s="2">
        <f t="shared" si="2"/>
        <v>1</v>
      </c>
      <c r="AE39" s="8" t="str">
        <f t="shared" si="3"/>
        <v>Ver en mapa</v>
      </c>
    </row>
    <row r="40" spans="1:31" ht="15" customHeight="1">
      <c r="A40" s="2">
        <v>38</v>
      </c>
      <c r="B40" s="5">
        <v>45903</v>
      </c>
      <c r="F40" s="2" t="s">
        <v>22</v>
      </c>
      <c r="G40" s="2" t="s">
        <v>137</v>
      </c>
      <c r="H40" s="2" t="s">
        <v>138</v>
      </c>
      <c r="I40" s="2" t="s">
        <v>25</v>
      </c>
      <c r="J40" s="2" t="s">
        <v>80</v>
      </c>
      <c r="K40" s="10">
        <v>-74.109837600000006</v>
      </c>
      <c r="L40" s="7">
        <v>4.5963158000000002</v>
      </c>
      <c r="M40" s="2" t="s">
        <v>139</v>
      </c>
      <c r="N40" s="2" t="s">
        <v>40</v>
      </c>
      <c r="O40" s="2"/>
      <c r="P40" s="2"/>
      <c r="Q40" s="2"/>
      <c r="R40" s="2"/>
      <c r="S40" s="2"/>
      <c r="T40" s="2"/>
      <c r="U40" s="2"/>
      <c r="V40" s="2"/>
      <c r="W40" s="2"/>
      <c r="X40" s="2"/>
      <c r="Y40" s="2"/>
      <c r="Z40" s="2"/>
      <c r="AA40" s="2"/>
      <c r="AB40" s="2"/>
      <c r="AC40" s="2"/>
      <c r="AD40" s="2">
        <f t="shared" si="2"/>
        <v>1</v>
      </c>
      <c r="AE40" s="8" t="str">
        <f t="shared" si="3"/>
        <v>Ver en mapa</v>
      </c>
    </row>
    <row r="41" spans="1:31" ht="15" customHeight="1">
      <c r="A41" s="2">
        <v>39</v>
      </c>
      <c r="B41" s="5">
        <v>45903</v>
      </c>
      <c r="F41" s="2" t="s">
        <v>22</v>
      </c>
      <c r="G41" s="2" t="s">
        <v>36</v>
      </c>
      <c r="H41" s="2" t="s">
        <v>140</v>
      </c>
      <c r="I41" s="2" t="s">
        <v>25</v>
      </c>
      <c r="J41" s="2" t="s">
        <v>38</v>
      </c>
      <c r="K41" s="10">
        <v>-74.073026999999996</v>
      </c>
      <c r="L41" s="7">
        <v>4.6486632999999999</v>
      </c>
      <c r="M41" s="2" t="s">
        <v>141</v>
      </c>
      <c r="N41" s="2" t="s">
        <v>40</v>
      </c>
      <c r="O41" s="2" t="s">
        <v>142</v>
      </c>
      <c r="P41" s="2" t="s">
        <v>40</v>
      </c>
      <c r="Q41" s="2"/>
      <c r="R41" s="2"/>
      <c r="S41" s="2"/>
      <c r="T41" s="2"/>
      <c r="U41" s="2"/>
      <c r="V41" s="2"/>
      <c r="W41" s="2"/>
      <c r="X41" s="2"/>
      <c r="Y41" s="2"/>
      <c r="Z41" s="2"/>
      <c r="AA41" s="2"/>
      <c r="AB41" s="2"/>
      <c r="AC41" s="2"/>
      <c r="AD41" s="2">
        <f t="shared" si="2"/>
        <v>2</v>
      </c>
      <c r="AE41" s="8" t="str">
        <f t="shared" si="3"/>
        <v>Ver en mapa</v>
      </c>
    </row>
    <row r="42" spans="1:31" ht="15" customHeight="1">
      <c r="A42" s="2">
        <v>40</v>
      </c>
      <c r="B42" s="5">
        <v>45903</v>
      </c>
      <c r="F42" s="2" t="s">
        <v>22</v>
      </c>
      <c r="G42" s="2" t="s">
        <v>143</v>
      </c>
      <c r="H42" s="2" t="s">
        <v>144</v>
      </c>
      <c r="I42" s="2" t="s">
        <v>25</v>
      </c>
      <c r="J42" s="2" t="s">
        <v>38</v>
      </c>
      <c r="K42" s="10">
        <v>-74.099069405086397</v>
      </c>
      <c r="L42" s="7">
        <v>4.6449344504729098</v>
      </c>
      <c r="M42" s="2" t="s">
        <v>145</v>
      </c>
      <c r="N42" s="2" t="s">
        <v>63</v>
      </c>
      <c r="O42" s="2"/>
      <c r="P42" s="2"/>
      <c r="Q42" s="2"/>
      <c r="R42" s="2"/>
      <c r="S42" s="2"/>
      <c r="T42" s="2"/>
      <c r="U42" s="2"/>
      <c r="V42" s="2"/>
      <c r="W42" s="2"/>
      <c r="X42" s="2"/>
      <c r="Y42" s="2"/>
      <c r="Z42" s="2"/>
      <c r="AA42" s="2"/>
      <c r="AB42" s="2"/>
      <c r="AC42" s="2"/>
      <c r="AD42" s="2">
        <f t="shared" si="2"/>
        <v>1</v>
      </c>
      <c r="AE42" s="8" t="e">
        <f>+HYPERLINK("https://www.google.com/maps?q=" &amp; SUBSTITUTE(#REF!, ",", ".") &amp; "," &amp; SUBSTITUTE(#REF!, ",", "."),"Ver en mapa")</f>
        <v>#REF!</v>
      </c>
    </row>
    <row r="43" spans="1:31" ht="15" customHeight="1">
      <c r="A43" s="2">
        <v>32</v>
      </c>
      <c r="B43" s="5">
        <v>45884</v>
      </c>
      <c r="F43" s="2" t="s">
        <v>22</v>
      </c>
      <c r="G43" s="17" t="s">
        <v>146</v>
      </c>
      <c r="H43" s="2" t="s">
        <v>147</v>
      </c>
      <c r="I43" s="2" t="s">
        <v>25</v>
      </c>
      <c r="J43" s="2" t="s">
        <v>38</v>
      </c>
      <c r="K43" s="10">
        <v>-74.073149932323901</v>
      </c>
      <c r="L43" s="7">
        <v>4.6276701387605899</v>
      </c>
      <c r="M43" s="2" t="s">
        <v>148</v>
      </c>
      <c r="N43" s="2" t="s">
        <v>28</v>
      </c>
      <c r="O43" s="2"/>
      <c r="P43" s="2"/>
      <c r="Q43" s="2"/>
      <c r="R43" s="2"/>
      <c r="S43" s="2"/>
      <c r="T43" s="2"/>
      <c r="U43" s="2"/>
      <c r="V43" s="2"/>
      <c r="W43" s="2"/>
      <c r="X43" s="2"/>
      <c r="Y43" s="2"/>
      <c r="Z43" s="2"/>
      <c r="AA43" s="2"/>
      <c r="AB43" s="2"/>
      <c r="AC43" s="2"/>
      <c r="AD43" s="2">
        <f t="shared" si="2"/>
        <v>1</v>
      </c>
      <c r="AE43" s="8" t="str">
        <f t="shared" ref="AE43:AE50" si="4">+HYPERLINK("https://www.google.com/maps?q=" &amp; SUBSTITUTE(L43, ",", ".") &amp; "," &amp; SUBSTITUTE(K43, ",", "."),"Ver en mapa")</f>
        <v>Ver en mapa</v>
      </c>
    </row>
    <row r="44" spans="1:31" ht="15" customHeight="1">
      <c r="A44" s="2">
        <v>42</v>
      </c>
      <c r="B44" s="5">
        <v>45904</v>
      </c>
      <c r="F44" s="2" t="s">
        <v>22</v>
      </c>
      <c r="G44" s="2" t="s">
        <v>149</v>
      </c>
      <c r="H44" s="2" t="s">
        <v>150</v>
      </c>
      <c r="I44" s="2" t="s">
        <v>25</v>
      </c>
      <c r="J44" s="2" t="s">
        <v>80</v>
      </c>
      <c r="K44" s="10">
        <v>-74.100547199999994</v>
      </c>
      <c r="L44" s="7">
        <v>4.5979343999999998</v>
      </c>
      <c r="M44" s="2" t="s">
        <v>151</v>
      </c>
      <c r="N44" s="2" t="s">
        <v>28</v>
      </c>
      <c r="O44" s="2" t="s">
        <v>152</v>
      </c>
      <c r="P44" s="2" t="s">
        <v>40</v>
      </c>
      <c r="Q44" s="2"/>
      <c r="R44" s="2"/>
      <c r="S44" s="2"/>
      <c r="T44" s="2"/>
      <c r="U44" s="2"/>
      <c r="V44" s="2"/>
      <c r="W44" s="2"/>
      <c r="X44" s="2"/>
      <c r="Y44" s="2"/>
      <c r="Z44" s="2"/>
      <c r="AA44" s="2"/>
      <c r="AB44" s="2"/>
      <c r="AC44" s="2"/>
      <c r="AD44" s="2">
        <f t="shared" si="2"/>
        <v>2</v>
      </c>
      <c r="AE44" s="8" t="str">
        <f t="shared" si="4"/>
        <v>Ver en mapa</v>
      </c>
    </row>
    <row r="45" spans="1:31" ht="15" customHeight="1">
      <c r="A45" s="2">
        <v>43</v>
      </c>
      <c r="B45" s="5">
        <v>45905</v>
      </c>
      <c r="F45" s="2" t="s">
        <v>22</v>
      </c>
      <c r="G45" s="2" t="s">
        <v>153</v>
      </c>
      <c r="H45" s="2" t="s">
        <v>154</v>
      </c>
      <c r="I45" s="2" t="s">
        <v>25</v>
      </c>
      <c r="J45" s="2" t="s">
        <v>48</v>
      </c>
      <c r="K45" s="10">
        <v>-74.054335899999998</v>
      </c>
      <c r="L45" s="7">
        <v>4.7062457000000002</v>
      </c>
      <c r="M45" s="2" t="s">
        <v>155</v>
      </c>
      <c r="N45" s="2" t="s">
        <v>63</v>
      </c>
      <c r="O45" s="2"/>
      <c r="P45" s="2"/>
      <c r="Q45" s="2"/>
      <c r="R45" s="2"/>
      <c r="S45" s="2"/>
      <c r="T45" s="2"/>
      <c r="U45" s="2"/>
      <c r="V45" s="2"/>
      <c r="W45" s="2"/>
      <c r="X45" s="2"/>
      <c r="Y45" s="2"/>
      <c r="Z45" s="2"/>
      <c r="AA45" s="2"/>
      <c r="AB45" s="2"/>
      <c r="AC45" s="2"/>
      <c r="AD45" s="2">
        <f t="shared" si="2"/>
        <v>1</v>
      </c>
      <c r="AE45" s="8" t="str">
        <f t="shared" si="4"/>
        <v>Ver en mapa</v>
      </c>
    </row>
    <row r="46" spans="1:31" ht="15" customHeight="1">
      <c r="A46" s="2">
        <v>44</v>
      </c>
      <c r="B46" s="5">
        <v>45905</v>
      </c>
      <c r="F46" s="2" t="s">
        <v>22</v>
      </c>
      <c r="G46" s="2" t="s">
        <v>156</v>
      </c>
      <c r="H46" s="2" t="s">
        <v>97</v>
      </c>
      <c r="I46" s="2" t="s">
        <v>25</v>
      </c>
      <c r="J46" s="2" t="s">
        <v>80</v>
      </c>
      <c r="K46" s="10">
        <v>-74.067938299999994</v>
      </c>
      <c r="L46" s="7">
        <v>4.6231198999999998</v>
      </c>
      <c r="M46" s="2" t="s">
        <v>157</v>
      </c>
      <c r="N46" s="2" t="s">
        <v>40</v>
      </c>
      <c r="O46" s="2" t="s">
        <v>158</v>
      </c>
      <c r="P46" s="2" t="s">
        <v>40</v>
      </c>
      <c r="Q46" s="2"/>
      <c r="R46" s="2" t="s">
        <v>159</v>
      </c>
      <c r="S46" s="2" t="s">
        <v>40</v>
      </c>
      <c r="T46" s="2"/>
      <c r="U46" s="2"/>
      <c r="V46" s="2"/>
      <c r="W46" s="2"/>
      <c r="X46" s="2"/>
      <c r="Y46" s="2"/>
      <c r="Z46" s="2"/>
      <c r="AA46" s="2"/>
      <c r="AB46" s="2"/>
      <c r="AC46" s="2"/>
      <c r="AD46" s="2">
        <f t="shared" si="2"/>
        <v>3</v>
      </c>
      <c r="AE46" s="8" t="str">
        <f t="shared" si="4"/>
        <v>Ver en mapa</v>
      </c>
    </row>
    <row r="47" spans="1:31" ht="15" customHeight="1">
      <c r="A47" s="2">
        <v>45</v>
      </c>
      <c r="B47" s="5">
        <v>45908</v>
      </c>
      <c r="F47" s="2" t="s">
        <v>22</v>
      </c>
      <c r="G47" s="2" t="s">
        <v>36</v>
      </c>
      <c r="H47" s="2" t="s">
        <v>160</v>
      </c>
      <c r="I47" s="2" t="s">
        <v>25</v>
      </c>
      <c r="J47" s="2" t="s">
        <v>38</v>
      </c>
      <c r="K47" s="10">
        <v>-74.073764400000002</v>
      </c>
      <c r="L47" s="7">
        <v>4.6430360999999998</v>
      </c>
      <c r="M47" s="2" t="s">
        <v>141</v>
      </c>
      <c r="N47" s="2" t="s">
        <v>40</v>
      </c>
      <c r="O47" s="2" t="s">
        <v>142</v>
      </c>
      <c r="P47" s="2" t="s">
        <v>40</v>
      </c>
      <c r="Q47" s="2"/>
      <c r="R47" s="2" t="s">
        <v>107</v>
      </c>
      <c r="S47" s="2" t="s">
        <v>40</v>
      </c>
      <c r="T47" s="2"/>
      <c r="U47" s="2"/>
      <c r="V47" s="2"/>
      <c r="W47" s="2"/>
      <c r="X47" s="2"/>
      <c r="Y47" s="2"/>
      <c r="Z47" s="2"/>
      <c r="AA47" s="2"/>
      <c r="AB47" s="2"/>
      <c r="AC47" s="2"/>
      <c r="AD47" s="2">
        <f t="shared" si="2"/>
        <v>3</v>
      </c>
      <c r="AE47" s="8" t="str">
        <f t="shared" si="4"/>
        <v>Ver en mapa</v>
      </c>
    </row>
    <row r="48" spans="1:31" ht="15" customHeight="1">
      <c r="A48" s="2">
        <v>46</v>
      </c>
      <c r="B48" s="5">
        <v>45910</v>
      </c>
      <c r="F48" s="2" t="s">
        <v>22</v>
      </c>
      <c r="G48" s="2" t="s">
        <v>67</v>
      </c>
      <c r="H48" s="2" t="s">
        <v>161</v>
      </c>
      <c r="I48" s="2" t="s">
        <v>25</v>
      </c>
      <c r="J48" s="2" t="s">
        <v>56</v>
      </c>
      <c r="K48" s="10">
        <v>-74.044790199999994</v>
      </c>
      <c r="L48" s="7">
        <v>4.6797016999999999</v>
      </c>
      <c r="M48" s="2" t="s">
        <v>35</v>
      </c>
      <c r="N48" s="2" t="s">
        <v>63</v>
      </c>
      <c r="O48" s="2" t="s">
        <v>83</v>
      </c>
      <c r="P48" s="2" t="s">
        <v>63</v>
      </c>
      <c r="Q48" s="2"/>
      <c r="R48" s="2"/>
      <c r="S48" s="2"/>
      <c r="T48" s="2"/>
      <c r="U48" s="2"/>
      <c r="V48" s="2"/>
      <c r="W48" s="2"/>
      <c r="X48" s="2"/>
      <c r="Y48" s="2"/>
      <c r="Z48" s="2"/>
      <c r="AA48" s="2"/>
      <c r="AB48" s="2"/>
      <c r="AC48" s="2"/>
      <c r="AD48" s="2">
        <f t="shared" si="2"/>
        <v>2</v>
      </c>
      <c r="AE48" s="8" t="str">
        <f t="shared" si="4"/>
        <v>Ver en mapa</v>
      </c>
    </row>
    <row r="49" spans="1:31" ht="15" customHeight="1">
      <c r="A49" s="2">
        <v>47</v>
      </c>
      <c r="B49" s="5">
        <v>45915</v>
      </c>
      <c r="F49" s="2" t="s">
        <v>162</v>
      </c>
      <c r="G49" s="2" t="s">
        <v>163</v>
      </c>
      <c r="H49" s="2" t="s">
        <v>164</v>
      </c>
      <c r="I49" s="2" t="s">
        <v>25</v>
      </c>
      <c r="J49" s="2" t="s">
        <v>80</v>
      </c>
      <c r="K49" s="10">
        <v>-74.464185599999993</v>
      </c>
      <c r="L49" s="7">
        <v>4.6292400999999996</v>
      </c>
      <c r="M49" s="2" t="s">
        <v>165</v>
      </c>
      <c r="N49" s="2" t="s">
        <v>40</v>
      </c>
      <c r="O49" s="2"/>
      <c r="P49" s="2"/>
      <c r="Q49" s="2"/>
      <c r="R49" s="2"/>
      <c r="S49" s="2"/>
      <c r="T49" s="2"/>
      <c r="U49" s="2"/>
      <c r="V49" s="2"/>
      <c r="W49" s="2"/>
      <c r="X49" s="2"/>
      <c r="Y49" s="2"/>
      <c r="Z49" s="2"/>
      <c r="AA49" s="2"/>
      <c r="AB49" s="2"/>
      <c r="AC49" s="2"/>
      <c r="AD49" s="2">
        <f t="shared" si="2"/>
        <v>1</v>
      </c>
      <c r="AE49" s="8" t="str">
        <f t="shared" si="4"/>
        <v>Ver en mapa</v>
      </c>
    </row>
    <row r="50" spans="1:31" ht="15" customHeight="1">
      <c r="A50" s="2">
        <v>48</v>
      </c>
      <c r="B50" s="5">
        <v>45915</v>
      </c>
      <c r="F50" s="2" t="s">
        <v>22</v>
      </c>
      <c r="G50" s="2" t="s">
        <v>72</v>
      </c>
      <c r="H50" s="2" t="s">
        <v>72</v>
      </c>
      <c r="I50" s="2" t="s">
        <v>25</v>
      </c>
      <c r="J50" s="2" t="s">
        <v>38</v>
      </c>
      <c r="K50" s="10">
        <v>-74.091026166106602</v>
      </c>
      <c r="L50" s="7">
        <v>4.6436695674174002</v>
      </c>
      <c r="M50" s="2" t="s">
        <v>166</v>
      </c>
      <c r="N50" s="2" t="s">
        <v>63</v>
      </c>
      <c r="O50" s="2"/>
      <c r="P50" s="2"/>
      <c r="Q50" s="2"/>
      <c r="R50" s="2"/>
      <c r="S50" s="2"/>
      <c r="T50" s="2"/>
      <c r="U50" s="2"/>
      <c r="V50" s="2"/>
      <c r="W50" s="2"/>
      <c r="X50" s="2"/>
      <c r="Y50" s="2"/>
      <c r="Z50" s="2"/>
      <c r="AA50" s="2"/>
      <c r="AB50" s="2"/>
      <c r="AC50" s="2"/>
      <c r="AD50" s="2">
        <f t="shared" si="2"/>
        <v>1</v>
      </c>
      <c r="AE50" s="8" t="str">
        <f t="shared" si="4"/>
        <v>Ver en mapa</v>
      </c>
    </row>
    <row r="51" spans="1:31" ht="15" customHeight="1">
      <c r="A51" s="2">
        <v>49</v>
      </c>
      <c r="B51" s="5">
        <v>45916</v>
      </c>
      <c r="F51" s="2" t="s">
        <v>22</v>
      </c>
      <c r="G51" s="2" t="s">
        <v>167</v>
      </c>
      <c r="H51" s="2" t="s">
        <v>168</v>
      </c>
      <c r="I51" s="2" t="s">
        <v>169</v>
      </c>
      <c r="J51" s="2" t="s">
        <v>38</v>
      </c>
      <c r="K51" s="10">
        <v>-74.095493000000005</v>
      </c>
      <c r="L51" s="7">
        <v>4.6476819999999996</v>
      </c>
      <c r="M51" s="2" t="s">
        <v>166</v>
      </c>
      <c r="N51" s="2" t="s">
        <v>63</v>
      </c>
      <c r="O51" s="2"/>
      <c r="P51" s="2"/>
      <c r="Q51" s="2"/>
      <c r="R51" s="2"/>
      <c r="S51" s="2"/>
      <c r="T51" s="2"/>
      <c r="U51" s="2"/>
      <c r="V51" s="2"/>
      <c r="W51" s="2"/>
      <c r="X51" s="2"/>
      <c r="Y51" s="2"/>
      <c r="Z51" s="2"/>
      <c r="AA51" s="2"/>
      <c r="AB51" s="2"/>
      <c r="AC51" s="2"/>
      <c r="AD51" s="2"/>
      <c r="AE51" s="8"/>
    </row>
    <row r="52" spans="1:31" ht="15" customHeight="1">
      <c r="A52" s="2">
        <v>50</v>
      </c>
      <c r="B52" s="5">
        <v>45918</v>
      </c>
      <c r="F52" s="2" t="s">
        <v>22</v>
      </c>
      <c r="G52" s="2" t="s">
        <v>78</v>
      </c>
      <c r="H52" s="17" t="s">
        <v>170</v>
      </c>
      <c r="I52" s="2" t="s">
        <v>25</v>
      </c>
      <c r="J52" s="2" t="s">
        <v>171</v>
      </c>
      <c r="K52" s="10">
        <v>-74.068437299641104</v>
      </c>
      <c r="L52" s="7">
        <v>4.6086021153480496</v>
      </c>
      <c r="M52" s="2" t="s">
        <v>172</v>
      </c>
      <c r="N52" s="2" t="s">
        <v>40</v>
      </c>
      <c r="O52" s="2" t="s">
        <v>173</v>
      </c>
      <c r="P52" s="2" t="s">
        <v>40</v>
      </c>
      <c r="Q52" s="2"/>
      <c r="R52" s="2" t="s">
        <v>174</v>
      </c>
      <c r="S52" s="2" t="s">
        <v>40</v>
      </c>
      <c r="T52" s="2"/>
      <c r="U52" s="2" t="s">
        <v>175</v>
      </c>
      <c r="V52" s="2" t="s">
        <v>28</v>
      </c>
      <c r="W52" s="2"/>
      <c r="X52" s="2"/>
      <c r="Y52" s="2"/>
      <c r="Z52" s="2"/>
      <c r="AA52" s="2"/>
      <c r="AB52" s="2"/>
      <c r="AC52" s="2"/>
      <c r="AD52" s="2">
        <f>COUNTA(M52,O52,R52,U52,X52,AA52)</f>
        <v>4</v>
      </c>
      <c r="AE52" s="8" t="str">
        <f>+HYPERLINK("https://www.google.com/maps?q=" &amp; SUBSTITUTE(L52, ",", ".") &amp; "," &amp; SUBSTITUTE(K52, ",", "."),"Ver en mapa")</f>
        <v>Ver en mapa</v>
      </c>
    </row>
    <row r="53" spans="1:31" ht="15" customHeight="1">
      <c r="A53" s="2">
        <v>51</v>
      </c>
      <c r="B53" s="5">
        <v>45918</v>
      </c>
      <c r="F53" s="2" t="s">
        <v>22</v>
      </c>
      <c r="G53" s="2" t="s">
        <v>29</v>
      </c>
      <c r="H53" s="2" t="s">
        <v>176</v>
      </c>
      <c r="I53" s="2" t="s">
        <v>25</v>
      </c>
      <c r="J53" s="2" t="s">
        <v>171</v>
      </c>
      <c r="K53" s="10">
        <v>-74.064927046071105</v>
      </c>
      <c r="L53" s="7">
        <v>4.6712525001484098</v>
      </c>
      <c r="M53" s="2" t="s">
        <v>177</v>
      </c>
      <c r="N53" s="2" t="s">
        <v>40</v>
      </c>
      <c r="O53" s="2"/>
      <c r="P53" s="2"/>
      <c r="Q53" s="2"/>
      <c r="R53" s="2"/>
      <c r="S53" s="2"/>
      <c r="T53" s="2"/>
      <c r="U53" s="2"/>
      <c r="V53" s="2"/>
      <c r="W53" s="2"/>
      <c r="X53" s="2"/>
      <c r="Y53" s="2"/>
      <c r="Z53" s="2"/>
      <c r="AA53" s="2"/>
      <c r="AB53" s="2"/>
      <c r="AC53" s="2"/>
      <c r="AD53" s="2">
        <f>COUNTA(M53,O53,R53,U53,X53,AA53)</f>
        <v>1</v>
      </c>
      <c r="AE53" s="8" t="str">
        <f>+HYPERLINK("https://www.google.com/maps?q=" &amp; SUBSTITUTE(L53, ",", ".") &amp; "," &amp; SUBSTITUTE(K53, ",", "."),"Ver en mapa")</f>
        <v>Ver en mapa</v>
      </c>
    </row>
    <row r="54" spans="1:31" ht="15" customHeight="1">
      <c r="A54" s="2">
        <v>52</v>
      </c>
      <c r="B54" s="5">
        <v>45918</v>
      </c>
      <c r="F54" s="2" t="s">
        <v>22</v>
      </c>
      <c r="G54" s="2" t="s">
        <v>178</v>
      </c>
      <c r="H54" s="2" t="s">
        <v>179</v>
      </c>
      <c r="I54" s="2" t="s">
        <v>25</v>
      </c>
      <c r="J54" s="2" t="s">
        <v>171</v>
      </c>
      <c r="K54" s="10">
        <v>-74.028462159460602</v>
      </c>
      <c r="L54" s="7">
        <v>4.7378113003158102</v>
      </c>
      <c r="M54" s="2" t="s">
        <v>180</v>
      </c>
      <c r="N54" s="2" t="s">
        <v>40</v>
      </c>
      <c r="O54" s="2"/>
      <c r="P54" s="2"/>
      <c r="Q54" s="2"/>
      <c r="R54" s="2"/>
      <c r="S54" s="2"/>
      <c r="T54" s="2"/>
      <c r="U54" s="2"/>
      <c r="V54" s="2"/>
      <c r="W54" s="2"/>
      <c r="X54" s="2"/>
      <c r="Y54" s="2"/>
      <c r="Z54" s="2"/>
      <c r="AA54" s="2"/>
      <c r="AB54" s="2"/>
      <c r="AC54" s="2"/>
      <c r="AD54" s="2">
        <f>COUNTA(M54,O54,R54,U54,X54,AA54)</f>
        <v>1</v>
      </c>
      <c r="AE54" s="8" t="str">
        <f>+HYPERLINK("https://www.google.com/maps?q=" &amp; SUBSTITUTE(L54, ",", ".") &amp; "," &amp; SUBSTITUTE(K54, ",", "."),"Ver en mapa")</f>
        <v>Ver en mapa</v>
      </c>
    </row>
    <row r="55" spans="1:31" ht="15" customHeight="1">
      <c r="A55" s="2">
        <v>53</v>
      </c>
      <c r="B55" s="5">
        <v>45918</v>
      </c>
      <c r="F55" s="2" t="s">
        <v>181</v>
      </c>
      <c r="G55" s="2" t="s">
        <v>171</v>
      </c>
      <c r="H55" s="2" t="s">
        <v>182</v>
      </c>
      <c r="I55" s="2" t="s">
        <v>25</v>
      </c>
      <c r="J55" s="2" t="s">
        <v>171</v>
      </c>
      <c r="K55" s="10">
        <v>-74.802671081980094</v>
      </c>
      <c r="L55" s="7">
        <v>4.3091642803196102</v>
      </c>
      <c r="M55" s="2" t="s">
        <v>183</v>
      </c>
      <c r="N55" s="2" t="s">
        <v>40</v>
      </c>
      <c r="O55" s="2"/>
      <c r="P55" s="2"/>
      <c r="Q55" s="2"/>
      <c r="R55" s="2"/>
      <c r="S55" s="2"/>
      <c r="T55" s="2"/>
      <c r="U55" s="2"/>
      <c r="V55" s="2"/>
      <c r="W55" s="2"/>
      <c r="X55" s="2"/>
      <c r="Y55" s="2"/>
      <c r="Z55" s="2"/>
      <c r="AA55" s="2"/>
      <c r="AB55" s="2"/>
      <c r="AC55" s="2"/>
      <c r="AD55" s="2">
        <f>COUNTA(M55,O55,R55,U55,X55,AA55)</f>
        <v>1</v>
      </c>
      <c r="AE55" s="8" t="str">
        <f>+HYPERLINK("https://www.google.com/maps?q=" &amp; SUBSTITUTE(L55, ",", ".") &amp; "," &amp; SUBSTITUTE(K55, ",", "."),"Ver en mapa")</f>
        <v>Ver en mapa</v>
      </c>
    </row>
    <row r="56" spans="1:31" ht="15" customHeight="1">
      <c r="A56" s="2">
        <v>54</v>
      </c>
      <c r="B56" s="5">
        <v>45919</v>
      </c>
      <c r="F56" s="2" t="s">
        <v>22</v>
      </c>
      <c r="G56" s="2" t="s">
        <v>54</v>
      </c>
      <c r="H56" s="2" t="s">
        <v>184</v>
      </c>
      <c r="I56" s="2" t="s">
        <v>25</v>
      </c>
      <c r="J56" s="2" t="s">
        <v>123</v>
      </c>
      <c r="K56" s="10">
        <v>-74.066646000000006</v>
      </c>
      <c r="L56" s="10">
        <v>4.6309502</v>
      </c>
      <c r="M56" s="2" t="s">
        <v>185</v>
      </c>
      <c r="N56" s="2" t="s">
        <v>40</v>
      </c>
      <c r="O56" s="2" t="s">
        <v>186</v>
      </c>
      <c r="P56" s="2" t="s">
        <v>40</v>
      </c>
      <c r="Q56" s="2"/>
      <c r="R56" s="2" t="s">
        <v>187</v>
      </c>
      <c r="S56" s="2" t="s">
        <v>40</v>
      </c>
      <c r="T56" s="2"/>
      <c r="U56" s="2"/>
      <c r="V56" s="2"/>
      <c r="W56" s="2"/>
      <c r="X56" s="2"/>
      <c r="Y56" s="2"/>
      <c r="Z56" s="2"/>
      <c r="AA56" s="2"/>
      <c r="AB56" s="2"/>
      <c r="AC56" s="2"/>
      <c r="AD56" s="2"/>
      <c r="AE56" s="8"/>
    </row>
    <row r="57" spans="1:31" ht="15" customHeight="1">
      <c r="A57" s="2">
        <v>55</v>
      </c>
      <c r="B57" s="5">
        <v>45922</v>
      </c>
      <c r="F57" s="2" t="s">
        <v>22</v>
      </c>
      <c r="G57" s="2" t="s">
        <v>54</v>
      </c>
      <c r="H57" s="2" t="s">
        <v>188</v>
      </c>
      <c r="I57" s="2" t="s">
        <v>25</v>
      </c>
      <c r="J57" s="2" t="s">
        <v>123</v>
      </c>
      <c r="K57" s="10">
        <v>-74.067554048211804</v>
      </c>
      <c r="L57" s="18">
        <v>4.6331998237529302</v>
      </c>
      <c r="M57" s="2" t="s">
        <v>186</v>
      </c>
      <c r="N57" s="2" t="s">
        <v>40</v>
      </c>
      <c r="O57" s="2" t="s">
        <v>189</v>
      </c>
      <c r="P57" s="2" t="s">
        <v>40</v>
      </c>
      <c r="Q57" s="2"/>
      <c r="R57" s="2"/>
      <c r="S57" s="2"/>
      <c r="T57" s="2"/>
      <c r="U57" s="2"/>
      <c r="V57" s="2"/>
      <c r="W57" s="2"/>
      <c r="X57" s="2"/>
      <c r="Y57" s="2"/>
      <c r="Z57" s="2"/>
      <c r="AA57" s="2"/>
      <c r="AB57" s="2"/>
      <c r="AC57" s="2"/>
      <c r="AD57" s="2">
        <f t="shared" ref="AD57:AD66" si="5">COUNTA(M57,O57,R57,U57,X57,AA57)</f>
        <v>2</v>
      </c>
      <c r="AE57" s="8" t="str">
        <f t="shared" ref="AE57:AE66" si="6">+HYPERLINK("https://www.google.com/maps?q=" &amp; SUBSTITUTE(L57, ",", ".") &amp; "," &amp; SUBSTITUTE(K57, ",", "."),"Ver en mapa")</f>
        <v>Ver en mapa</v>
      </c>
    </row>
    <row r="58" spans="1:31" ht="15" customHeight="1">
      <c r="A58" s="2">
        <v>56</v>
      </c>
      <c r="B58" s="5">
        <v>45922</v>
      </c>
      <c r="F58" s="2" t="s">
        <v>22</v>
      </c>
      <c r="G58" s="2" t="s">
        <v>190</v>
      </c>
      <c r="H58" s="2" t="s">
        <v>191</v>
      </c>
      <c r="I58" s="2" t="s">
        <v>25</v>
      </c>
      <c r="J58" s="2" t="s">
        <v>123</v>
      </c>
      <c r="K58" s="10">
        <v>-74.028577341073003</v>
      </c>
      <c r="L58" s="7">
        <v>4.7041667308630002</v>
      </c>
      <c r="M58" s="2" t="s">
        <v>192</v>
      </c>
      <c r="N58" s="2" t="s">
        <v>40</v>
      </c>
      <c r="O58" s="2"/>
      <c r="P58" s="2"/>
      <c r="Q58" s="2"/>
      <c r="R58" s="2"/>
      <c r="S58" s="2"/>
      <c r="T58" s="2"/>
      <c r="U58" s="2"/>
      <c r="V58" s="2"/>
      <c r="W58" s="2"/>
      <c r="X58" s="2"/>
      <c r="Y58" s="2"/>
      <c r="Z58" s="2"/>
      <c r="AA58" s="2"/>
      <c r="AB58" s="2"/>
      <c r="AC58" s="2"/>
      <c r="AD58" s="2">
        <f t="shared" si="5"/>
        <v>1</v>
      </c>
      <c r="AE58" s="8" t="str">
        <f t="shared" si="6"/>
        <v>Ver en mapa</v>
      </c>
    </row>
    <row r="59" spans="1:31" ht="15" customHeight="1">
      <c r="A59" s="2">
        <v>57</v>
      </c>
      <c r="B59" s="5">
        <v>45931</v>
      </c>
      <c r="F59" s="2" t="s">
        <v>22</v>
      </c>
      <c r="G59" s="2" t="s">
        <v>72</v>
      </c>
      <c r="H59" s="2" t="s">
        <v>193</v>
      </c>
      <c r="I59" s="2" t="s">
        <v>25</v>
      </c>
      <c r="J59" s="2" t="s">
        <v>38</v>
      </c>
      <c r="K59" s="10">
        <v>-74.092185000000001</v>
      </c>
      <c r="L59" s="7">
        <v>4.6453879999999996</v>
      </c>
      <c r="M59" s="2" t="s">
        <v>166</v>
      </c>
      <c r="N59" s="2" t="s">
        <v>63</v>
      </c>
      <c r="O59" s="2"/>
      <c r="P59" s="2"/>
      <c r="Q59" s="2"/>
      <c r="R59" s="2"/>
      <c r="S59" s="2"/>
      <c r="T59" s="2"/>
      <c r="U59" s="2"/>
      <c r="V59" s="2"/>
      <c r="W59" s="2"/>
      <c r="X59" s="2"/>
      <c r="Y59" s="2"/>
      <c r="Z59" s="2"/>
      <c r="AA59" s="2"/>
      <c r="AB59" s="2"/>
      <c r="AC59" s="2"/>
      <c r="AD59" s="2">
        <f t="shared" si="5"/>
        <v>1</v>
      </c>
      <c r="AE59" s="8" t="str">
        <f t="shared" si="6"/>
        <v>Ver en mapa</v>
      </c>
    </row>
    <row r="60" spans="1:31" ht="15" customHeight="1">
      <c r="A60" s="2">
        <v>58</v>
      </c>
      <c r="B60" s="5">
        <v>45937</v>
      </c>
      <c r="F60" s="2" t="s">
        <v>22</v>
      </c>
      <c r="G60" s="2" t="s">
        <v>137</v>
      </c>
      <c r="H60" s="2" t="s">
        <v>194</v>
      </c>
      <c r="I60" s="2" t="s">
        <v>25</v>
      </c>
      <c r="J60" s="2" t="s">
        <v>80</v>
      </c>
      <c r="K60" s="10">
        <v>-74.1016349711646</v>
      </c>
      <c r="L60" s="7">
        <v>4.5846897188019096</v>
      </c>
      <c r="M60" s="2" t="s">
        <v>195</v>
      </c>
      <c r="N60" s="2" t="s">
        <v>40</v>
      </c>
      <c r="O60" s="2" t="s">
        <v>196</v>
      </c>
      <c r="P60" s="2" t="s">
        <v>40</v>
      </c>
      <c r="Q60" s="2"/>
      <c r="R60" s="2" t="s">
        <v>197</v>
      </c>
      <c r="S60" s="2" t="s">
        <v>40</v>
      </c>
      <c r="T60" s="2"/>
      <c r="U60" s="2"/>
      <c r="V60" s="2"/>
      <c r="W60" s="2"/>
      <c r="X60" s="2"/>
      <c r="Y60" s="2"/>
      <c r="Z60" s="2"/>
      <c r="AA60" s="2"/>
      <c r="AB60" s="2"/>
      <c r="AC60" s="2"/>
      <c r="AD60" s="2">
        <f t="shared" si="5"/>
        <v>3</v>
      </c>
      <c r="AE60" s="8" t="str">
        <f t="shared" si="6"/>
        <v>Ver en mapa</v>
      </c>
    </row>
    <row r="61" spans="1:31" ht="15" customHeight="1">
      <c r="A61" s="2">
        <v>59</v>
      </c>
      <c r="B61" s="5">
        <v>45940</v>
      </c>
      <c r="F61" s="2" t="s">
        <v>22</v>
      </c>
      <c r="G61" s="2" t="s">
        <v>198</v>
      </c>
      <c r="H61" s="2" t="s">
        <v>199</v>
      </c>
      <c r="I61" s="2" t="s">
        <v>25</v>
      </c>
      <c r="J61" s="2" t="s">
        <v>38</v>
      </c>
      <c r="K61" s="10">
        <v>-74.078450000000004</v>
      </c>
      <c r="L61" s="7">
        <v>4.6935659999999997</v>
      </c>
      <c r="M61" s="2" t="s">
        <v>200</v>
      </c>
      <c r="N61" s="2" t="s">
        <v>40</v>
      </c>
      <c r="O61" s="2"/>
      <c r="P61" s="2"/>
      <c r="Q61" s="2"/>
      <c r="R61" s="2"/>
      <c r="S61" s="2"/>
      <c r="T61" s="2"/>
      <c r="U61" s="2"/>
      <c r="V61" s="2"/>
      <c r="W61" s="2"/>
      <c r="X61" s="2"/>
      <c r="Y61" s="2"/>
      <c r="Z61" s="2"/>
      <c r="AA61" s="2"/>
      <c r="AB61" s="2"/>
      <c r="AC61" s="2"/>
      <c r="AD61" s="2">
        <f t="shared" si="5"/>
        <v>1</v>
      </c>
      <c r="AE61" s="8" t="str">
        <f t="shared" si="6"/>
        <v>Ver en mapa</v>
      </c>
    </row>
    <row r="62" spans="1:31" ht="15" customHeight="1">
      <c r="A62" s="2">
        <v>60</v>
      </c>
      <c r="B62" s="5">
        <v>45940</v>
      </c>
      <c r="F62" s="2" t="s">
        <v>22</v>
      </c>
      <c r="G62" s="2" t="s">
        <v>198</v>
      </c>
      <c r="H62" s="2" t="s">
        <v>201</v>
      </c>
      <c r="I62" s="2" t="s">
        <v>25</v>
      </c>
      <c r="J62" s="2" t="s">
        <v>38</v>
      </c>
      <c r="K62" s="10">
        <v>-74.078927300000004</v>
      </c>
      <c r="L62" s="7">
        <v>4.7001274999999998</v>
      </c>
      <c r="M62" s="2" t="s">
        <v>202</v>
      </c>
      <c r="N62" s="2" t="s">
        <v>40</v>
      </c>
      <c r="O62" s="2"/>
      <c r="P62" s="2"/>
      <c r="Q62" s="2"/>
      <c r="R62" s="2"/>
      <c r="S62" s="2"/>
      <c r="T62" s="2"/>
      <c r="U62" s="2"/>
      <c r="V62" s="2"/>
      <c r="W62" s="2"/>
      <c r="X62" s="2"/>
      <c r="Y62" s="2"/>
      <c r="Z62" s="2"/>
      <c r="AA62" s="2"/>
      <c r="AB62" s="2"/>
      <c r="AC62" s="2"/>
      <c r="AD62" s="2">
        <f t="shared" si="5"/>
        <v>1</v>
      </c>
      <c r="AE62" s="8" t="str">
        <f t="shared" si="6"/>
        <v>Ver en mapa</v>
      </c>
    </row>
    <row r="63" spans="1:31" ht="15" customHeight="1">
      <c r="A63" s="2">
        <v>61</v>
      </c>
      <c r="B63" s="5">
        <v>45944</v>
      </c>
      <c r="F63" s="2" t="s">
        <v>22</v>
      </c>
      <c r="G63" s="2" t="s">
        <v>23</v>
      </c>
      <c r="H63" s="2" t="s">
        <v>203</v>
      </c>
      <c r="I63" s="2" t="s">
        <v>25</v>
      </c>
      <c r="J63" s="2" t="s">
        <v>123</v>
      </c>
      <c r="K63" s="10">
        <v>-74.038925687311306</v>
      </c>
      <c r="L63" s="7">
        <v>4.7204188715880404</v>
      </c>
      <c r="M63" s="2" t="s">
        <v>204</v>
      </c>
      <c r="N63" s="2" t="s">
        <v>63</v>
      </c>
      <c r="O63" s="2"/>
      <c r="P63" s="2"/>
      <c r="Q63" s="2"/>
      <c r="R63" s="2"/>
      <c r="S63" s="2"/>
      <c r="T63" s="2"/>
      <c r="U63" s="2"/>
      <c r="V63" s="2"/>
      <c r="W63" s="2"/>
      <c r="X63" s="2"/>
      <c r="Y63" s="2"/>
      <c r="Z63" s="2"/>
      <c r="AA63" s="2"/>
      <c r="AB63" s="2"/>
      <c r="AC63" s="2"/>
      <c r="AD63" s="2">
        <f t="shared" si="5"/>
        <v>1</v>
      </c>
      <c r="AE63" s="8" t="str">
        <f t="shared" si="6"/>
        <v>Ver en mapa</v>
      </c>
    </row>
    <row r="64" spans="1:31" ht="15" customHeight="1">
      <c r="A64" s="2">
        <v>62</v>
      </c>
      <c r="B64" s="5">
        <v>45944</v>
      </c>
      <c r="F64" s="2" t="s">
        <v>22</v>
      </c>
      <c r="G64" s="2" t="s">
        <v>205</v>
      </c>
      <c r="H64" s="2" t="s">
        <v>206</v>
      </c>
      <c r="I64" s="2" t="s">
        <v>25</v>
      </c>
      <c r="J64" s="2" t="s">
        <v>171</v>
      </c>
      <c r="K64" s="10">
        <v>-74.042071999963895</v>
      </c>
      <c r="L64" s="7">
        <v>4.68152259474095</v>
      </c>
      <c r="M64" s="2" t="s">
        <v>113</v>
      </c>
      <c r="N64" s="2" t="s">
        <v>40</v>
      </c>
      <c r="O64" s="2" t="s">
        <v>35</v>
      </c>
      <c r="P64" s="2" t="s">
        <v>63</v>
      </c>
      <c r="Q64" s="2"/>
      <c r="R64" s="2" t="s">
        <v>34</v>
      </c>
      <c r="S64" s="2" t="s">
        <v>63</v>
      </c>
      <c r="T64" s="2"/>
      <c r="U64" s="2"/>
      <c r="V64" s="2"/>
      <c r="W64" s="2"/>
      <c r="X64" s="2"/>
      <c r="Y64" s="2"/>
      <c r="Z64" s="2"/>
      <c r="AA64" s="2"/>
      <c r="AB64" s="2"/>
      <c r="AC64" s="2"/>
      <c r="AD64" s="2">
        <f t="shared" si="5"/>
        <v>3</v>
      </c>
      <c r="AE64" s="8" t="str">
        <f t="shared" si="6"/>
        <v>Ver en mapa</v>
      </c>
    </row>
    <row r="65" spans="1:31" ht="15" customHeight="1">
      <c r="A65" s="2">
        <v>63</v>
      </c>
      <c r="B65" s="5">
        <v>45944</v>
      </c>
      <c r="F65" s="2" t="s">
        <v>22</v>
      </c>
      <c r="G65" s="2" t="s">
        <v>84</v>
      </c>
      <c r="H65" s="2" t="s">
        <v>207</v>
      </c>
      <c r="I65" s="2" t="s">
        <v>25</v>
      </c>
      <c r="J65" s="2" t="s">
        <v>38</v>
      </c>
      <c r="K65" s="10">
        <v>-74.116260418969404</v>
      </c>
      <c r="L65" s="7">
        <v>4.6277493735241704</v>
      </c>
      <c r="M65" s="2" t="s">
        <v>86</v>
      </c>
      <c r="N65" s="2" t="s">
        <v>28</v>
      </c>
      <c r="O65" s="2"/>
      <c r="P65" s="2"/>
      <c r="Q65" s="2"/>
      <c r="R65" s="2"/>
      <c r="S65" s="2"/>
      <c r="T65" s="2"/>
      <c r="U65" s="2"/>
      <c r="V65" s="2"/>
      <c r="W65" s="2"/>
      <c r="X65" s="2"/>
      <c r="Y65" s="2"/>
      <c r="Z65" s="2"/>
      <c r="AA65" s="2"/>
      <c r="AB65" s="2"/>
      <c r="AC65" s="2"/>
      <c r="AD65" s="2">
        <f t="shared" si="5"/>
        <v>1</v>
      </c>
      <c r="AE65" s="8" t="str">
        <f t="shared" si="6"/>
        <v>Ver en mapa</v>
      </c>
    </row>
    <row r="66" spans="1:31" ht="15" customHeight="1">
      <c r="A66" s="2">
        <v>64</v>
      </c>
      <c r="B66" s="5">
        <v>45944</v>
      </c>
      <c r="F66" s="2" t="s">
        <v>22</v>
      </c>
      <c r="G66" s="2" t="s">
        <v>208</v>
      </c>
      <c r="H66" s="2" t="s">
        <v>209</v>
      </c>
      <c r="I66" s="2" t="s">
        <v>25</v>
      </c>
      <c r="J66" s="2" t="s">
        <v>38</v>
      </c>
      <c r="K66" s="10">
        <v>-74.072707097299201</v>
      </c>
      <c r="L66" s="7">
        <v>4.71480844134945</v>
      </c>
      <c r="M66" s="2" t="s">
        <v>210</v>
      </c>
      <c r="N66" s="2" t="s">
        <v>63</v>
      </c>
      <c r="O66" s="2" t="s">
        <v>211</v>
      </c>
      <c r="P66" s="2" t="s">
        <v>40</v>
      </c>
      <c r="Q66" s="2"/>
      <c r="R66" s="2"/>
      <c r="S66" s="2"/>
      <c r="T66" s="2"/>
      <c r="U66" s="2"/>
      <c r="V66" s="2"/>
      <c r="W66" s="2"/>
      <c r="X66" s="2"/>
      <c r="Y66" s="2"/>
      <c r="Z66" s="2"/>
      <c r="AA66" s="2"/>
      <c r="AB66" s="2"/>
      <c r="AC66" s="2"/>
      <c r="AD66" s="2">
        <f t="shared" si="5"/>
        <v>2</v>
      </c>
      <c r="AE66" s="8" t="str">
        <f t="shared" si="6"/>
        <v>Ver en mapa</v>
      </c>
    </row>
    <row r="67" spans="1:31" ht="15" customHeight="1">
      <c r="A67" s="2">
        <v>65</v>
      </c>
      <c r="B67" s="5">
        <v>45952</v>
      </c>
      <c r="F67" s="2" t="s">
        <v>22</v>
      </c>
      <c r="G67" s="2" t="s">
        <v>54</v>
      </c>
      <c r="H67" s="2" t="s">
        <v>212</v>
      </c>
      <c r="I67" s="2" t="s">
        <v>25</v>
      </c>
      <c r="J67" s="2" t="s">
        <v>56</v>
      </c>
      <c r="K67" s="10">
        <v>-74.063884999999999</v>
      </c>
      <c r="L67" s="7">
        <v>4.6477469999999999</v>
      </c>
      <c r="M67" s="2" t="s">
        <v>57</v>
      </c>
      <c r="N67" s="2" t="s">
        <v>63</v>
      </c>
      <c r="O67" s="2" t="s">
        <v>213</v>
      </c>
      <c r="P67" s="2" t="s">
        <v>63</v>
      </c>
      <c r="Q67" s="2"/>
      <c r="R67" s="2" t="s">
        <v>58</v>
      </c>
      <c r="S67" s="2" t="s">
        <v>40</v>
      </c>
      <c r="T67" s="2"/>
      <c r="U67" s="2"/>
      <c r="V67" s="2"/>
      <c r="W67" s="2"/>
      <c r="X67" s="2"/>
      <c r="Y67" s="2"/>
      <c r="Z67" s="2"/>
      <c r="AA67" s="2"/>
      <c r="AB67" s="2"/>
      <c r="AC67" s="2"/>
      <c r="AD67" s="2"/>
      <c r="AE67" s="8"/>
    </row>
    <row r="68" spans="1:31" ht="15" customHeight="1">
      <c r="A68" s="2">
        <v>66</v>
      </c>
      <c r="B68" s="5">
        <v>45953</v>
      </c>
      <c r="F68" s="2" t="s">
        <v>22</v>
      </c>
      <c r="G68" s="2" t="s">
        <v>31</v>
      </c>
      <c r="H68" s="2" t="s">
        <v>69</v>
      </c>
      <c r="I68" s="2" t="s">
        <v>25</v>
      </c>
      <c r="J68" s="2" t="s">
        <v>56</v>
      </c>
      <c r="K68" s="7">
        <v>-74.062535800000006</v>
      </c>
      <c r="L68" s="10">
        <v>4.6612204999999998</v>
      </c>
      <c r="M68" s="2" t="s">
        <v>61</v>
      </c>
      <c r="N68" s="2" t="s">
        <v>63</v>
      </c>
      <c r="O68" s="2" t="s">
        <v>70</v>
      </c>
      <c r="P68" s="2" t="s">
        <v>28</v>
      </c>
      <c r="Q68" s="2"/>
      <c r="R68" s="2"/>
      <c r="S68" s="2"/>
      <c r="T68" s="2"/>
      <c r="U68" s="2"/>
      <c r="V68" s="2"/>
      <c r="W68" s="2"/>
      <c r="X68" s="2"/>
      <c r="Y68" s="2"/>
      <c r="Z68" s="2"/>
      <c r="AA68" s="2"/>
      <c r="AB68" s="2"/>
      <c r="AC68" s="2"/>
      <c r="AD68" s="2">
        <f t="shared" ref="AD68:AD76" si="7">COUNTA(M68,O68,R68,U68,X68,AA68)</f>
        <v>2</v>
      </c>
      <c r="AE68" s="8" t="str">
        <f>+HYPERLINK("https://www.google.com/maps?q=" &amp; SUBSTITUTE(K68, ",", ".") &amp; "," &amp; SUBSTITUTE(L68, ",", "."),"Ver en mapa")</f>
        <v>Ver en mapa</v>
      </c>
    </row>
    <row r="69" spans="1:31" ht="15" customHeight="1">
      <c r="A69" s="2">
        <v>67</v>
      </c>
      <c r="B69" s="5">
        <v>45953</v>
      </c>
      <c r="F69" s="2" t="s">
        <v>22</v>
      </c>
      <c r="G69" s="2" t="s">
        <v>208</v>
      </c>
      <c r="H69" s="2" t="s">
        <v>214</v>
      </c>
      <c r="I69" s="2" t="s">
        <v>25</v>
      </c>
      <c r="J69" s="2" t="s">
        <v>38</v>
      </c>
      <c r="K69" s="10">
        <v>-74.072987900000001</v>
      </c>
      <c r="L69" s="7">
        <v>4.7159873000000001</v>
      </c>
      <c r="M69" s="2" t="s">
        <v>210</v>
      </c>
      <c r="N69" s="2" t="s">
        <v>28</v>
      </c>
      <c r="O69" s="2" t="s">
        <v>211</v>
      </c>
      <c r="P69" s="2" t="s">
        <v>40</v>
      </c>
      <c r="Q69" s="2"/>
      <c r="R69" s="2"/>
      <c r="S69" s="2"/>
      <c r="T69" s="2"/>
      <c r="U69" s="2"/>
      <c r="V69" s="2"/>
      <c r="W69" s="2"/>
      <c r="X69" s="2"/>
      <c r="Y69" s="2"/>
      <c r="Z69" s="2"/>
      <c r="AA69" s="2"/>
      <c r="AB69" s="2"/>
      <c r="AC69" s="2"/>
      <c r="AD69" s="2">
        <f t="shared" si="7"/>
        <v>2</v>
      </c>
      <c r="AE69" s="8" t="e">
        <f>+HYPERLINK("https://www.google.com/maps?q=" &amp; SUBSTITUTE(L69, ",", ".") &amp; "," &amp; SUBSTITUTE(#REF!, ",", "."),"Ver en mapa")</f>
        <v>#REF!</v>
      </c>
    </row>
    <row r="70" spans="1:31" ht="15" customHeight="1">
      <c r="A70" s="2">
        <v>68</v>
      </c>
      <c r="B70" s="5">
        <v>45953</v>
      </c>
      <c r="F70" s="2" t="s">
        <v>22</v>
      </c>
      <c r="G70" s="2" t="s">
        <v>90</v>
      </c>
      <c r="H70" s="2" t="s">
        <v>215</v>
      </c>
      <c r="I70" s="2" t="s">
        <v>25</v>
      </c>
      <c r="J70" s="2" t="s">
        <v>38</v>
      </c>
      <c r="K70" s="10">
        <v>-74.0694811264039</v>
      </c>
      <c r="L70" s="7">
        <v>4.5957139671130003</v>
      </c>
      <c r="M70" s="2" t="s">
        <v>216</v>
      </c>
      <c r="N70" s="2" t="s">
        <v>63</v>
      </c>
      <c r="O70" s="2" t="s">
        <v>186</v>
      </c>
      <c r="P70" s="2" t="s">
        <v>40</v>
      </c>
      <c r="Q70" s="2"/>
      <c r="R70" s="2"/>
      <c r="S70" s="2"/>
      <c r="T70" s="2"/>
      <c r="U70" s="2"/>
      <c r="V70" s="2"/>
      <c r="W70" s="2"/>
      <c r="X70" s="2"/>
      <c r="Y70" s="2"/>
      <c r="Z70" s="2"/>
      <c r="AA70" s="2"/>
      <c r="AB70" s="2"/>
      <c r="AC70" s="2"/>
      <c r="AD70" s="2">
        <f t="shared" si="7"/>
        <v>2</v>
      </c>
      <c r="AE70" s="8" t="str">
        <f t="shared" ref="AE70:AE76" si="8">+HYPERLINK("https://www.google.com/maps?q=" &amp; SUBSTITUTE(L70, ",", ".") &amp; "," &amp; SUBSTITUTE(K70, ",", "."),"Ver en mapa")</f>
        <v>Ver en mapa</v>
      </c>
    </row>
    <row r="71" spans="1:31" ht="15" customHeight="1">
      <c r="A71" s="2">
        <v>69</v>
      </c>
      <c r="B71" s="5">
        <v>45967</v>
      </c>
      <c r="F71" s="2" t="s">
        <v>22</v>
      </c>
      <c r="G71" s="2" t="s">
        <v>217</v>
      </c>
      <c r="H71" s="2" t="s">
        <v>218</v>
      </c>
      <c r="I71" s="2" t="s">
        <v>25</v>
      </c>
      <c r="J71" s="2" t="s">
        <v>38</v>
      </c>
      <c r="K71" s="10">
        <v>-74.071756300000004</v>
      </c>
      <c r="L71" s="7">
        <v>4.6177425000000003</v>
      </c>
      <c r="M71" s="2" t="s">
        <v>159</v>
      </c>
      <c r="N71" s="2" t="s">
        <v>40</v>
      </c>
      <c r="O71" s="2"/>
      <c r="P71" s="2" t="s">
        <v>40</v>
      </c>
      <c r="Q71" s="2"/>
      <c r="R71" s="2"/>
      <c r="S71" s="2"/>
      <c r="T71" s="2"/>
      <c r="U71" s="2"/>
      <c r="V71" s="2"/>
      <c r="W71" s="2"/>
      <c r="X71" s="2"/>
      <c r="Y71" s="2"/>
      <c r="Z71" s="2"/>
      <c r="AA71" s="2"/>
      <c r="AB71" s="2"/>
      <c r="AC71" s="2"/>
      <c r="AD71" s="2">
        <f t="shared" si="7"/>
        <v>1</v>
      </c>
      <c r="AE71" s="8" t="str">
        <f t="shared" si="8"/>
        <v>Ver en mapa</v>
      </c>
    </row>
    <row r="72" spans="1:31" ht="15" customHeight="1">
      <c r="A72" s="2">
        <v>70</v>
      </c>
      <c r="B72" s="5">
        <v>45968</v>
      </c>
      <c r="F72" s="2" t="s">
        <v>22</v>
      </c>
      <c r="G72" s="2" t="s">
        <v>23</v>
      </c>
      <c r="H72" s="2" t="s">
        <v>219</v>
      </c>
      <c r="I72" s="2" t="s">
        <v>25</v>
      </c>
      <c r="J72" s="2" t="s">
        <v>123</v>
      </c>
      <c r="K72" s="10">
        <v>-74.032713900000005</v>
      </c>
      <c r="L72" s="7">
        <v>4.7256102000000002</v>
      </c>
      <c r="M72" s="2" t="s">
        <v>220</v>
      </c>
      <c r="N72" s="2" t="s">
        <v>63</v>
      </c>
      <c r="O72" s="2"/>
      <c r="P72" s="2"/>
      <c r="Q72" s="2"/>
      <c r="R72" s="2"/>
      <c r="S72" s="2"/>
      <c r="T72" s="2"/>
      <c r="U72" s="2"/>
      <c r="V72" s="2"/>
      <c r="W72" s="2"/>
      <c r="X72" s="2"/>
      <c r="Y72" s="2"/>
      <c r="Z72" s="2"/>
      <c r="AA72" s="2"/>
      <c r="AB72" s="2"/>
      <c r="AC72" s="2"/>
      <c r="AD72" s="2">
        <f t="shared" si="7"/>
        <v>1</v>
      </c>
      <c r="AE72" s="8" t="str">
        <f t="shared" si="8"/>
        <v>Ver en mapa</v>
      </c>
    </row>
    <row r="73" spans="1:31" ht="15" customHeight="1">
      <c r="A73" s="2">
        <v>71</v>
      </c>
      <c r="B73" s="5">
        <v>45968</v>
      </c>
      <c r="F73" s="2" t="s">
        <v>22</v>
      </c>
      <c r="G73" s="2" t="s">
        <v>31</v>
      </c>
      <c r="H73" s="2" t="s">
        <v>221</v>
      </c>
      <c r="I73" s="2" t="s">
        <v>25</v>
      </c>
      <c r="J73" s="2" t="s">
        <v>56</v>
      </c>
      <c r="K73" s="10">
        <v>-74.063068200000004</v>
      </c>
      <c r="L73" s="7">
        <v>4.6792704000000001</v>
      </c>
      <c r="M73" s="2" t="s">
        <v>64</v>
      </c>
      <c r="N73" s="2" t="s">
        <v>63</v>
      </c>
      <c r="O73" s="2" t="s">
        <v>222</v>
      </c>
      <c r="P73" s="2" t="s">
        <v>40</v>
      </c>
      <c r="Q73" s="2"/>
      <c r="R73" s="2" t="s">
        <v>223</v>
      </c>
      <c r="S73" s="2" t="s">
        <v>40</v>
      </c>
      <c r="T73" s="2"/>
      <c r="U73" s="2"/>
      <c r="V73" s="2"/>
      <c r="W73" s="2"/>
      <c r="X73" s="2"/>
      <c r="Y73" s="2"/>
      <c r="Z73" s="2"/>
      <c r="AA73" s="2"/>
      <c r="AB73" s="2"/>
      <c r="AC73" s="2"/>
      <c r="AD73" s="2">
        <f t="shared" si="7"/>
        <v>3</v>
      </c>
      <c r="AE73" s="8" t="str">
        <f t="shared" si="8"/>
        <v>Ver en mapa</v>
      </c>
    </row>
    <row r="74" spans="1:31" ht="15" customHeight="1">
      <c r="A74" s="2">
        <v>72</v>
      </c>
      <c r="B74" s="5">
        <v>45972</v>
      </c>
      <c r="F74" s="2" t="s">
        <v>22</v>
      </c>
      <c r="G74" s="2" t="s">
        <v>90</v>
      </c>
      <c r="H74" s="2" t="s">
        <v>224</v>
      </c>
      <c r="I74" s="2" t="s">
        <v>25</v>
      </c>
      <c r="J74" s="2" t="s">
        <v>38</v>
      </c>
      <c r="K74" s="10">
        <v>-74.075977199999997</v>
      </c>
      <c r="L74" s="7">
        <v>4.5950901000000002</v>
      </c>
      <c r="M74" s="2" t="s">
        <v>225</v>
      </c>
      <c r="N74" s="2" t="s">
        <v>63</v>
      </c>
      <c r="O74" s="2" t="s">
        <v>216</v>
      </c>
      <c r="P74" s="2" t="s">
        <v>63</v>
      </c>
      <c r="Q74" s="2"/>
      <c r="R74" s="2" t="s">
        <v>226</v>
      </c>
      <c r="S74" s="2" t="s">
        <v>28</v>
      </c>
      <c r="T74" s="2"/>
      <c r="U74" s="2"/>
      <c r="V74" s="2"/>
      <c r="W74" s="2"/>
      <c r="X74" s="2"/>
      <c r="Y74" s="2"/>
      <c r="Z74" s="2"/>
      <c r="AA74" s="2"/>
      <c r="AB74" s="2"/>
      <c r="AC74" s="2"/>
      <c r="AD74" s="2">
        <f t="shared" si="7"/>
        <v>3</v>
      </c>
      <c r="AE74" s="8" t="str">
        <f t="shared" si="8"/>
        <v>Ver en mapa</v>
      </c>
    </row>
    <row r="75" spans="1:31" ht="15" customHeight="1">
      <c r="A75" s="2">
        <v>73</v>
      </c>
      <c r="B75" s="5">
        <v>45993</v>
      </c>
      <c r="F75" s="2" t="s">
        <v>22</v>
      </c>
      <c r="G75" s="2" t="s">
        <v>227</v>
      </c>
      <c r="H75" s="2" t="s">
        <v>228</v>
      </c>
      <c r="I75" s="2" t="s">
        <v>25</v>
      </c>
      <c r="J75" s="2" t="s">
        <v>80</v>
      </c>
      <c r="K75" s="10">
        <v>-74.148494700000001</v>
      </c>
      <c r="L75" s="7">
        <v>4.6241700000000003</v>
      </c>
      <c r="M75" s="2" t="s">
        <v>229</v>
      </c>
      <c r="N75" s="2" t="s">
        <v>40</v>
      </c>
      <c r="O75" s="2" t="s">
        <v>230</v>
      </c>
      <c r="P75" s="2" t="s">
        <v>28</v>
      </c>
      <c r="Q75" s="2"/>
      <c r="R75" s="2" t="s">
        <v>231</v>
      </c>
      <c r="S75" s="2" t="s">
        <v>28</v>
      </c>
      <c r="T75" s="2"/>
      <c r="U75" s="2"/>
      <c r="V75" s="2"/>
      <c r="W75" s="2"/>
      <c r="X75" s="2"/>
      <c r="Y75" s="2"/>
      <c r="Z75" s="2"/>
      <c r="AA75" s="2"/>
      <c r="AB75" s="2"/>
      <c r="AC75" s="2"/>
      <c r="AD75" s="2">
        <f t="shared" si="7"/>
        <v>3</v>
      </c>
      <c r="AE75" s="8" t="str">
        <f t="shared" si="8"/>
        <v>Ver en mapa</v>
      </c>
    </row>
    <row r="76" spans="1:31" ht="15" customHeight="1">
      <c r="A76" s="2">
        <v>41</v>
      </c>
      <c r="B76" s="5">
        <v>45904</v>
      </c>
      <c r="F76" s="2" t="s">
        <v>22</v>
      </c>
      <c r="G76" s="17" t="s">
        <v>36</v>
      </c>
      <c r="H76" s="2" t="s">
        <v>232</v>
      </c>
      <c r="I76" s="2" t="s">
        <v>25</v>
      </c>
      <c r="J76" s="2" t="s">
        <v>38</v>
      </c>
      <c r="K76" s="10">
        <v>-74.073599494644995</v>
      </c>
      <c r="L76" s="7">
        <v>4.6429731265935299</v>
      </c>
      <c r="M76" s="2" t="s">
        <v>141</v>
      </c>
      <c r="N76" s="2" t="s">
        <v>40</v>
      </c>
      <c r="O76" s="2" t="s">
        <v>142</v>
      </c>
      <c r="P76" s="2" t="s">
        <v>40</v>
      </c>
      <c r="Q76" s="2"/>
      <c r="R76" s="2" t="s">
        <v>107</v>
      </c>
      <c r="S76" s="2" t="s">
        <v>40</v>
      </c>
      <c r="T76" s="2"/>
      <c r="U76" s="2"/>
      <c r="V76" s="2"/>
      <c r="W76" s="2"/>
      <c r="X76" s="2"/>
      <c r="Y76" s="2"/>
      <c r="Z76" s="2"/>
      <c r="AA76" s="2"/>
      <c r="AB76" s="2"/>
      <c r="AC76" s="2"/>
      <c r="AD76" s="2">
        <f t="shared" si="7"/>
        <v>3</v>
      </c>
      <c r="AE76" s="8" t="str">
        <f t="shared" si="8"/>
        <v>Ver en mapa</v>
      </c>
    </row>
    <row r="77" spans="1:31" ht="15" customHeight="1">
      <c r="A77" s="2">
        <v>75</v>
      </c>
      <c r="B77" s="5">
        <v>45979</v>
      </c>
      <c r="F77" s="2" t="s">
        <v>22</v>
      </c>
      <c r="G77" s="2" t="s">
        <v>178</v>
      </c>
      <c r="H77" s="2" t="s">
        <v>233</v>
      </c>
      <c r="I77" s="2" t="s">
        <v>25</v>
      </c>
      <c r="J77" s="2" t="s">
        <v>33</v>
      </c>
      <c r="K77" s="10">
        <v>-74.023612099999994</v>
      </c>
      <c r="L77" s="7">
        <v>4.7324352999999997</v>
      </c>
      <c r="M77" s="2" t="s">
        <v>234</v>
      </c>
      <c r="N77" s="2" t="s">
        <v>28</v>
      </c>
      <c r="O77" s="2"/>
      <c r="P77" s="2"/>
      <c r="Q77" s="2"/>
      <c r="R77" s="2"/>
      <c r="S77" s="2"/>
      <c r="T77" s="2"/>
      <c r="U77" s="2"/>
      <c r="V77" s="2"/>
      <c r="W77" s="2"/>
      <c r="X77" s="2"/>
      <c r="Y77" s="2"/>
      <c r="Z77" s="2"/>
      <c r="AA77" s="2"/>
      <c r="AB77" s="2"/>
      <c r="AC77" s="2"/>
      <c r="AD77" s="2">
        <f t="shared" ref="AD77:AD86" si="9">COUNTA(M77,O77,R77,U77,X77,AA77)</f>
        <v>1</v>
      </c>
      <c r="AE77" s="8" t="str">
        <f t="shared" ref="AE77:AE86" si="10">+HYPERLINK("https://www.google.com/maps?q=" &amp; SUBSTITUTE(L77, ",", ".") &amp; "," &amp; SUBSTITUTE(K77, ",", "."),"Ver en mapa")</f>
        <v>Ver en mapa</v>
      </c>
    </row>
    <row r="78" spans="1:31" ht="15" customHeight="1">
      <c r="A78" s="2">
        <v>76</v>
      </c>
      <c r="B78" s="5">
        <v>45980</v>
      </c>
      <c r="F78" s="2" t="s">
        <v>22</v>
      </c>
      <c r="G78" s="2" t="s">
        <v>67</v>
      </c>
      <c r="H78" s="2" t="s">
        <v>235</v>
      </c>
      <c r="I78" s="2" t="s">
        <v>25</v>
      </c>
      <c r="J78" s="2" t="s">
        <v>33</v>
      </c>
      <c r="K78" s="10">
        <v>-74.0448722</v>
      </c>
      <c r="L78" s="7">
        <v>4.6792407000000003</v>
      </c>
      <c r="M78" s="2" t="s">
        <v>83</v>
      </c>
      <c r="N78" s="2" t="s">
        <v>63</v>
      </c>
      <c r="O78" s="2" t="s">
        <v>35</v>
      </c>
      <c r="P78" s="2" t="s">
        <v>63</v>
      </c>
      <c r="Q78" s="2"/>
      <c r="R78" s="2"/>
      <c r="S78" s="2"/>
      <c r="T78" s="2"/>
      <c r="U78" s="2"/>
      <c r="V78" s="2"/>
      <c r="W78" s="2"/>
      <c r="X78" s="2"/>
      <c r="Y78" s="2"/>
      <c r="Z78" s="2"/>
      <c r="AA78" s="2"/>
      <c r="AB78" s="2"/>
      <c r="AC78" s="2"/>
      <c r="AD78" s="2">
        <f t="shared" si="9"/>
        <v>2</v>
      </c>
      <c r="AE78" s="8" t="str">
        <f t="shared" si="10"/>
        <v>Ver en mapa</v>
      </c>
    </row>
    <row r="79" spans="1:31" ht="15" customHeight="1">
      <c r="A79" s="2">
        <v>77</v>
      </c>
      <c r="B79" s="5">
        <v>45980</v>
      </c>
      <c r="F79" s="2" t="s">
        <v>22</v>
      </c>
      <c r="G79" s="2" t="s">
        <v>90</v>
      </c>
      <c r="H79" s="2" t="s">
        <v>236</v>
      </c>
      <c r="I79" s="2" t="s">
        <v>25</v>
      </c>
      <c r="J79" s="2" t="s">
        <v>38</v>
      </c>
      <c r="K79" s="10">
        <v>-74.075382700000006</v>
      </c>
      <c r="L79" s="7">
        <v>4.6005517999999999</v>
      </c>
      <c r="M79" s="2" t="s">
        <v>225</v>
      </c>
      <c r="N79" s="2" t="s">
        <v>63</v>
      </c>
      <c r="O79" s="2"/>
      <c r="P79" s="2"/>
      <c r="Q79" s="2"/>
      <c r="R79" s="2"/>
      <c r="S79" s="2"/>
      <c r="T79" s="2"/>
      <c r="U79" s="2"/>
      <c r="V79" s="2"/>
      <c r="W79" s="2"/>
      <c r="X79" s="2"/>
      <c r="Y79" s="2"/>
      <c r="Z79" s="2"/>
      <c r="AA79" s="2"/>
      <c r="AB79" s="2"/>
      <c r="AC79" s="2"/>
      <c r="AD79" s="2">
        <f t="shared" si="9"/>
        <v>1</v>
      </c>
      <c r="AE79" s="8" t="str">
        <f t="shared" si="10"/>
        <v>Ver en mapa</v>
      </c>
    </row>
    <row r="80" spans="1:31" ht="15" customHeight="1">
      <c r="A80" s="2">
        <v>78</v>
      </c>
      <c r="B80" s="5">
        <v>45985</v>
      </c>
      <c r="F80" s="2" t="s">
        <v>22</v>
      </c>
      <c r="G80" s="2" t="s">
        <v>78</v>
      </c>
      <c r="H80" s="2" t="s">
        <v>237</v>
      </c>
      <c r="I80" s="2" t="s">
        <v>25</v>
      </c>
      <c r="J80" s="2" t="s">
        <v>33</v>
      </c>
      <c r="K80" s="10">
        <v>-74.072100599999999</v>
      </c>
      <c r="L80" s="7">
        <v>4.6032314999999997</v>
      </c>
      <c r="M80" s="2" t="s">
        <v>95</v>
      </c>
      <c r="N80" s="2" t="s">
        <v>63</v>
      </c>
      <c r="O80" s="2" t="s">
        <v>238</v>
      </c>
      <c r="P80" s="2" t="s">
        <v>28</v>
      </c>
      <c r="Q80" s="2"/>
      <c r="R80" s="2"/>
      <c r="S80" s="2"/>
      <c r="T80" s="2"/>
      <c r="U80" s="2"/>
      <c r="V80" s="2"/>
      <c r="W80" s="2"/>
      <c r="X80" s="2"/>
      <c r="Y80" s="2"/>
      <c r="Z80" s="2"/>
      <c r="AA80" s="2"/>
      <c r="AB80" s="2"/>
      <c r="AC80" s="2"/>
      <c r="AD80" s="2">
        <f t="shared" si="9"/>
        <v>2</v>
      </c>
      <c r="AE80" s="8" t="str">
        <f t="shared" si="10"/>
        <v>Ver en mapa</v>
      </c>
    </row>
    <row r="81" spans="1:31" ht="15" customHeight="1">
      <c r="A81" s="2">
        <v>79</v>
      </c>
      <c r="B81" s="5">
        <v>45994</v>
      </c>
      <c r="F81" s="2" t="s">
        <v>22</v>
      </c>
      <c r="G81" s="2" t="s">
        <v>239</v>
      </c>
      <c r="H81" s="2" t="s">
        <v>240</v>
      </c>
      <c r="I81" s="2" t="s">
        <v>25</v>
      </c>
      <c r="J81" s="2" t="s">
        <v>33</v>
      </c>
      <c r="K81" s="10">
        <v>-74.052146899999997</v>
      </c>
      <c r="L81" s="7">
        <v>4.7049374999999998</v>
      </c>
      <c r="M81" s="2" t="s">
        <v>241</v>
      </c>
      <c r="N81" s="2" t="s">
        <v>40</v>
      </c>
      <c r="O81" s="2" t="s">
        <v>242</v>
      </c>
      <c r="P81" s="2" t="s">
        <v>40</v>
      </c>
      <c r="Q81" s="2"/>
      <c r="R81" s="2"/>
      <c r="S81" s="2"/>
      <c r="T81" s="2"/>
      <c r="U81" s="2"/>
      <c r="V81" s="2"/>
      <c r="W81" s="2"/>
      <c r="X81" s="2"/>
      <c r="Y81" s="2"/>
      <c r="Z81" s="2"/>
      <c r="AA81" s="2"/>
      <c r="AB81" s="2"/>
      <c r="AC81" s="2"/>
      <c r="AD81" s="2">
        <f t="shared" si="9"/>
        <v>2</v>
      </c>
      <c r="AE81" s="8" t="str">
        <f t="shared" si="10"/>
        <v>Ver en mapa</v>
      </c>
    </row>
    <row r="82" spans="1:31" ht="15" customHeight="1">
      <c r="A82" s="2">
        <v>80</v>
      </c>
      <c r="B82" s="5">
        <v>45992</v>
      </c>
      <c r="F82" s="2" t="s">
        <v>22</v>
      </c>
      <c r="G82" s="2" t="s">
        <v>243</v>
      </c>
      <c r="H82" s="2" t="s">
        <v>244</v>
      </c>
      <c r="I82" s="2" t="s">
        <v>25</v>
      </c>
      <c r="J82" s="2" t="s">
        <v>33</v>
      </c>
      <c r="K82" s="10">
        <v>-74.061167600000005</v>
      </c>
      <c r="L82" s="7">
        <v>4.6867027999999999</v>
      </c>
      <c r="M82" s="2" t="s">
        <v>245</v>
      </c>
      <c r="N82" s="2" t="s">
        <v>28</v>
      </c>
      <c r="O82" s="2" t="s">
        <v>246</v>
      </c>
      <c r="P82" s="2" t="s">
        <v>28</v>
      </c>
      <c r="Q82" s="2"/>
      <c r="R82" s="2"/>
      <c r="S82" s="2"/>
      <c r="T82" s="2"/>
      <c r="U82" s="2"/>
      <c r="V82" s="2"/>
      <c r="W82" s="2"/>
      <c r="X82" s="2"/>
      <c r="Y82" s="2"/>
      <c r="Z82" s="2"/>
      <c r="AA82" s="2"/>
      <c r="AB82" s="2"/>
      <c r="AC82" s="2"/>
      <c r="AD82" s="2">
        <f t="shared" si="9"/>
        <v>2</v>
      </c>
      <c r="AE82" s="8" t="str">
        <f t="shared" si="10"/>
        <v>Ver en mapa</v>
      </c>
    </row>
    <row r="83" spans="1:31" ht="15" customHeight="1">
      <c r="A83" s="2">
        <v>81</v>
      </c>
      <c r="B83" s="5">
        <v>46003</v>
      </c>
      <c r="F83" s="2" t="s">
        <v>22</v>
      </c>
      <c r="G83" s="2" t="s">
        <v>239</v>
      </c>
      <c r="H83" s="2" t="s">
        <v>247</v>
      </c>
      <c r="I83" s="2" t="s">
        <v>25</v>
      </c>
      <c r="J83" s="2" t="s">
        <v>33</v>
      </c>
      <c r="K83" s="10">
        <v>-74.047095299999995</v>
      </c>
      <c r="L83" s="7">
        <v>4.6974907999999997</v>
      </c>
      <c r="M83" s="2" t="s">
        <v>248</v>
      </c>
      <c r="N83" s="2" t="s">
        <v>28</v>
      </c>
      <c r="O83" s="2" t="s">
        <v>249</v>
      </c>
      <c r="P83" s="2" t="s">
        <v>40</v>
      </c>
      <c r="Q83" s="2"/>
      <c r="R83" s="2"/>
      <c r="S83" s="2"/>
      <c r="T83" s="2"/>
      <c r="U83" s="2"/>
      <c r="V83" s="2"/>
      <c r="W83" s="2"/>
      <c r="X83" s="2"/>
      <c r="Y83" s="2"/>
      <c r="Z83" s="2"/>
      <c r="AA83" s="2"/>
      <c r="AB83" s="2"/>
      <c r="AC83" s="2"/>
      <c r="AD83" s="2">
        <f t="shared" si="9"/>
        <v>2</v>
      </c>
      <c r="AE83" s="8" t="str">
        <f t="shared" si="10"/>
        <v>Ver en mapa</v>
      </c>
    </row>
    <row r="84" spans="1:31" ht="15" customHeight="1">
      <c r="A84" s="2">
        <v>83</v>
      </c>
      <c r="B84" s="5">
        <v>46008</v>
      </c>
      <c r="F84" s="2" t="s">
        <v>22</v>
      </c>
      <c r="G84" s="2" t="s">
        <v>36</v>
      </c>
      <c r="H84" s="2" t="s">
        <v>250</v>
      </c>
      <c r="I84" s="2" t="s">
        <v>25</v>
      </c>
      <c r="J84" s="2" t="s">
        <v>38</v>
      </c>
      <c r="K84" s="10">
        <v>-74.074770099999995</v>
      </c>
      <c r="L84" s="7">
        <v>4.6417738000000002</v>
      </c>
      <c r="M84" s="2" t="s">
        <v>107</v>
      </c>
      <c r="N84" s="2" t="s">
        <v>40</v>
      </c>
      <c r="O84" s="2" t="s">
        <v>106</v>
      </c>
      <c r="P84" s="2" t="s">
        <v>40</v>
      </c>
      <c r="Q84" s="2"/>
      <c r="R84" s="2"/>
      <c r="S84" s="2"/>
      <c r="T84" s="2"/>
      <c r="U84" s="2"/>
      <c r="V84" s="2"/>
      <c r="W84" s="2"/>
      <c r="X84" s="2"/>
      <c r="Y84" s="2"/>
      <c r="Z84" s="2"/>
      <c r="AA84" s="2"/>
      <c r="AB84" s="2"/>
      <c r="AC84" s="2"/>
      <c r="AD84" s="2">
        <f t="shared" si="9"/>
        <v>2</v>
      </c>
      <c r="AE84" s="8" t="str">
        <f t="shared" si="10"/>
        <v>Ver en mapa</v>
      </c>
    </row>
    <row r="85" spans="1:31" ht="15" customHeight="1">
      <c r="A85" s="2">
        <v>84</v>
      </c>
      <c r="B85" s="5">
        <v>46008</v>
      </c>
      <c r="F85" s="2" t="s">
        <v>22</v>
      </c>
      <c r="G85" s="2" t="s">
        <v>90</v>
      </c>
      <c r="H85" s="2" t="s">
        <v>251</v>
      </c>
      <c r="I85" s="2" t="s">
        <v>25</v>
      </c>
      <c r="J85" s="2" t="s">
        <v>38</v>
      </c>
      <c r="K85" s="10">
        <v>-74.071286999999998</v>
      </c>
      <c r="L85" s="7">
        <v>4.6003483999999997</v>
      </c>
      <c r="M85" s="2" t="s">
        <v>95</v>
      </c>
      <c r="N85" s="2" t="s">
        <v>63</v>
      </c>
      <c r="O85" s="2" t="s">
        <v>94</v>
      </c>
      <c r="P85" s="2" t="s">
        <v>63</v>
      </c>
      <c r="Q85" s="2"/>
      <c r="R85" s="2" t="s">
        <v>93</v>
      </c>
      <c r="S85" s="2" t="s">
        <v>63</v>
      </c>
      <c r="T85" s="2"/>
      <c r="U85" s="2" t="s">
        <v>225</v>
      </c>
      <c r="V85" s="2" t="s">
        <v>63</v>
      </c>
      <c r="W85" s="2"/>
      <c r="X85" s="2" t="s">
        <v>226</v>
      </c>
      <c r="Y85" s="2" t="s">
        <v>40</v>
      </c>
      <c r="Z85" s="2"/>
      <c r="AA85" s="2" t="s">
        <v>216</v>
      </c>
      <c r="AB85" s="2" t="s">
        <v>63</v>
      </c>
      <c r="AC85" s="2"/>
      <c r="AD85" s="2">
        <f t="shared" si="9"/>
        <v>6</v>
      </c>
      <c r="AE85" s="8" t="str">
        <f t="shared" si="10"/>
        <v>Ver en mapa</v>
      </c>
    </row>
    <row r="86" spans="1:31" ht="15" customHeight="1">
      <c r="A86" s="2">
        <v>85</v>
      </c>
      <c r="B86" s="5">
        <v>46021</v>
      </c>
      <c r="F86" s="2" t="s">
        <v>22</v>
      </c>
      <c r="G86" s="2" t="s">
        <v>208</v>
      </c>
      <c r="H86" s="2" t="s">
        <v>252</v>
      </c>
      <c r="I86" s="2" t="s">
        <v>25</v>
      </c>
      <c r="J86" s="2" t="s">
        <v>48</v>
      </c>
      <c r="K86" s="10">
        <v>-74.064358769279295</v>
      </c>
      <c r="L86" s="7">
        <v>4.7232069213772396</v>
      </c>
      <c r="M86" s="2" t="s">
        <v>253</v>
      </c>
      <c r="N86" s="2" t="s">
        <v>40</v>
      </c>
      <c r="O86" s="2"/>
      <c r="P86" s="2"/>
      <c r="Q86" s="2"/>
      <c r="R86" s="2"/>
      <c r="S86" s="2"/>
      <c r="T86" s="2"/>
      <c r="U86" s="2"/>
      <c r="V86" s="2"/>
      <c r="W86" s="2"/>
      <c r="X86" s="2"/>
      <c r="Y86" s="2"/>
      <c r="Z86" s="2"/>
      <c r="AA86" s="2"/>
      <c r="AB86" s="2"/>
      <c r="AC86" s="2"/>
      <c r="AD86" s="2">
        <f t="shared" si="9"/>
        <v>1</v>
      </c>
      <c r="AE86" s="8" t="str">
        <f t="shared" si="10"/>
        <v>Ver en mapa</v>
      </c>
    </row>
    <row r="87" spans="1:31" ht="15" customHeight="1">
      <c r="A87" s="19"/>
      <c r="B87" s="20"/>
      <c r="C87" s="20"/>
      <c r="D87" s="20"/>
      <c r="E87" s="20"/>
      <c r="F87" s="19"/>
      <c r="G87" s="52"/>
      <c r="H87" s="19"/>
      <c r="I87" s="19"/>
      <c r="J87" s="19"/>
      <c r="K87" s="21"/>
      <c r="L87" s="22"/>
      <c r="M87" s="19"/>
      <c r="N87" s="19"/>
      <c r="O87" s="19"/>
      <c r="P87" s="19"/>
      <c r="Q87" s="19"/>
      <c r="R87" s="19"/>
      <c r="S87" s="19"/>
      <c r="T87" s="19"/>
      <c r="U87" s="19"/>
      <c r="V87" s="19"/>
      <c r="W87" s="19"/>
      <c r="X87" s="19"/>
      <c r="Y87" s="19"/>
      <c r="Z87" s="19"/>
      <c r="AA87" s="19"/>
      <c r="AB87" s="19"/>
      <c r="AC87" s="19"/>
      <c r="AD87" s="19"/>
      <c r="AE87" s="42"/>
    </row>
    <row r="88" spans="1:31" ht="15" customHeight="1">
      <c r="A88" s="2">
        <v>89</v>
      </c>
      <c r="B88" s="5">
        <v>46045</v>
      </c>
      <c r="C88" s="5">
        <v>46048</v>
      </c>
      <c r="D88" s="30">
        <f>C88-B88</f>
        <v>3</v>
      </c>
      <c r="E88" s="5" t="s">
        <v>254</v>
      </c>
      <c r="F88" s="2" t="s">
        <v>22</v>
      </c>
      <c r="G88" s="17" t="s">
        <v>255</v>
      </c>
      <c r="H88" s="2" t="s">
        <v>256</v>
      </c>
      <c r="I88" s="2" t="s">
        <v>25</v>
      </c>
      <c r="J88" s="2" t="s">
        <v>33</v>
      </c>
      <c r="K88" s="7">
        <v>-74.031904517374599</v>
      </c>
      <c r="L88" s="7">
        <v>4.7016963587595297</v>
      </c>
      <c r="M88" s="2" t="s">
        <v>257</v>
      </c>
      <c r="N88" s="2" t="s">
        <v>40</v>
      </c>
      <c r="O88" s="2"/>
      <c r="P88" s="2"/>
      <c r="Q88" s="2"/>
      <c r="R88" s="2"/>
      <c r="S88" s="2"/>
      <c r="T88" s="2"/>
      <c r="U88" s="2"/>
      <c r="V88" s="2"/>
      <c r="W88" s="2"/>
      <c r="X88" s="2"/>
      <c r="Y88" s="2"/>
      <c r="Z88" s="2"/>
      <c r="AA88" s="2"/>
      <c r="AB88" s="2"/>
      <c r="AC88" s="2"/>
      <c r="AD88" s="2">
        <f t="shared" ref="AD88:AD119" si="11">COUNTA(M88,O88,R88,U88,X88,AA88)</f>
        <v>1</v>
      </c>
      <c r="AE88" s="8" t="str">
        <f>+HYPERLINK("https://www.google.com/maps?q=" &amp; SUBSTITUTE(L88, ",", ".") &amp; "," &amp; SUBSTITUTE(K88, ",", "."),"Ver en mapa")</f>
        <v>Ver en mapa</v>
      </c>
    </row>
    <row r="89" spans="1:31" ht="15" customHeight="1">
      <c r="A89" s="2">
        <v>90</v>
      </c>
      <c r="B89" s="5">
        <v>46048</v>
      </c>
      <c r="C89" s="5">
        <v>46049</v>
      </c>
      <c r="D89" s="30">
        <f>C89-B89</f>
        <v>1</v>
      </c>
      <c r="E89" s="5" t="s">
        <v>254</v>
      </c>
      <c r="F89" s="2" t="s">
        <v>22</v>
      </c>
      <c r="G89" s="17" t="s">
        <v>258</v>
      </c>
      <c r="H89" s="2" t="s">
        <v>259</v>
      </c>
      <c r="I89" s="2" t="s">
        <v>25</v>
      </c>
      <c r="J89" s="2" t="s">
        <v>38</v>
      </c>
      <c r="K89" s="7">
        <v>-74.054277799999994</v>
      </c>
      <c r="L89" s="7">
        <v>4.6534722000000004</v>
      </c>
      <c r="M89" s="2" t="s">
        <v>260</v>
      </c>
      <c r="N89" s="2"/>
      <c r="O89" s="2"/>
      <c r="P89" s="2"/>
      <c r="Q89" s="2"/>
      <c r="R89" s="2"/>
      <c r="S89" s="2"/>
      <c r="T89" s="2"/>
      <c r="U89" s="2"/>
      <c r="V89" s="2"/>
      <c r="W89" s="2"/>
      <c r="X89" s="2"/>
      <c r="Y89" s="2"/>
      <c r="Z89" s="2"/>
      <c r="AA89" s="2"/>
      <c r="AB89" s="2"/>
      <c r="AC89" s="2"/>
      <c r="AD89" s="2">
        <f t="shared" si="11"/>
        <v>1</v>
      </c>
      <c r="AE89" s="8" t="e">
        <f>+HYPERLINK("https://www.google.com/maps?q=" &amp; SUBSTITUTE(#REF!, ",", ".") &amp; "," &amp; SUBSTITUTE(L89, ",", "."),"Ver en mapa")</f>
        <v>#REF!</v>
      </c>
    </row>
    <row r="90" spans="1:31" ht="15" customHeight="1">
      <c r="A90" s="2">
        <v>92</v>
      </c>
      <c r="B90" s="5">
        <f>IF('Tiendas operando '!Q16="Si",'Tiendas operando '!L16," ")</f>
        <v>46031</v>
      </c>
      <c r="C90" s="5">
        <f>IF('Tiendas operando '!Q16="Si",'Tiendas operando '!M16," ")</f>
        <v>46041</v>
      </c>
      <c r="D90" s="30">
        <f>IF('Tiendas operando '!Q16="Si",'Tiendas operando '!N16," ")</f>
        <v>10</v>
      </c>
      <c r="E90" s="5" t="str">
        <f>IF('Tiendas operando '!Q16="Si",'Tiendas operando '!O16," ")</f>
        <v>Isabela</v>
      </c>
      <c r="F90" s="2" t="s">
        <v>22</v>
      </c>
      <c r="G90" s="17" t="s">
        <v>261</v>
      </c>
      <c r="H90" s="2" t="str">
        <f>IF('Tiendas operando '!Q16="Si",'Tiendas operando '!S16," ")</f>
        <v>Chile 9</v>
      </c>
      <c r="I90" s="2" t="s">
        <v>25</v>
      </c>
      <c r="J90" s="2" t="str">
        <f>IF('Tiendas operando '!Q16="Si",'Tiendas operando '!T16," ")</f>
        <v>Leidy Viviana Mejia</v>
      </c>
      <c r="K90" s="10">
        <f>IF('Tiendas operando '!Q16="Si",'Tiendas operando '!U16," ")</f>
        <v>-74.0565754</v>
      </c>
      <c r="L90" s="7">
        <f>IF('Tiendas operando '!Q16="Si",'Tiendas operando '!V16," ")</f>
        <v>4.6558222999999996</v>
      </c>
      <c r="M90" s="2" t="s">
        <v>262</v>
      </c>
      <c r="N90" s="2" t="s">
        <v>40</v>
      </c>
      <c r="O90" s="2"/>
      <c r="P90" s="2"/>
      <c r="Q90" s="2"/>
      <c r="R90" s="2"/>
      <c r="S90" s="2"/>
      <c r="T90" s="2"/>
      <c r="U90" s="2"/>
      <c r="V90" s="2"/>
      <c r="W90" s="2"/>
      <c r="X90" s="2"/>
      <c r="Y90" s="2"/>
      <c r="Z90" s="2"/>
      <c r="AA90" s="2"/>
      <c r="AB90" s="2"/>
      <c r="AC90" s="2"/>
      <c r="AD90" s="2">
        <f t="shared" si="11"/>
        <v>1</v>
      </c>
      <c r="AE90" s="8" t="str">
        <f t="shared" ref="AE90:AE134" si="12">+HYPERLINK("https://www.google.com/maps?q=" &amp; SUBSTITUTE(L90, ",", ".") &amp; "," &amp; SUBSTITUTE(K90, ",", "."),"Ver en mapa")</f>
        <v>Ver en mapa</v>
      </c>
    </row>
    <row r="91" spans="1:31" ht="15" customHeight="1">
      <c r="A91" s="2">
        <v>93</v>
      </c>
      <c r="B91" s="5">
        <f>IF('Tiendas operando '!Q17="Si",'Tiendas operando '!L17," ")</f>
        <v>46035</v>
      </c>
      <c r="C91" s="5">
        <f>IF('Tiendas operando '!Q17="Si",'Tiendas operando '!M17," ")</f>
        <v>46035</v>
      </c>
      <c r="D91" s="30">
        <f>IF('Tiendas operando '!Q17="Si",'Tiendas operando '!N17," ")</f>
        <v>0</v>
      </c>
      <c r="E91" s="5" t="str">
        <f>IF('Tiendas operando '!Q17="Si",'Tiendas operando '!O17," ")</f>
        <v>Isabela</v>
      </c>
      <c r="F91" s="2" t="s">
        <v>22</v>
      </c>
      <c r="G91" s="17" t="s">
        <v>263</v>
      </c>
      <c r="H91" s="2" t="str">
        <f>IF('Tiendas operando '!Q17="Si",'Tiendas operando '!S17," ")</f>
        <v>Jardín Norte 130</v>
      </c>
      <c r="I91" s="2" t="s">
        <v>25</v>
      </c>
      <c r="J91" s="2" t="str">
        <f>IF('Tiendas operando '!Q17="Si",'Tiendas operando '!T17," ")</f>
        <v>Carlos Bolaños Díaz</v>
      </c>
      <c r="K91" s="10">
        <f>IF('Tiendas operando '!Q17="Si",'Tiendas operando '!U17," ")</f>
        <v>-74.068681699999999</v>
      </c>
      <c r="L91" s="7">
        <f>IF('Tiendas operando '!Q17="Si",'Tiendas operando '!V17," ")</f>
        <v>4.7207878000000001</v>
      </c>
      <c r="M91" s="2" t="s">
        <v>264</v>
      </c>
      <c r="N91" s="2" t="s">
        <v>40</v>
      </c>
      <c r="O91" s="2" t="s">
        <v>265</v>
      </c>
      <c r="P91" s="2" t="s">
        <v>40</v>
      </c>
      <c r="Q91" s="2"/>
      <c r="R91" s="2"/>
      <c r="S91" s="2"/>
      <c r="T91" s="2"/>
      <c r="U91" s="2"/>
      <c r="V91" s="2"/>
      <c r="W91" s="2"/>
      <c r="X91" s="2"/>
      <c r="Y91" s="2"/>
      <c r="Z91" s="2"/>
      <c r="AA91" s="2"/>
      <c r="AB91" s="2"/>
      <c r="AC91" s="2"/>
      <c r="AD91" s="2">
        <f t="shared" si="11"/>
        <v>2</v>
      </c>
      <c r="AE91" s="8" t="str">
        <f t="shared" si="12"/>
        <v>Ver en mapa</v>
      </c>
    </row>
    <row r="92" spans="1:31" ht="15" customHeight="1">
      <c r="A92" s="2">
        <v>94</v>
      </c>
      <c r="B92" s="5">
        <f>IF('Tiendas operando '!Q18="Si",'Tiendas operando '!L18," ")</f>
        <v>46036</v>
      </c>
      <c r="C92" s="5">
        <f>IF('Tiendas operando '!Q18="Si",'Tiendas operando '!M18," ")</f>
        <v>46041</v>
      </c>
      <c r="D92" s="30">
        <f>IF('Tiendas operando '!Q18="Si",'Tiendas operando '!N18," ")</f>
        <v>5</v>
      </c>
      <c r="E92" s="5" t="str">
        <f>IF('Tiendas operando '!Q18="Si",'Tiendas operando '!O18," ")</f>
        <v>Isabela</v>
      </c>
      <c r="F92" s="2" t="s">
        <v>22</v>
      </c>
      <c r="G92" s="17" t="s">
        <v>261</v>
      </c>
      <c r="H92" s="2" t="str">
        <f>IF('Tiendas operando '!Q18="Si",'Tiendas operando '!S18," ")</f>
        <v>Centro 93</v>
      </c>
      <c r="I92" s="2" t="s">
        <v>25</v>
      </c>
      <c r="J92" s="2" t="str">
        <f>IF('Tiendas operando '!Q18="Si",'Tiendas operando '!T18," ")</f>
        <v>Laura Valentina Avila Gutierrez</v>
      </c>
      <c r="K92" s="10">
        <f>IF('Tiendas operando '!Q18="Si",'Tiendas operando '!U18," ")</f>
        <v>-74.051566781935904</v>
      </c>
      <c r="L92" s="7">
        <f>IF('Tiendas operando '!Q18="Si",'Tiendas operando '!V18," ")</f>
        <v>4.6771436658904504</v>
      </c>
      <c r="M92" s="2" t="s">
        <v>266</v>
      </c>
      <c r="N92" s="2" t="s">
        <v>63</v>
      </c>
      <c r="O92" s="2" t="s">
        <v>267</v>
      </c>
      <c r="P92" s="2" t="s">
        <v>63</v>
      </c>
      <c r="Q92" s="2"/>
      <c r="R92" s="2"/>
      <c r="S92" s="2"/>
      <c r="T92" s="2"/>
      <c r="U92" s="2"/>
      <c r="V92" s="2"/>
      <c r="W92" s="2"/>
      <c r="X92" s="2"/>
      <c r="Y92" s="2"/>
      <c r="Z92" s="2"/>
      <c r="AA92" s="2"/>
      <c r="AB92" s="2"/>
      <c r="AC92" s="2"/>
      <c r="AD92" s="2">
        <f t="shared" si="11"/>
        <v>2</v>
      </c>
      <c r="AE92" s="8" t="str">
        <f t="shared" si="12"/>
        <v>Ver en mapa</v>
      </c>
    </row>
    <row r="93" spans="1:31" ht="15" customHeight="1">
      <c r="A93" s="2">
        <v>95</v>
      </c>
      <c r="B93" s="5">
        <f>IF('Tiendas operando '!Q19="Si",'Tiendas operando '!L19," ")</f>
        <v>46036</v>
      </c>
      <c r="C93" s="5">
        <f>IF('Tiendas operando '!Q19="Si",'Tiendas operando '!M19," ")</f>
        <v>46042</v>
      </c>
      <c r="D93" s="30">
        <f>IF('Tiendas operando '!Q19="Si",'Tiendas operando '!N19," ")</f>
        <v>6</v>
      </c>
      <c r="E93" s="5" t="str">
        <f>IF('Tiendas operando '!Q19="Si",'Tiendas operando '!O19," ")</f>
        <v>Isabela</v>
      </c>
      <c r="F93" s="2" t="s">
        <v>22</v>
      </c>
      <c r="G93" s="17" t="s">
        <v>268</v>
      </c>
      <c r="H93" s="2" t="str">
        <f>IF('Tiendas operando '!Q19="Si",'Tiendas operando '!S19," ")</f>
        <v>Graund Cl75</v>
      </c>
      <c r="I93" s="2" t="s">
        <v>25</v>
      </c>
      <c r="J93" s="2" t="str">
        <f>IF('Tiendas operando '!Q19="Si",'Tiendas operando '!T19," ")</f>
        <v>Laura Valentina Avila Gutierrez</v>
      </c>
      <c r="K93" s="10">
        <f>IF('Tiendas operando '!Q19="Si",'Tiendas operando '!U19," ")</f>
        <v>-74.065370354233593</v>
      </c>
      <c r="L93" s="7">
        <f>IF('Tiendas operando '!Q19="Si",'Tiendas operando '!V19," ")</f>
        <v>4.6655748457804398</v>
      </c>
      <c r="M93" s="2" t="s">
        <v>269</v>
      </c>
      <c r="N93" s="2" t="s">
        <v>40</v>
      </c>
      <c r="O93" s="2"/>
      <c r="P93" s="2"/>
      <c r="Q93" s="2"/>
      <c r="R93" s="2"/>
      <c r="S93" s="2"/>
      <c r="T93" s="2"/>
      <c r="U93" s="2"/>
      <c r="V93" s="2"/>
      <c r="W93" s="2"/>
      <c r="X93" s="2"/>
      <c r="Y93" s="2"/>
      <c r="Z93" s="2"/>
      <c r="AA93" s="2"/>
      <c r="AB93" s="2"/>
      <c r="AC93" s="2"/>
      <c r="AD93" s="2">
        <f t="shared" si="11"/>
        <v>1</v>
      </c>
      <c r="AE93" s="8" t="str">
        <f t="shared" si="12"/>
        <v>Ver en mapa</v>
      </c>
    </row>
    <row r="94" spans="1:31" ht="15" customHeight="1">
      <c r="A94" s="2">
        <v>96</v>
      </c>
      <c r="B94" s="5">
        <f>IF('Tiendas operando '!Q20="Si",'Tiendas operando '!L20," ")</f>
        <v>46037</v>
      </c>
      <c r="C94" s="5">
        <f>IF('Tiendas operando '!Q20="Si",'Tiendas operando '!M20," ")</f>
        <v>46041</v>
      </c>
      <c r="D94" s="30">
        <f>IF('Tiendas operando '!Q20="Si",'Tiendas operando '!N20," ")</f>
        <v>4</v>
      </c>
      <c r="E94" s="5" t="str">
        <f>IF('Tiendas operando '!Q20="Si",'Tiendas operando '!O20," ")</f>
        <v>Isabela</v>
      </c>
      <c r="F94" s="2" t="s">
        <v>22</v>
      </c>
      <c r="G94" s="17" t="s">
        <v>270</v>
      </c>
      <c r="H94" s="74" t="str">
        <f>IF('Tiendas operando '!Q20="Si",'Tiendas operando '!S20," ")</f>
        <v>Urbano 61</v>
      </c>
      <c r="I94" s="2" t="s">
        <v>25</v>
      </c>
      <c r="J94" s="2" t="str">
        <f>IF('Tiendas operando '!Q20="Si",'Tiendas operando '!T20," ")</f>
        <v>Laura Valentina Avila Gutierrez</v>
      </c>
      <c r="K94" s="10">
        <f>IF('Tiendas operando '!Q20="Si",'Tiendas operando '!U20," ")</f>
        <v>-74.063744501924802</v>
      </c>
      <c r="L94" s="7">
        <f>IF('Tiendas operando '!Q20="Si",'Tiendas operando '!V20," ")</f>
        <v>4.6477056698812502</v>
      </c>
      <c r="M94" s="2" t="s">
        <v>271</v>
      </c>
      <c r="N94" s="2" t="s">
        <v>63</v>
      </c>
      <c r="O94" s="2" t="s">
        <v>272</v>
      </c>
      <c r="P94" s="2" t="s">
        <v>40</v>
      </c>
      <c r="Q94" s="2"/>
      <c r="R94" s="2" t="s">
        <v>273</v>
      </c>
      <c r="S94" s="2" t="s">
        <v>40</v>
      </c>
      <c r="T94" s="2"/>
      <c r="U94" s="2"/>
      <c r="V94" s="2"/>
      <c r="W94" s="2"/>
      <c r="X94" s="2"/>
      <c r="Y94" s="2"/>
      <c r="Z94" s="2"/>
      <c r="AA94" s="2"/>
      <c r="AB94" s="2"/>
      <c r="AC94" s="2"/>
      <c r="AD94" s="2">
        <f t="shared" si="11"/>
        <v>3</v>
      </c>
      <c r="AE94" s="8" t="str">
        <f t="shared" si="12"/>
        <v>Ver en mapa</v>
      </c>
    </row>
    <row r="95" spans="1:31" ht="15" customHeight="1">
      <c r="A95" s="2">
        <v>97</v>
      </c>
      <c r="B95" s="5">
        <f>IF('Tiendas operando '!Q21="Si",'Tiendas operando '!L21," ")</f>
        <v>46037</v>
      </c>
      <c r="C95" s="5">
        <f>IF('Tiendas operando '!Q21="Si",'Tiendas operando '!M21," ")</f>
        <v>46038</v>
      </c>
      <c r="D95" s="30">
        <f>IF('Tiendas operando '!Q21="Si",'Tiendas operando '!N21," ")</f>
        <v>1</v>
      </c>
      <c r="E95" s="5" t="str">
        <f>IF('Tiendas operando '!Q21="Si",'Tiendas operando '!O21," ")</f>
        <v>Isabela</v>
      </c>
      <c r="F95" s="2" t="s">
        <v>22</v>
      </c>
      <c r="G95" s="17" t="s">
        <v>274</v>
      </c>
      <c r="H95" s="2" t="str">
        <f>IF('Tiendas operando '!Q21="Si",'Tiendas operando '!S21," ")</f>
        <v>Cabañas 63</v>
      </c>
      <c r="I95" s="2" t="s">
        <v>25</v>
      </c>
      <c r="J95" s="2" t="str">
        <f>IF('Tiendas operando '!Q21="Si",'Tiendas operando '!T21," ")</f>
        <v>Jenny Paola Acuña Rojas</v>
      </c>
      <c r="K95" s="10">
        <f>IF('Tiendas operando '!Q21="Si",'Tiendas operando '!U21," ")</f>
        <v>-74.065162278878901</v>
      </c>
      <c r="L95" s="7">
        <f>IF('Tiendas operando '!Q21="Si",'Tiendas operando '!V21," ")</f>
        <v>4.6495881579756597</v>
      </c>
      <c r="M95" s="2" t="s">
        <v>275</v>
      </c>
      <c r="N95" s="2" t="s">
        <v>40</v>
      </c>
      <c r="O95" s="2"/>
      <c r="P95" s="2"/>
      <c r="Q95" s="2"/>
      <c r="R95" s="2"/>
      <c r="S95" s="2"/>
      <c r="T95" s="2"/>
      <c r="U95" s="2"/>
      <c r="V95" s="2"/>
      <c r="W95" s="2"/>
      <c r="X95" s="2"/>
      <c r="Y95" s="2"/>
      <c r="Z95" s="2"/>
      <c r="AA95" s="2"/>
      <c r="AB95" s="2"/>
      <c r="AC95" s="2"/>
      <c r="AD95" s="2">
        <f t="shared" si="11"/>
        <v>1</v>
      </c>
      <c r="AE95" s="8" t="str">
        <f t="shared" si="12"/>
        <v>Ver en mapa</v>
      </c>
    </row>
    <row r="96" spans="1:31" ht="15" customHeight="1">
      <c r="A96" s="2">
        <v>98</v>
      </c>
      <c r="B96" s="5">
        <f>IF('Tiendas operando '!Q22="Si",'Tiendas operando '!L22," ")</f>
        <v>46037</v>
      </c>
      <c r="C96" s="5">
        <f>IF('Tiendas operando '!Q22="Si",'Tiendas operando '!M22," ")</f>
        <v>46038</v>
      </c>
      <c r="D96" s="30">
        <f>IF('Tiendas operando '!Q22="Si",'Tiendas operando '!N22," ")</f>
        <v>1</v>
      </c>
      <c r="E96" s="5" t="str">
        <f>IF('Tiendas operando '!Q22="Si",'Tiendas operando '!O22," ")</f>
        <v>Isabela</v>
      </c>
      <c r="F96" s="2" t="s">
        <v>22</v>
      </c>
      <c r="G96" s="17" t="s">
        <v>276</v>
      </c>
      <c r="H96" s="2" t="str">
        <f>IF('Tiendas operando '!Q22="Si",'Tiendas operando '!S22," ")</f>
        <v>Centenario M45</v>
      </c>
      <c r="I96" s="2" t="s">
        <v>25</v>
      </c>
      <c r="J96" s="2" t="str">
        <f>IF('Tiendas operando '!Q22="Si",'Tiendas operando '!T22," ")</f>
        <v>Jenny Paola Acuña Rojas</v>
      </c>
      <c r="K96" s="10">
        <f>IF('Tiendas operando '!Q22="Si",'Tiendas operando '!U22," ")</f>
        <v>-74.072320626869498</v>
      </c>
      <c r="L96" s="7">
        <f>IF('Tiendas operando '!Q22="Si",'Tiendas operando '!V22," ")</f>
        <v>4.6335002354933899</v>
      </c>
      <c r="M96" s="2" t="s">
        <v>277</v>
      </c>
      <c r="N96" s="2" t="s">
        <v>63</v>
      </c>
      <c r="O96" s="2" t="s">
        <v>278</v>
      </c>
      <c r="P96" s="2" t="s">
        <v>63</v>
      </c>
      <c r="Q96" s="2"/>
      <c r="R96" s="2"/>
      <c r="S96" s="2"/>
      <c r="T96" s="2"/>
      <c r="U96" s="2"/>
      <c r="V96" s="2"/>
      <c r="W96" s="2"/>
      <c r="X96" s="2"/>
      <c r="Y96" s="2"/>
      <c r="Z96" s="2"/>
      <c r="AA96" s="2"/>
      <c r="AB96" s="2"/>
      <c r="AC96" s="2"/>
      <c r="AD96" s="2">
        <f t="shared" si="11"/>
        <v>2</v>
      </c>
      <c r="AE96" s="8" t="str">
        <f t="shared" si="12"/>
        <v>Ver en mapa</v>
      </c>
    </row>
    <row r="97" spans="1:31" ht="15" customHeight="1">
      <c r="A97" s="2">
        <v>99</v>
      </c>
      <c r="B97" s="5">
        <f>IF('Tiendas operando '!Q23="Si",'Tiendas operando '!L23," ")</f>
        <v>46038</v>
      </c>
      <c r="C97" s="5">
        <f>IF('Tiendas operando '!Q23="Si",'Tiendas operando '!M23," ")</f>
        <v>46043</v>
      </c>
      <c r="D97" s="30">
        <f>IF('Tiendas operando '!Q23="Si",'Tiendas operando '!N23," ")</f>
        <v>5</v>
      </c>
      <c r="E97" s="5" t="str">
        <f>IF('Tiendas operando '!Q23="Si",'Tiendas operando '!O23," ")</f>
        <v>Isabela</v>
      </c>
      <c r="F97" s="2" t="s">
        <v>22</v>
      </c>
      <c r="G97" s="17" t="s">
        <v>261</v>
      </c>
      <c r="H97" s="2" t="str">
        <f>IF('Tiendas operando '!Q23="Si",'Tiendas operando '!S23," ")</f>
        <v>Metro I</v>
      </c>
      <c r="I97" s="2" t="s">
        <v>25</v>
      </c>
      <c r="J97" s="2" t="str">
        <f>IF('Tiendas operando '!Q23="Si",'Tiendas operando '!T23," ")</f>
        <v>Laura Valentina Avila Gutierrez</v>
      </c>
      <c r="K97" s="10">
        <f>IF('Tiendas operando '!Q23="Si",'Tiendas operando '!U23," ")</f>
        <v>-74.0610252457397</v>
      </c>
      <c r="L97" s="7">
        <f>IF('Tiendas operando '!Q23="Si",'Tiendas operando '!V23," ")</f>
        <v>4.6613596476497801</v>
      </c>
      <c r="M97" s="2" t="s">
        <v>279</v>
      </c>
      <c r="N97" s="2" t="s">
        <v>40</v>
      </c>
      <c r="O97" s="2" t="s">
        <v>280</v>
      </c>
      <c r="P97" s="2" t="s">
        <v>40</v>
      </c>
      <c r="Q97" s="2"/>
      <c r="R97" s="2"/>
      <c r="S97" s="2"/>
      <c r="T97" s="2"/>
      <c r="U97" s="2"/>
      <c r="V97" s="2"/>
      <c r="W97" s="2"/>
      <c r="X97" s="2"/>
      <c r="Y97" s="2"/>
      <c r="Z97" s="2"/>
      <c r="AA97" s="2"/>
      <c r="AB97" s="2"/>
      <c r="AC97" s="2"/>
      <c r="AD97" s="2">
        <f t="shared" si="11"/>
        <v>2</v>
      </c>
      <c r="AE97" s="8" t="str">
        <f t="shared" si="12"/>
        <v>Ver en mapa</v>
      </c>
    </row>
    <row r="98" spans="1:31" ht="15" customHeight="1">
      <c r="A98" s="2">
        <v>100</v>
      </c>
      <c r="B98" s="5">
        <f>IF('Tiendas operando '!Q24="Si",'Tiendas operando '!L24," ")</f>
        <v>46042</v>
      </c>
      <c r="C98" s="5">
        <f>IF('Tiendas operando '!Q24="Si",'Tiendas operando '!M24," ")</f>
        <v>46045</v>
      </c>
      <c r="D98" s="30">
        <f>IF('Tiendas operando '!Q24="Si",'Tiendas operando '!N24," ")</f>
        <v>3</v>
      </c>
      <c r="E98" s="5" t="str">
        <f>IF('Tiendas operando '!Q24="Si",'Tiendas operando '!O24," ")</f>
        <v>Isabela</v>
      </c>
      <c r="F98" s="2" t="s">
        <v>22</v>
      </c>
      <c r="G98" s="17" t="s">
        <v>281</v>
      </c>
      <c r="H98" s="2" t="str">
        <f>IF('Tiendas operando '!Q24="Si",'Tiendas operando '!S24," ")</f>
        <v>San Cristobal</v>
      </c>
      <c r="I98" s="2" t="s">
        <v>25</v>
      </c>
      <c r="J98" s="2" t="str">
        <f>IF('Tiendas operando '!Q24="Si",'Tiendas operando '!T24," ")</f>
        <v>Leidy Viviana Mejia</v>
      </c>
      <c r="K98" s="10">
        <f>IF('Tiendas operando '!Q24="Si",'Tiendas operando '!U24," ")</f>
        <v>-74.027657599999998</v>
      </c>
      <c r="L98" s="7">
        <f>IF('Tiendas operando '!Q24="Si",'Tiendas operando '!V24," ")</f>
        <v>4.7383550999999997</v>
      </c>
      <c r="M98" s="2" t="s">
        <v>282</v>
      </c>
      <c r="N98" s="2" t="s">
        <v>40</v>
      </c>
      <c r="O98" s="2"/>
      <c r="P98" s="2"/>
      <c r="Q98" s="2"/>
      <c r="R98" s="2"/>
      <c r="S98" s="2"/>
      <c r="T98" s="2"/>
      <c r="U98" s="2"/>
      <c r="V98" s="2"/>
      <c r="W98" s="2"/>
      <c r="X98" s="2"/>
      <c r="Y98" s="2"/>
      <c r="Z98" s="2"/>
      <c r="AA98" s="2"/>
      <c r="AB98" s="2"/>
      <c r="AC98" s="2"/>
      <c r="AD98" s="2">
        <f t="shared" si="11"/>
        <v>1</v>
      </c>
      <c r="AE98" s="8" t="str">
        <f t="shared" si="12"/>
        <v>Ver en mapa</v>
      </c>
    </row>
    <row r="99" spans="1:31" ht="15" customHeight="1">
      <c r="A99" s="2">
        <v>101</v>
      </c>
      <c r="B99" s="5">
        <f>IF('Tiendas operando '!Q25="Si",'Tiendas operando '!L25," ")</f>
        <v>46043</v>
      </c>
      <c r="C99" s="5">
        <f>IF('Tiendas operando '!Q25="Si",'Tiendas operando '!M25," ")</f>
        <v>46043</v>
      </c>
      <c r="D99" s="30">
        <f>IF('Tiendas operando '!Q25="Si",'Tiendas operando '!N25," ")</f>
        <v>0</v>
      </c>
      <c r="E99" s="5" t="str">
        <f>IF('Tiendas operando '!Q25="Si",'Tiendas operando '!O25," ")</f>
        <v>Laura</v>
      </c>
      <c r="F99" s="2" t="s">
        <v>22</v>
      </c>
      <c r="G99" s="17" t="s">
        <v>283</v>
      </c>
      <c r="H99" s="2" t="str">
        <f>IF('Tiendas operando '!Q25="Si",'Tiendas operando '!S25," ")</f>
        <v>Quinta Real 40</v>
      </c>
      <c r="I99" s="2" t="s">
        <v>25</v>
      </c>
      <c r="J99" s="2" t="str">
        <f>IF('Tiendas operando '!Q25="Si",'Tiendas operando '!T25," ")</f>
        <v>Lina María Díaz</v>
      </c>
      <c r="K99" s="10">
        <f>IF('Tiendas operando '!Q25="Si",'Tiendas operando '!U25," ")</f>
        <v>-74.090690102671104</v>
      </c>
      <c r="L99" s="7">
        <f>IF('Tiendas operando '!Q25="Si",'Tiendas operando '!V25," ")</f>
        <v>4.6325043800228798</v>
      </c>
      <c r="M99" s="2" t="s">
        <v>42</v>
      </c>
      <c r="N99" s="2" t="s">
        <v>63</v>
      </c>
      <c r="O99" s="2"/>
      <c r="P99" s="2"/>
      <c r="Q99" s="2"/>
      <c r="R99" s="2"/>
      <c r="S99" s="2"/>
      <c r="T99" s="2"/>
      <c r="U99" s="2"/>
      <c r="V99" s="2"/>
      <c r="W99" s="2"/>
      <c r="X99" s="2"/>
      <c r="Y99" s="2"/>
      <c r="Z99" s="2"/>
      <c r="AA99" s="2"/>
      <c r="AB99" s="2"/>
      <c r="AC99" s="2"/>
      <c r="AD99" s="2">
        <f t="shared" si="11"/>
        <v>1</v>
      </c>
      <c r="AE99" s="8" t="str">
        <f t="shared" si="12"/>
        <v>Ver en mapa</v>
      </c>
    </row>
    <row r="100" spans="1:31" ht="15" customHeight="1">
      <c r="A100" s="2">
        <v>102</v>
      </c>
      <c r="B100" s="5">
        <f>IF('Tiendas operando '!Q26="Si",'Tiendas operando '!L26," ")</f>
        <v>46043</v>
      </c>
      <c r="C100" s="5">
        <f>IF('Tiendas operando '!Q26="Si",'Tiendas operando '!M26," ")</f>
        <v>46044</v>
      </c>
      <c r="D100" s="30">
        <f>IF('Tiendas operando '!Q26="Si",'Tiendas operando '!N26," ")</f>
        <v>1</v>
      </c>
      <c r="E100" s="5" t="str">
        <f>IF('Tiendas operando '!Q26="Si",'Tiendas operando '!O26," ")</f>
        <v>Laura</v>
      </c>
      <c r="F100" s="2" t="s">
        <v>22</v>
      </c>
      <c r="G100" s="17" t="s">
        <v>283</v>
      </c>
      <c r="H100" s="2" t="str">
        <f>IF('Tiendas operando '!Q26="Si",'Tiendas operando '!S26," ")</f>
        <v>Black 24</v>
      </c>
      <c r="I100" s="2" t="s">
        <v>25</v>
      </c>
      <c r="J100" s="2" t="str">
        <f>IF('Tiendas operando '!Q26="Si",'Tiendas operando '!T26," ")</f>
        <v>Lina María Díaz</v>
      </c>
      <c r="K100" s="10">
        <f>IF('Tiendas operando '!Q26="Si",'Tiendas operando '!U26," ")</f>
        <v>-74.0938211</v>
      </c>
      <c r="L100" s="7">
        <f>IF('Tiendas operando '!Q26="Si",'Tiendas operando '!V26," ")</f>
        <v>4.6325199000000001</v>
      </c>
      <c r="M100" s="2" t="s">
        <v>260</v>
      </c>
      <c r="N100" s="2" t="s">
        <v>63</v>
      </c>
      <c r="O100" s="2"/>
      <c r="P100" s="2"/>
      <c r="Q100" s="2"/>
      <c r="R100" s="2"/>
      <c r="S100" s="2"/>
      <c r="T100" s="2"/>
      <c r="U100" s="2"/>
      <c r="V100" s="2"/>
      <c r="W100" s="2"/>
      <c r="X100" s="2"/>
      <c r="Y100" s="2"/>
      <c r="Z100" s="2"/>
      <c r="AA100" s="2"/>
      <c r="AB100" s="2"/>
      <c r="AC100" s="2"/>
      <c r="AD100" s="2">
        <f t="shared" si="11"/>
        <v>1</v>
      </c>
      <c r="AE100" s="8" t="str">
        <f t="shared" si="12"/>
        <v>Ver en mapa</v>
      </c>
    </row>
    <row r="101" spans="1:31" ht="15" customHeight="1">
      <c r="A101" s="2">
        <v>103</v>
      </c>
      <c r="B101" s="5">
        <f>IF('Tiendas operando '!Q27="Si",'Tiendas operando '!L27," ")</f>
        <v>46043</v>
      </c>
      <c r="C101" s="5">
        <f>IF('Tiendas operando '!Q27="Si",'Tiendas operando '!M27," ")</f>
        <v>46044</v>
      </c>
      <c r="D101" s="30">
        <f>IF('Tiendas operando '!Q27="Si",'Tiendas operando '!N27," ")</f>
        <v>1</v>
      </c>
      <c r="E101" s="5" t="str">
        <f>IF('Tiendas operando '!Q27="Si",'Tiendas operando '!O27," ")</f>
        <v>Isabela</v>
      </c>
      <c r="F101" s="2" t="s">
        <v>22</v>
      </c>
      <c r="G101" s="17" t="s">
        <v>284</v>
      </c>
      <c r="H101" s="2" t="str">
        <f>IF('Tiendas operando '!Q27="Si",'Tiendas operando '!S27," ")</f>
        <v>Americas Grafiti</v>
      </c>
      <c r="I101" s="2" t="s">
        <v>25</v>
      </c>
      <c r="J101" s="2" t="str">
        <f>IF('Tiendas operando '!Q27="Si",'Tiendas operando '!T27," ")</f>
        <v>Jaime Rodrigo Gutierrez Perez</v>
      </c>
      <c r="K101" s="10">
        <f>IF('Tiendas operando '!Q27="Si",'Tiendas operando '!U27," ")</f>
        <v>-74.116269488054002</v>
      </c>
      <c r="L101" s="7">
        <f>IF('Tiendas operando '!Q27="Si",'Tiendas operando '!V27," ")</f>
        <v>4.6277724754043197</v>
      </c>
      <c r="M101" s="2" t="s">
        <v>285</v>
      </c>
      <c r="N101" s="2" t="s">
        <v>63</v>
      </c>
      <c r="O101" s="2"/>
      <c r="P101" s="2"/>
      <c r="Q101" s="2"/>
      <c r="R101" s="2"/>
      <c r="S101" s="2"/>
      <c r="T101" s="2"/>
      <c r="U101" s="2"/>
      <c r="V101" s="2"/>
      <c r="W101" s="2"/>
      <c r="X101" s="2"/>
      <c r="Y101" s="2"/>
      <c r="Z101" s="2"/>
      <c r="AA101" s="2"/>
      <c r="AB101" s="2"/>
      <c r="AC101" s="2"/>
      <c r="AD101" s="2">
        <f t="shared" si="11"/>
        <v>1</v>
      </c>
      <c r="AE101" s="8" t="str">
        <f t="shared" si="12"/>
        <v>Ver en mapa</v>
      </c>
    </row>
    <row r="102" spans="1:31" ht="15" customHeight="1">
      <c r="A102" s="2">
        <v>104</v>
      </c>
      <c r="B102" s="5">
        <v>46050</v>
      </c>
      <c r="C102" s="5">
        <v>46051</v>
      </c>
      <c r="D102" s="30">
        <f>IF('Tiendas operando '!Q28="Si",'Tiendas operando '!N28," ")</f>
        <v>1</v>
      </c>
      <c r="E102" s="5" t="s">
        <v>254</v>
      </c>
      <c r="F102" s="2" t="s">
        <v>22</v>
      </c>
      <c r="G102" s="17" t="s">
        <v>286</v>
      </c>
      <c r="H102" s="2" t="s">
        <v>287</v>
      </c>
      <c r="I102" s="2" t="s">
        <v>25</v>
      </c>
      <c r="J102" s="2" t="s">
        <v>80</v>
      </c>
      <c r="K102" s="10">
        <f>IF('Tiendas operando '!Q28="Si",'Tiendas operando '!U28," ")</f>
        <v>-74.076706504297107</v>
      </c>
      <c r="L102" s="7">
        <f>IF('Tiendas operando '!Q28="Si",'Tiendas operando '!V28," ")</f>
        <v>4.6424581541535703</v>
      </c>
      <c r="M102" s="2" t="s">
        <v>288</v>
      </c>
      <c r="N102" s="2" t="s">
        <v>63</v>
      </c>
      <c r="O102" s="2"/>
      <c r="P102" s="2"/>
      <c r="Q102" s="2"/>
      <c r="R102" s="2"/>
      <c r="S102" s="2"/>
      <c r="T102" s="2"/>
      <c r="U102" s="2"/>
      <c r="V102" s="2"/>
      <c r="W102" s="2"/>
      <c r="X102" s="2"/>
      <c r="Y102" s="2"/>
      <c r="Z102" s="2"/>
      <c r="AA102" s="2"/>
      <c r="AB102" s="2"/>
      <c r="AC102" s="2"/>
      <c r="AD102" s="2">
        <f t="shared" si="11"/>
        <v>1</v>
      </c>
      <c r="AE102" s="8" t="str">
        <f t="shared" si="12"/>
        <v>Ver en mapa</v>
      </c>
    </row>
    <row r="103" spans="1:31" ht="15" customHeight="1">
      <c r="A103" s="2">
        <v>105</v>
      </c>
      <c r="B103" s="5">
        <f>IF('Tiendas operando '!Q29="Si",'Tiendas operando '!L29," ")</f>
        <v>46045</v>
      </c>
      <c r="C103" s="5">
        <f>IF('Tiendas operando '!Q29="Si",'Tiendas operando '!M29," ")</f>
        <v>46048</v>
      </c>
      <c r="D103" s="30">
        <f>IF('Tiendas operando '!Q29="Si",'Tiendas operando '!N29," ")</f>
        <v>3</v>
      </c>
      <c r="E103" s="5" t="str">
        <f>IF('Tiendas operando '!Q29="Si",'Tiendas operando '!O29," ")</f>
        <v>Isabela</v>
      </c>
      <c r="F103" s="2" t="s">
        <v>22</v>
      </c>
      <c r="G103" s="17" t="s">
        <v>270</v>
      </c>
      <c r="H103" s="2" t="str">
        <f>IF('Tiendas operando '!Q29="Si",'Tiendas operando '!S29," ")</f>
        <v>Parque Chapinero</v>
      </c>
      <c r="I103" s="2" t="s">
        <v>25</v>
      </c>
      <c r="J103" s="2" t="str">
        <f>IF('Tiendas operando '!Q29="Si",'Tiendas operando '!T29," ")</f>
        <v>Laura Valentina Avila Gutierrez</v>
      </c>
      <c r="K103" s="10">
        <f>IF('Tiendas operando '!Q29="Si",'Tiendas operando '!U29," ")</f>
        <v>-74.0606255707972</v>
      </c>
      <c r="L103" s="7">
        <f>IF('Tiendas operando '!Q29="Si",'Tiendas operando '!V29," ")</f>
        <v>4.6483148149220002</v>
      </c>
      <c r="M103" s="2" t="s">
        <v>289</v>
      </c>
      <c r="N103" s="2" t="s">
        <v>63</v>
      </c>
      <c r="O103" s="2" t="s">
        <v>290</v>
      </c>
      <c r="P103" s="2" t="s">
        <v>63</v>
      </c>
      <c r="Q103" s="2"/>
      <c r="R103" s="2" t="s">
        <v>271</v>
      </c>
      <c r="S103" s="2" t="s">
        <v>63</v>
      </c>
      <c r="T103" s="2"/>
      <c r="U103" s="2" t="s">
        <v>291</v>
      </c>
      <c r="V103" s="2" t="s">
        <v>63</v>
      </c>
      <c r="W103" s="2"/>
      <c r="X103" s="2"/>
      <c r="Y103" s="2"/>
      <c r="Z103" s="2"/>
      <c r="AA103" s="2"/>
      <c r="AB103" s="2"/>
      <c r="AC103" s="2"/>
      <c r="AD103" s="2">
        <f t="shared" si="11"/>
        <v>4</v>
      </c>
      <c r="AE103" s="8" t="str">
        <f t="shared" si="12"/>
        <v>Ver en mapa</v>
      </c>
    </row>
    <row r="104" spans="1:31" ht="15" customHeight="1">
      <c r="A104" s="2">
        <v>106</v>
      </c>
      <c r="B104" s="5">
        <f>IF('Tiendas operando '!Q30="Si",'Tiendas operando '!L30," ")</f>
        <v>46048</v>
      </c>
      <c r="C104" s="5">
        <f>IF('Tiendas operando '!Q30="Si",'Tiendas operando '!M30," ")</f>
        <v>46049</v>
      </c>
      <c r="D104" s="30">
        <f>IF('Tiendas operando '!Q30="Si",'Tiendas operando '!N30," ")</f>
        <v>1</v>
      </c>
      <c r="E104" s="5" t="str">
        <f>IF('Tiendas operando '!Q30="Si",'Tiendas operando '!O30," ")</f>
        <v>Isabela</v>
      </c>
      <c r="F104" s="2" t="s">
        <v>22</v>
      </c>
      <c r="G104" s="17" t="s">
        <v>261</v>
      </c>
      <c r="H104" s="2" t="str">
        <f>IF('Tiendas operando '!Q30="Si",'Tiendas operando '!S30," ")</f>
        <v>Indigo 93</v>
      </c>
      <c r="I104" s="2" t="s">
        <v>25</v>
      </c>
      <c r="J104" s="2" t="str">
        <f>IF('Tiendas operando '!Q30="Si",'Tiendas operando '!T30," ")</f>
        <v>Jaime Rodrigo Gutierrez Perez</v>
      </c>
      <c r="K104" s="10">
        <f>IF('Tiendas operando '!Q30="Si",'Tiendas operando '!U30," ")</f>
        <v>-74.049668672086398</v>
      </c>
      <c r="L104" s="7">
        <f>IF('Tiendas operando '!Q30="Si",'Tiendas operando '!V30," ")</f>
        <v>4.67800238325305</v>
      </c>
      <c r="M104" s="2" t="s">
        <v>267</v>
      </c>
      <c r="N104" s="2" t="s">
        <v>63</v>
      </c>
      <c r="O104" s="2"/>
      <c r="P104" s="2"/>
      <c r="Q104" s="2"/>
      <c r="R104" s="2"/>
      <c r="S104" s="2"/>
      <c r="T104" s="2"/>
      <c r="U104" s="2"/>
      <c r="V104" s="2"/>
      <c r="W104" s="2"/>
      <c r="X104" s="2"/>
      <c r="Y104" s="2"/>
      <c r="Z104" s="2"/>
      <c r="AA104" s="2"/>
      <c r="AB104" s="2"/>
      <c r="AC104" s="2"/>
      <c r="AD104" s="2">
        <f t="shared" si="11"/>
        <v>1</v>
      </c>
      <c r="AE104" s="8" t="str">
        <f t="shared" si="12"/>
        <v>Ver en mapa</v>
      </c>
    </row>
    <row r="105" spans="1:31" ht="15" customHeight="1">
      <c r="A105" s="2">
        <v>107</v>
      </c>
      <c r="B105" s="5">
        <f>IF('Tiendas operando '!Q31="Si",'Tiendas operando '!L31," ")</f>
        <v>46048</v>
      </c>
      <c r="C105" s="5">
        <f>IF('Tiendas operando '!Q31="Si",'Tiendas operando '!M31," ")</f>
        <v>46050</v>
      </c>
      <c r="D105" s="30">
        <f>IF('Tiendas operando '!Q31="Si",'Tiendas operando '!N31," ")</f>
        <v>2</v>
      </c>
      <c r="E105" s="5" t="str">
        <f>IF('Tiendas operando '!Q31="Si",'Tiendas operando '!O31," ")</f>
        <v>Isabela</v>
      </c>
      <c r="F105" s="2" t="s">
        <v>22</v>
      </c>
      <c r="G105" s="17" t="s">
        <v>261</v>
      </c>
      <c r="H105" s="2" t="str">
        <f>IF('Tiendas operando '!Q31="Si",'Tiendas operando '!S31," ")</f>
        <v>72 Kuepa</v>
      </c>
      <c r="I105" s="2" t="s">
        <v>25</v>
      </c>
      <c r="J105" s="2" t="str">
        <f>IF('Tiendas operando '!Q31="Si",'Tiendas operando '!T31," ")</f>
        <v>Jaime Rodrigo Gutierrez Perez</v>
      </c>
      <c r="K105" s="10">
        <f>IF('Tiendas operando '!Q31="Si",'Tiendas operando '!U31," ")</f>
        <v>-74.060628105323502</v>
      </c>
      <c r="L105" s="7">
        <f>IF('Tiendas operando '!Q31="Si",'Tiendas operando '!V31," ")</f>
        <v>4.6587165894731504</v>
      </c>
      <c r="M105" s="2" t="s">
        <v>292</v>
      </c>
      <c r="N105" s="2" t="s">
        <v>28</v>
      </c>
      <c r="O105" s="2" t="s">
        <v>279</v>
      </c>
      <c r="P105" s="2" t="s">
        <v>40</v>
      </c>
      <c r="Q105" s="2"/>
      <c r="R105" s="2"/>
      <c r="S105" s="2"/>
      <c r="T105" s="2"/>
      <c r="U105" s="2"/>
      <c r="V105" s="2"/>
      <c r="W105" s="2"/>
      <c r="X105" s="2"/>
      <c r="Y105" s="2"/>
      <c r="Z105" s="2"/>
      <c r="AA105" s="2"/>
      <c r="AB105" s="2"/>
      <c r="AC105" s="2"/>
      <c r="AD105" s="2">
        <f t="shared" si="11"/>
        <v>2</v>
      </c>
      <c r="AE105" s="8" t="str">
        <f t="shared" si="12"/>
        <v>Ver en mapa</v>
      </c>
    </row>
    <row r="106" spans="1:31" ht="15" customHeight="1">
      <c r="A106" s="2">
        <v>108</v>
      </c>
      <c r="B106" s="5">
        <f>IF('Tiendas operando '!Q32="Si",'Tiendas operando '!L32," ")</f>
        <v>46050</v>
      </c>
      <c r="C106" s="5">
        <f>IF('Tiendas operando '!Q32="Si",'Tiendas operando '!M32," ")</f>
        <v>46051</v>
      </c>
      <c r="D106" s="30">
        <f>IF('Tiendas operando '!Q32="Si",'Tiendas operando '!N32," ")</f>
        <v>1</v>
      </c>
      <c r="E106" s="5" t="str">
        <f>IF('Tiendas operando '!Q32="Si",'Tiendas operando '!O32," ")</f>
        <v>Laura</v>
      </c>
      <c r="F106" s="2" t="s">
        <v>293</v>
      </c>
      <c r="G106" s="17" t="s">
        <v>294</v>
      </c>
      <c r="H106" s="2" t="str">
        <f>IF('Tiendas operando '!Q32="Si",'Tiendas operando '!S32," ")</f>
        <v>Torre C</v>
      </c>
      <c r="I106" s="2" t="s">
        <v>25</v>
      </c>
      <c r="J106" s="2" t="str">
        <f>IF('Tiendas operando '!Q32="Si",'Tiendas operando '!T32," ")</f>
        <v>Lina María Díaz</v>
      </c>
      <c r="K106" s="10">
        <f>IF('Tiendas operando '!Q32="Si",'Tiendas operando '!U32," ")</f>
        <v>-74.070089999999993</v>
      </c>
      <c r="L106" s="7">
        <f>IF('Tiendas operando '!Q32="Si",'Tiendas operando '!V32," ")</f>
        <v>4.6104702</v>
      </c>
      <c r="M106" s="2" t="s">
        <v>79</v>
      </c>
      <c r="N106" s="2" t="s">
        <v>40</v>
      </c>
      <c r="O106" s="2"/>
      <c r="P106" s="2"/>
      <c r="Q106" s="2"/>
      <c r="R106" s="2"/>
      <c r="S106" s="2"/>
      <c r="T106" s="2"/>
      <c r="U106" s="2"/>
      <c r="V106" s="2"/>
      <c r="W106" s="2"/>
      <c r="X106" s="2"/>
      <c r="Y106" s="2"/>
      <c r="Z106" s="2"/>
      <c r="AA106" s="2"/>
      <c r="AB106" s="2"/>
      <c r="AC106" s="2"/>
      <c r="AD106" s="2">
        <f t="shared" si="11"/>
        <v>1</v>
      </c>
      <c r="AE106" s="8" t="str">
        <f t="shared" si="12"/>
        <v>Ver en mapa</v>
      </c>
    </row>
    <row r="107" spans="1:31" ht="15" customHeight="1">
      <c r="A107" s="2">
        <v>109</v>
      </c>
      <c r="B107" s="5">
        <f>IF('Tiendas operando '!Q33="Si",'Tiendas operando '!L33," ")</f>
        <v>46050</v>
      </c>
      <c r="C107" s="5">
        <f>IF('Tiendas operando '!Q33="Si",'Tiendas operando '!M33," ")</f>
        <v>46051</v>
      </c>
      <c r="D107" s="30">
        <f>IF('Tiendas operando '!Q33="Si",'Tiendas operando '!N33," ")</f>
        <v>1</v>
      </c>
      <c r="E107" s="5" t="str">
        <f>IF('Tiendas operando '!Q33="Si",'Tiendas operando '!O33," ")</f>
        <v>Laura</v>
      </c>
      <c r="F107" s="2" t="s">
        <v>293</v>
      </c>
      <c r="G107" s="17" t="s">
        <v>295</v>
      </c>
      <c r="H107" s="2" t="str">
        <f>IF('Tiendas operando '!Q33="Si",'Tiendas operando '!S33," ")</f>
        <v>Oxxo Registraduría Usaquén</v>
      </c>
      <c r="I107" s="2" t="s">
        <v>25</v>
      </c>
      <c r="J107" s="2" t="str">
        <f>IF('Tiendas operando '!Q33="Si",'Tiendas operando '!T33," ")</f>
        <v xml:space="preserve">Martha Lopez </v>
      </c>
      <c r="K107" s="10">
        <f>IF('Tiendas operando '!Q33="Si",'Tiendas operando '!U33," ")</f>
        <v>-74.030152200000003</v>
      </c>
      <c r="L107" s="7">
        <f>IF('Tiendas operando '!Q33="Si",'Tiendas operando '!V33," ")</f>
        <v>4.698664</v>
      </c>
      <c r="M107" s="2" t="s">
        <v>257</v>
      </c>
      <c r="N107" s="2" t="s">
        <v>40</v>
      </c>
      <c r="O107" s="2"/>
      <c r="P107" s="2"/>
      <c r="Q107" s="2"/>
      <c r="R107" s="2"/>
      <c r="S107" s="2"/>
      <c r="T107" s="2"/>
      <c r="U107" s="2"/>
      <c r="V107" s="2"/>
      <c r="W107" s="2"/>
      <c r="X107" s="2"/>
      <c r="Y107" s="2"/>
      <c r="Z107" s="2"/>
      <c r="AA107" s="2"/>
      <c r="AB107" s="2"/>
      <c r="AC107" s="2"/>
      <c r="AD107" s="2">
        <f t="shared" si="11"/>
        <v>1</v>
      </c>
      <c r="AE107" s="8" t="str">
        <f t="shared" si="12"/>
        <v>Ver en mapa</v>
      </c>
    </row>
    <row r="108" spans="1:31" ht="15" customHeight="1">
      <c r="A108" s="2">
        <v>110</v>
      </c>
      <c r="B108" s="5">
        <f>IF('Tiendas operando '!Q34="Si",'Tiendas operando '!L34," ")</f>
        <v>46051</v>
      </c>
      <c r="C108" s="5">
        <f>IF('Tiendas operando '!Q34="Si",'Tiendas operando '!M34," ")</f>
        <v>46051</v>
      </c>
      <c r="D108" s="30">
        <f>IF('Tiendas operando '!Q34="Si",'Tiendas operando '!N34," ")</f>
        <v>0</v>
      </c>
      <c r="E108" s="5" t="str">
        <f>IF('Tiendas operando '!Q34="Si",'Tiendas operando '!O34," ")</f>
        <v>Laura</v>
      </c>
      <c r="F108" s="2" t="s">
        <v>293</v>
      </c>
      <c r="G108" s="17" t="s">
        <v>274</v>
      </c>
      <c r="H108" s="2" t="str">
        <f>IF('Tiendas operando '!Q34="Si",'Tiendas operando '!S34," ")</f>
        <v>Unindustriales</v>
      </c>
      <c r="I108" s="2" t="s">
        <v>25</v>
      </c>
      <c r="J108" s="2" t="str">
        <f>IF('Tiendas operando '!Q34="Si",'Tiendas operando '!T34," ")</f>
        <v>Jenny Paola Acuña Rojas</v>
      </c>
      <c r="K108" s="10">
        <f>IF('Tiendas operando '!Q34="Si",'Tiendas operando '!U34," ")</f>
        <v>-74.070583882348004</v>
      </c>
      <c r="L108" s="7">
        <f>IF('Tiendas operando '!Q34="Si",'Tiendas operando '!V34," ")</f>
        <v>4.6381720698118096</v>
      </c>
      <c r="M108" s="2" t="s">
        <v>296</v>
      </c>
      <c r="N108" s="2" t="s">
        <v>40</v>
      </c>
      <c r="O108" s="2"/>
      <c r="P108" s="2"/>
      <c r="Q108" s="2"/>
      <c r="R108" s="2"/>
      <c r="S108" s="2"/>
      <c r="T108" s="2"/>
      <c r="U108" s="2"/>
      <c r="V108" s="2"/>
      <c r="W108" s="2"/>
      <c r="X108" s="2"/>
      <c r="Y108" s="2"/>
      <c r="Z108" s="2"/>
      <c r="AA108" s="2"/>
      <c r="AB108" s="2"/>
      <c r="AC108" s="2"/>
      <c r="AD108" s="2">
        <f t="shared" si="11"/>
        <v>1</v>
      </c>
      <c r="AE108" s="8" t="str">
        <f t="shared" si="12"/>
        <v>Ver en mapa</v>
      </c>
    </row>
    <row r="109" spans="1:31" ht="15" customHeight="1">
      <c r="A109" s="2">
        <v>112</v>
      </c>
      <c r="B109" s="5">
        <f>IF('Tiendas operando '!Q36="Si",'Tiendas operando '!L36," ")</f>
        <v>46055</v>
      </c>
      <c r="C109" s="5">
        <f>IF('Tiendas operando '!Q36="Si",'Tiendas operando '!M36," ")</f>
        <v>46056</v>
      </c>
      <c r="D109" s="30">
        <f>IF('Tiendas operando '!Q36="Si",'Tiendas operando '!N36," ")</f>
        <v>1</v>
      </c>
      <c r="E109" s="5" t="str">
        <f>IF('Tiendas operando '!Q36="Si",'Tiendas operando '!O36," ")</f>
        <v>Isabela</v>
      </c>
      <c r="F109" s="2" t="s">
        <v>293</v>
      </c>
      <c r="G109" s="17" t="s">
        <v>297</v>
      </c>
      <c r="H109" s="2" t="str">
        <f>IF('Tiendas operando '!Q36="Si",'Tiendas operando '!S36," ")</f>
        <v>Occi-plus</v>
      </c>
      <c r="I109" s="2" t="s">
        <v>25</v>
      </c>
      <c r="J109" s="2" t="str">
        <f>IF('Tiendas operando '!Q36="Si",'Tiendas operando '!T36," ")</f>
        <v>Jaime Rodrigo Gutierrez Perez</v>
      </c>
      <c r="K109" s="10">
        <f>IF('Tiendas operando '!Q36="Si",'Tiendas operando '!U36," ")</f>
        <v>-74.135365255104105</v>
      </c>
      <c r="L109" s="7">
        <f>IF('Tiendas operando '!Q36="Si",'Tiendas operando '!V36," ")</f>
        <v>4.6291256659042004</v>
      </c>
      <c r="M109" s="2" t="s">
        <v>298</v>
      </c>
      <c r="N109" s="2" t="s">
        <v>40</v>
      </c>
      <c r="O109" s="2" t="s">
        <v>299</v>
      </c>
      <c r="P109" s="2" t="s">
        <v>40</v>
      </c>
      <c r="Q109" s="2"/>
      <c r="R109" s="2"/>
      <c r="S109" s="2"/>
      <c r="T109" s="2"/>
      <c r="U109" s="2"/>
      <c r="V109" s="2"/>
      <c r="W109" s="2"/>
      <c r="X109" s="2"/>
      <c r="Y109" s="2"/>
      <c r="Z109" s="2"/>
      <c r="AA109" s="2"/>
      <c r="AB109" s="2"/>
      <c r="AC109" s="2"/>
      <c r="AD109" s="2">
        <f t="shared" si="11"/>
        <v>2</v>
      </c>
      <c r="AE109" s="8" t="str">
        <f t="shared" si="12"/>
        <v>Ver en mapa</v>
      </c>
    </row>
    <row r="110" spans="1:31" ht="15" customHeight="1">
      <c r="A110" s="2">
        <v>113</v>
      </c>
      <c r="B110" s="5">
        <f>IF('Tiendas operando '!Q37="Si",'Tiendas operando '!L37," ")</f>
        <v>46055</v>
      </c>
      <c r="C110" s="5">
        <f>IF('Tiendas operando '!Q37="Si",'Tiendas operando '!M37," ")</f>
        <v>46057</v>
      </c>
      <c r="D110" s="30">
        <f>IF('Tiendas operando '!Q37="Si",'Tiendas operando '!N37," ")</f>
        <v>2</v>
      </c>
      <c r="E110" s="5" t="str">
        <f>IF('Tiendas operando '!Q37="Si",'Tiendas operando '!O37," ")</f>
        <v>Isabela</v>
      </c>
      <c r="F110" s="2" t="s">
        <v>293</v>
      </c>
      <c r="G110" s="17" t="s">
        <v>261</v>
      </c>
      <c r="H110" s="2" t="str">
        <f>IF('Tiendas operando '!Q37="Si",'Tiendas operando '!S37," ")</f>
        <v>Septima setenta</v>
      </c>
      <c r="I110" s="2" t="s">
        <v>25</v>
      </c>
      <c r="J110" s="2" t="str">
        <f>IF('Tiendas operando '!Q37="Si",'Tiendas operando '!T37," ")</f>
        <v>Jaime Rodrigo Gutierrez Perez</v>
      </c>
      <c r="K110" s="10">
        <f>IF('Tiendas operando '!Q37="Si",'Tiendas operando '!U37," ")</f>
        <v>-74.056606740342403</v>
      </c>
      <c r="L110" s="7">
        <f>IF('Tiendas operando '!Q37="Si",'Tiendas operando '!V37," ")</f>
        <v>4.6530127443081</v>
      </c>
      <c r="M110" s="2" t="s">
        <v>289</v>
      </c>
      <c r="N110" s="2" t="s">
        <v>63</v>
      </c>
      <c r="O110" s="2" t="s">
        <v>300</v>
      </c>
      <c r="P110" s="2" t="s">
        <v>40</v>
      </c>
      <c r="Q110" s="2"/>
      <c r="R110" s="2" t="s">
        <v>260</v>
      </c>
      <c r="S110" s="2" t="s">
        <v>40</v>
      </c>
      <c r="T110" s="2"/>
      <c r="U110" s="2"/>
      <c r="V110" s="2"/>
      <c r="W110" s="2"/>
      <c r="X110" s="2"/>
      <c r="Y110" s="2"/>
      <c r="Z110" s="2"/>
      <c r="AA110" s="2"/>
      <c r="AB110" s="2"/>
      <c r="AC110" s="2"/>
      <c r="AD110" s="2">
        <f t="shared" si="11"/>
        <v>3</v>
      </c>
      <c r="AE110" s="8" t="str">
        <f t="shared" si="12"/>
        <v>Ver en mapa</v>
      </c>
    </row>
    <row r="111" spans="1:31" ht="15" customHeight="1">
      <c r="A111" s="2">
        <v>114</v>
      </c>
      <c r="B111" s="5">
        <f>IF('Tiendas operando '!Q38="Si",'Tiendas operando '!L38," ")</f>
        <v>46055</v>
      </c>
      <c r="C111" s="5">
        <f>IF('Tiendas operando '!Q38="Si",'Tiendas operando '!M38," ")</f>
        <v>46057</v>
      </c>
      <c r="D111" s="30">
        <f>IF('Tiendas operando '!Q38="Si",'Tiendas operando '!N38," ")</f>
        <v>2</v>
      </c>
      <c r="E111" s="5" t="str">
        <f>IF('Tiendas operando '!Q38="Si",'Tiendas operando '!O38," ")</f>
        <v>Isabela</v>
      </c>
      <c r="F111" s="2" t="s">
        <v>293</v>
      </c>
      <c r="G111" s="17" t="s">
        <v>261</v>
      </c>
      <c r="H111" s="2" t="str">
        <f>IF('Tiendas operando '!Q38="Si",'Tiendas operando '!S38," ")</f>
        <v>Centro 93 parking</v>
      </c>
      <c r="I111" s="2" t="s">
        <v>25</v>
      </c>
      <c r="J111" s="2" t="str">
        <f>IF('Tiendas operando '!Q38="Si",'Tiendas operando '!T38," ")</f>
        <v>Jaime Rodrigo Gutierrez Perez</v>
      </c>
      <c r="K111" s="10">
        <f>IF('Tiendas operando '!Q38="Si",'Tiendas operando '!U38," ")</f>
        <v>-74.050829027999299</v>
      </c>
      <c r="L111" s="7">
        <f>IF('Tiendas operando '!Q38="Si",'Tiendas operando '!V38," ")</f>
        <v>4.6773686840432998</v>
      </c>
      <c r="M111" s="2" t="s">
        <v>267</v>
      </c>
      <c r="N111" s="2" t="s">
        <v>28</v>
      </c>
      <c r="O111" s="2"/>
      <c r="P111" s="2"/>
      <c r="Q111" s="2"/>
      <c r="R111" s="2"/>
      <c r="S111" s="2"/>
      <c r="T111" s="2"/>
      <c r="U111" s="2"/>
      <c r="V111" s="2"/>
      <c r="W111" s="2"/>
      <c r="X111" s="2"/>
      <c r="Y111" s="2"/>
      <c r="Z111" s="2"/>
      <c r="AA111" s="2"/>
      <c r="AB111" s="2"/>
      <c r="AC111" s="2"/>
      <c r="AD111" s="2">
        <f t="shared" si="11"/>
        <v>1</v>
      </c>
      <c r="AE111" s="8" t="str">
        <f t="shared" si="12"/>
        <v>Ver en mapa</v>
      </c>
    </row>
    <row r="112" spans="1:31" ht="15" customHeight="1">
      <c r="A112" s="2">
        <v>115</v>
      </c>
      <c r="B112" s="5">
        <f>IF('Tiendas operando '!Q39="Si",'Tiendas operando '!L39," ")</f>
        <v>46055</v>
      </c>
      <c r="C112" s="5">
        <f>IF('Tiendas operando '!Q39="Si",'Tiendas operando '!M39," ")</f>
        <v>46057</v>
      </c>
      <c r="D112" s="30">
        <f>IF('Tiendas operando '!Q39="Si",'Tiendas operando '!N39," ")</f>
        <v>2</v>
      </c>
      <c r="E112" s="5" t="str">
        <f>IF('Tiendas operando '!Q39="Si",'Tiendas operando '!O39," ")</f>
        <v>Isabela</v>
      </c>
      <c r="F112" s="2" t="s">
        <v>293</v>
      </c>
      <c r="G112" s="17" t="s">
        <v>301</v>
      </c>
      <c r="H112" s="2" t="str">
        <f>IF('Tiendas operando '!Q39="Si",'Tiendas operando '!S39," ")</f>
        <v>Kennedy Cade</v>
      </c>
      <c r="I112" s="2" t="s">
        <v>25</v>
      </c>
      <c r="J112" s="2" t="str">
        <f>IF('Tiendas operando '!Q39="Si",'Tiendas operando '!T39," ")</f>
        <v>Jaime Rodrigo Gutierrez Perez</v>
      </c>
      <c r="K112" s="10">
        <f>IF('Tiendas operando '!Q39="Si",'Tiendas operando '!U39," ")</f>
        <v>-74.153979298692207</v>
      </c>
      <c r="L112" s="7">
        <f>IF('Tiendas operando '!Q39="Si",'Tiendas operando '!V39," ")</f>
        <v>4.62320056248379</v>
      </c>
      <c r="M112" s="2" t="s">
        <v>302</v>
      </c>
      <c r="N112" s="2" t="s">
        <v>40</v>
      </c>
      <c r="O112" s="2"/>
      <c r="P112" s="2"/>
      <c r="Q112" s="2"/>
      <c r="R112" s="2"/>
      <c r="S112" s="2"/>
      <c r="T112" s="2"/>
      <c r="U112" s="2"/>
      <c r="V112" s="2"/>
      <c r="W112" s="2"/>
      <c r="X112" s="2"/>
      <c r="Y112" s="2"/>
      <c r="Z112" s="2"/>
      <c r="AA112" s="2"/>
      <c r="AB112" s="2"/>
      <c r="AC112" s="2"/>
      <c r="AD112" s="2">
        <f t="shared" si="11"/>
        <v>1</v>
      </c>
      <c r="AE112" s="8" t="str">
        <f t="shared" si="12"/>
        <v>Ver en mapa</v>
      </c>
    </row>
    <row r="113" spans="1:31" ht="15" customHeight="1">
      <c r="A113" s="2">
        <v>116</v>
      </c>
      <c r="B113" s="5">
        <f>IF('Tiendas operando '!Q40="Si",'Tiendas operando '!L40," ")</f>
        <v>46055</v>
      </c>
      <c r="C113" s="5">
        <f>IF('Tiendas operando '!Q40="Si",'Tiendas operando '!M40," ")</f>
        <v>46058</v>
      </c>
      <c r="D113" s="30">
        <f>IF('Tiendas operando '!Q40="Si",'Tiendas operando '!N40," ")</f>
        <v>3</v>
      </c>
      <c r="E113" s="5" t="str">
        <f>IF('Tiendas operando '!Q40="Si",'Tiendas operando '!O40," ")</f>
        <v>Isabela</v>
      </c>
      <c r="F113" s="2" t="s">
        <v>293</v>
      </c>
      <c r="G113" s="17" t="s">
        <v>261</v>
      </c>
      <c r="H113" s="2" t="str">
        <f>IF('Tiendas operando '!Q40="Si",'Tiendas operando '!S40," ")</f>
        <v>Lago 82-15</v>
      </c>
      <c r="I113" s="2" t="s">
        <v>25</v>
      </c>
      <c r="J113" s="2" t="str">
        <f>IF('Tiendas operando '!Q40="Si",'Tiendas operando '!T40," ")</f>
        <v>Jaime Rodrigo Gutierrez Perez</v>
      </c>
      <c r="K113" s="10">
        <f>IF('Tiendas operando '!Q40="Si",'Tiendas operando '!U40," ")</f>
        <v>-74.056671607745699</v>
      </c>
      <c r="L113" s="7">
        <f>IF('Tiendas operando '!Q40="Si",'Tiendas operando '!V40," ")</f>
        <v>4.6674207410567199</v>
      </c>
      <c r="M113" s="2" t="s">
        <v>303</v>
      </c>
      <c r="N113" s="2" t="s">
        <v>63</v>
      </c>
      <c r="O113" s="2" t="s">
        <v>304</v>
      </c>
      <c r="P113" s="2" t="s">
        <v>28</v>
      </c>
      <c r="Q113" s="2"/>
      <c r="R113" s="2" t="s">
        <v>305</v>
      </c>
      <c r="S113" s="2" t="s">
        <v>63</v>
      </c>
      <c r="T113" s="2"/>
      <c r="U113" s="2" t="s">
        <v>66</v>
      </c>
      <c r="V113" s="2" t="s">
        <v>63</v>
      </c>
      <c r="W113" s="2"/>
      <c r="X113" s="2"/>
      <c r="Y113" s="2"/>
      <c r="Z113" s="2"/>
      <c r="AA113" s="2"/>
      <c r="AB113" s="2"/>
      <c r="AC113" s="2"/>
      <c r="AD113" s="2">
        <f t="shared" si="11"/>
        <v>4</v>
      </c>
      <c r="AE113" s="8" t="str">
        <f t="shared" si="12"/>
        <v>Ver en mapa</v>
      </c>
    </row>
    <row r="114" spans="1:31" ht="15" customHeight="1">
      <c r="A114" s="2">
        <v>117</v>
      </c>
      <c r="B114" s="5">
        <f>IF('Tiendas operando '!Q41="Si",'Tiendas operando '!L41," ")</f>
        <v>46055</v>
      </c>
      <c r="C114" s="5">
        <f>IF('Tiendas operando '!Q41="Si",'Tiendas operando '!M41," ")</f>
        <v>46059</v>
      </c>
      <c r="D114" s="30">
        <f>IF('Tiendas operando '!Q41="Si",'Tiendas operando '!N41," ")</f>
        <v>4</v>
      </c>
      <c r="E114" s="5" t="str">
        <f>IF('Tiendas operando '!Q41="Si",'Tiendas operando '!O41," ")</f>
        <v>Isabela</v>
      </c>
      <c r="F114" s="2" t="s">
        <v>293</v>
      </c>
      <c r="G114" s="17" t="s">
        <v>261</v>
      </c>
      <c r="H114" s="74" t="str">
        <f>IF('Tiendas operando '!Q41="Si",'Tiendas operando '!S41," ")</f>
        <v>Quince</v>
      </c>
      <c r="I114" s="2" t="s">
        <v>25</v>
      </c>
      <c r="J114" s="2" t="str">
        <f>IF('Tiendas operando '!Q41="Si",'Tiendas operando '!T41," ")</f>
        <v>Jaime Rodrigo Gutierrez Perez</v>
      </c>
      <c r="K114" s="10">
        <f>IF('Tiendas operando '!Q41="Si",'Tiendas operando '!U41," ")</f>
        <v>-74.0592548312286</v>
      </c>
      <c r="L114" s="7">
        <f>IF('Tiendas operando '!Q41="Si",'Tiendas operando '!V41," ")</f>
        <v>4.6624870371826201</v>
      </c>
      <c r="M114" s="2" t="s">
        <v>279</v>
      </c>
      <c r="N114" s="2" t="s">
        <v>40</v>
      </c>
      <c r="O114" s="2" t="s">
        <v>306</v>
      </c>
      <c r="P114" s="2" t="s">
        <v>28</v>
      </c>
      <c r="Q114" s="2"/>
      <c r="R114" s="2" t="s">
        <v>280</v>
      </c>
      <c r="S114" s="2" t="s">
        <v>28</v>
      </c>
      <c r="T114" s="2"/>
      <c r="U114" s="2" t="s">
        <v>307</v>
      </c>
      <c r="V114" s="2" t="s">
        <v>63</v>
      </c>
      <c r="W114" s="2"/>
      <c r="X114" s="2"/>
      <c r="Y114" s="2"/>
      <c r="Z114" s="2"/>
      <c r="AA114" s="2"/>
      <c r="AB114" s="2"/>
      <c r="AC114" s="2"/>
      <c r="AD114" s="2">
        <f t="shared" si="11"/>
        <v>4</v>
      </c>
      <c r="AE114" s="8" t="str">
        <f t="shared" si="12"/>
        <v>Ver en mapa</v>
      </c>
    </row>
    <row r="115" spans="1:31" ht="15" customHeight="1">
      <c r="A115" s="2">
        <v>118</v>
      </c>
      <c r="B115" s="5">
        <f>IF('Tiendas operando '!Q42="Si",'Tiendas operando '!L42," ")</f>
        <v>46055</v>
      </c>
      <c r="C115" s="5">
        <f>IF('Tiendas operando '!Q42="Si",'Tiendas operando '!M42," ")</f>
        <v>46058</v>
      </c>
      <c r="D115" s="30">
        <f>IF('Tiendas operando '!Q42="Si",'Tiendas operando '!N42," ")</f>
        <v>3</v>
      </c>
      <c r="E115" s="5" t="str">
        <f>IF('Tiendas operando '!Q42="Si",'Tiendas operando '!O42," ")</f>
        <v>Isabela</v>
      </c>
      <c r="F115" s="2" t="s">
        <v>293</v>
      </c>
      <c r="G115" s="17" t="s">
        <v>308</v>
      </c>
      <c r="H115" s="2" t="str">
        <f>IF('Tiendas operando '!Q42="Si",'Tiendas operando '!S42," ")</f>
        <v>Punto 72</v>
      </c>
      <c r="I115" s="2" t="s">
        <v>25</v>
      </c>
      <c r="J115" s="2" t="str">
        <f>IF('Tiendas operando '!Q42="Si",'Tiendas operando '!T42," ")</f>
        <v>Jaime Rodrigo Gutierrez Perez</v>
      </c>
      <c r="K115" s="10">
        <f>IF('Tiendas operando '!Q42="Si",'Tiendas operando '!U42," ")</f>
        <v>-74.106410090219597</v>
      </c>
      <c r="L115" s="7">
        <f>IF('Tiendas operando '!Q42="Si",'Tiendas operando '!V42," ")</f>
        <v>4.6966203123819596</v>
      </c>
      <c r="M115" s="2" t="s">
        <v>309</v>
      </c>
      <c r="N115" s="2" t="s">
        <v>40</v>
      </c>
      <c r="O115" s="2"/>
      <c r="P115" s="2"/>
      <c r="Q115" s="2"/>
      <c r="R115" s="2"/>
      <c r="S115" s="2"/>
      <c r="T115" s="2"/>
      <c r="U115" s="2"/>
      <c r="V115" s="2"/>
      <c r="W115" s="2"/>
      <c r="X115" s="2"/>
      <c r="Y115" s="2"/>
      <c r="Z115" s="2"/>
      <c r="AA115" s="2"/>
      <c r="AB115" s="2"/>
      <c r="AC115" s="2"/>
      <c r="AD115" s="2">
        <f t="shared" si="11"/>
        <v>1</v>
      </c>
      <c r="AE115" s="8" t="str">
        <f t="shared" si="12"/>
        <v>Ver en mapa</v>
      </c>
    </row>
    <row r="116" spans="1:31" ht="15" customHeight="1">
      <c r="A116" s="2">
        <v>119</v>
      </c>
      <c r="B116" s="5">
        <f>IF('Tiendas operando '!Q43="Si",'Tiendas operando '!L43," ")</f>
        <v>46055</v>
      </c>
      <c r="C116" s="5">
        <f>IF('Tiendas operando '!Q43="Si",'Tiendas operando '!M43," ")</f>
        <v>46059</v>
      </c>
      <c r="D116" s="30">
        <f>IF('Tiendas operando '!Q43="Si",'Tiendas operando '!N43," ")</f>
        <v>4</v>
      </c>
      <c r="E116" s="5" t="str">
        <f>IF('Tiendas operando '!Q43="Si",'Tiendas operando '!O43," ")</f>
        <v>Isabela</v>
      </c>
      <c r="F116" s="2" t="s">
        <v>293</v>
      </c>
      <c r="G116" s="17" t="s">
        <v>261</v>
      </c>
      <c r="H116" s="2" t="str">
        <f>IF('Tiendas operando '!Q43="Si",'Tiendas operando '!S43," ")</f>
        <v xml:space="preserve">Once setenta y dos </v>
      </c>
      <c r="I116" s="2" t="s">
        <v>25</v>
      </c>
      <c r="J116" s="2" t="str">
        <f>IF('Tiendas operando '!Q43="Si",'Tiendas operando '!T43," ")</f>
        <v>Jaime Rodrigo Gutierrez Perez</v>
      </c>
      <c r="K116" s="10">
        <f>IF('Tiendas operando '!Q43="Si",'Tiendas operando '!U43," ")</f>
        <v>-74.059219248796396</v>
      </c>
      <c r="L116" s="7">
        <f>IF('Tiendas operando '!Q43="Si",'Tiendas operando '!V43," ")</f>
        <v>4.6573060134871502</v>
      </c>
      <c r="M116" s="2" t="s">
        <v>279</v>
      </c>
      <c r="N116" s="2" t="s">
        <v>40</v>
      </c>
      <c r="O116" s="2" t="s">
        <v>292</v>
      </c>
      <c r="P116" s="2" t="s">
        <v>28</v>
      </c>
      <c r="Q116" s="2"/>
      <c r="R116" s="2" t="s">
        <v>262</v>
      </c>
      <c r="S116" s="2" t="s">
        <v>40</v>
      </c>
      <c r="T116" s="2"/>
      <c r="U116" s="2" t="s">
        <v>300</v>
      </c>
      <c r="V116" s="2" t="s">
        <v>63</v>
      </c>
      <c r="W116" s="2"/>
      <c r="X116" s="2"/>
      <c r="Y116" s="2"/>
      <c r="Z116" s="2"/>
      <c r="AA116" s="2"/>
      <c r="AB116" s="2"/>
      <c r="AC116" s="2"/>
      <c r="AD116" s="2">
        <f t="shared" si="11"/>
        <v>4</v>
      </c>
      <c r="AE116" s="8" t="str">
        <f t="shared" si="12"/>
        <v>Ver en mapa</v>
      </c>
    </row>
    <row r="117" spans="1:31" ht="15" customHeight="1">
      <c r="A117" s="2">
        <v>120</v>
      </c>
      <c r="B117" s="5">
        <f>IF('Tiendas operando '!Q44="Si",'Tiendas operando '!L44," ")</f>
        <v>46055</v>
      </c>
      <c r="C117" s="5">
        <f>IF('Tiendas operando '!Q44="Si",'Tiendas operando '!M44," ")</f>
        <v>46056</v>
      </c>
      <c r="D117" s="30">
        <f>IF('Tiendas operando '!Q44="Si",'Tiendas operando '!N44," ")</f>
        <v>1</v>
      </c>
      <c r="E117" s="5" t="str">
        <f>IF('Tiendas operando '!Q44="Si",'Tiendas operando '!O44," ")</f>
        <v>Isabela</v>
      </c>
      <c r="F117" s="2" t="s">
        <v>293</v>
      </c>
      <c r="G117" s="17" t="s">
        <v>270</v>
      </c>
      <c r="H117" s="74" t="str">
        <f>IF('Tiendas operando '!Q44="Si",'Tiendas operando '!S44," ")</f>
        <v>Torre 40/13</v>
      </c>
      <c r="I117" s="2" t="s">
        <v>25</v>
      </c>
      <c r="J117" s="2" t="str">
        <f>IF('Tiendas operando '!Q44="Si",'Tiendas operando '!T44," ")</f>
        <v>Laura Valentina Avila Gutierrez</v>
      </c>
      <c r="K117" s="10">
        <f>IF('Tiendas operando '!Q44="Si",'Tiendas operando '!U44," ")</f>
        <v>-74.067325525669801</v>
      </c>
      <c r="L117" s="7">
        <f>IF('Tiendas operando '!Q44="Si",'Tiendas operando '!V44," ")</f>
        <v>4.6275108934629001</v>
      </c>
      <c r="M117" s="2" t="s">
        <v>310</v>
      </c>
      <c r="N117" s="2" t="s">
        <v>63</v>
      </c>
      <c r="O117" s="2" t="s">
        <v>185</v>
      </c>
      <c r="P117" s="2" t="s">
        <v>63</v>
      </c>
      <c r="Q117" s="2"/>
      <c r="R117" s="2"/>
      <c r="S117" s="2"/>
      <c r="T117" s="2"/>
      <c r="U117" s="2"/>
      <c r="V117" s="2"/>
      <c r="W117" s="2"/>
      <c r="X117" s="2"/>
      <c r="Y117" s="2"/>
      <c r="Z117" s="2"/>
      <c r="AA117" s="2"/>
      <c r="AB117" s="2"/>
      <c r="AC117" s="2"/>
      <c r="AD117" s="2">
        <f t="shared" si="11"/>
        <v>2</v>
      </c>
      <c r="AE117" s="8" t="str">
        <f t="shared" si="12"/>
        <v>Ver en mapa</v>
      </c>
    </row>
    <row r="118" spans="1:31" ht="15" customHeight="1">
      <c r="A118" s="2">
        <v>121</v>
      </c>
      <c r="B118" s="5">
        <f>IF('Tiendas operando '!Q45="Si",'Tiendas operando '!L45," ")</f>
        <v>46055</v>
      </c>
      <c r="C118" s="5">
        <f>IF('Tiendas operando '!Q45="Si",'Tiendas operando '!M45," ")</f>
        <v>46057</v>
      </c>
      <c r="D118" s="30">
        <f>IF('Tiendas operando '!Q45="Si",'Tiendas operando '!N45," ")</f>
        <v>2</v>
      </c>
      <c r="E118" s="5" t="str">
        <f>IF('Tiendas operando '!Q45="Si",'Tiendas operando '!O45," ")</f>
        <v>Isabela</v>
      </c>
      <c r="F118" s="2" t="s">
        <v>293</v>
      </c>
      <c r="G118" s="17" t="s">
        <v>295</v>
      </c>
      <c r="H118" s="2" t="str">
        <f>IF('Tiendas operando '!Q45="Si",'Tiendas operando '!S45," ")</f>
        <v>Zula</v>
      </c>
      <c r="I118" s="2" t="s">
        <v>25</v>
      </c>
      <c r="J118" s="2" t="str">
        <f>IF('Tiendas operando '!Q45="Si",'Tiendas operando '!T45," ")</f>
        <v>Alejandra Rojas Romero</v>
      </c>
      <c r="K118" s="10">
        <f>IF('Tiendas operando '!Q45="Si",'Tiendas operando '!U45," ")</f>
        <v>-74.031138442284401</v>
      </c>
      <c r="L118" s="7">
        <f>IF('Tiendas operando '!Q45="Si",'Tiendas operando '!V45," ")</f>
        <v>4.6969266455545498</v>
      </c>
      <c r="M118" s="2" t="s">
        <v>311</v>
      </c>
      <c r="N118" s="2" t="s">
        <v>63</v>
      </c>
      <c r="O118" s="2"/>
      <c r="P118" s="2"/>
      <c r="Q118" s="2"/>
      <c r="R118" s="2"/>
      <c r="S118" s="2"/>
      <c r="T118" s="2"/>
      <c r="U118" s="2"/>
      <c r="V118" s="2"/>
      <c r="W118" s="2"/>
      <c r="X118" s="2"/>
      <c r="Y118" s="2"/>
      <c r="Z118" s="2"/>
      <c r="AA118" s="2"/>
      <c r="AB118" s="2"/>
      <c r="AC118" s="2"/>
      <c r="AD118" s="2">
        <f t="shared" si="11"/>
        <v>1</v>
      </c>
      <c r="AE118" s="8" t="str">
        <f t="shared" si="12"/>
        <v>Ver en mapa</v>
      </c>
    </row>
    <row r="119" spans="1:31" ht="15" customHeight="1">
      <c r="A119" s="2">
        <v>122</v>
      </c>
      <c r="B119" s="5">
        <f>IF('Tiendas operando '!Q46="Si",'Tiendas operando '!L46," ")</f>
        <v>46055</v>
      </c>
      <c r="C119" s="5">
        <v>46059</v>
      </c>
      <c r="D119" s="30">
        <f>C119-B119</f>
        <v>4</v>
      </c>
      <c r="E119" s="5" t="str">
        <f>IF('Tiendas operando '!Q46="Si",'Tiendas operando '!O46," ")</f>
        <v>Isabela</v>
      </c>
      <c r="F119" s="2" t="s">
        <v>293</v>
      </c>
      <c r="G119" s="17" t="s">
        <v>312</v>
      </c>
      <c r="H119" s="2" t="str">
        <f>IF('Tiendas operando '!Q46="Si",'Tiendas operando '!S46," ")</f>
        <v>Toberín 164</v>
      </c>
      <c r="I119" s="2" t="s">
        <v>25</v>
      </c>
      <c r="J119" s="2" t="str">
        <f>IF('Tiendas operando '!Q46="Si",'Tiendas operando '!T46," ")</f>
        <v>Alejandra Rojas Romero</v>
      </c>
      <c r="K119" s="10">
        <f>IF('Tiendas operando '!Q46="Si",'Tiendas operando '!U46," ")</f>
        <v>-74.046978285008194</v>
      </c>
      <c r="L119" s="7">
        <f>IF('Tiendas operando '!Q46="Si",'Tiendas operando '!V46," ")</f>
        <v>4.7453553742998196</v>
      </c>
      <c r="M119" s="2" t="s">
        <v>313</v>
      </c>
      <c r="N119" s="2" t="s">
        <v>28</v>
      </c>
      <c r="O119" s="2"/>
      <c r="P119" s="2"/>
      <c r="Q119" s="2"/>
      <c r="R119" s="2"/>
      <c r="S119" s="2"/>
      <c r="T119" s="2"/>
      <c r="U119" s="2"/>
      <c r="V119" s="2"/>
      <c r="W119" s="2"/>
      <c r="X119" s="2"/>
      <c r="Y119" s="2"/>
      <c r="Z119" s="2"/>
      <c r="AA119" s="2"/>
      <c r="AB119" s="2"/>
      <c r="AC119" s="2"/>
      <c r="AD119" s="2">
        <f t="shared" si="11"/>
        <v>1</v>
      </c>
      <c r="AE119" s="8" t="str">
        <f t="shared" si="12"/>
        <v>Ver en mapa</v>
      </c>
    </row>
    <row r="120" spans="1:31" ht="15" customHeight="1">
      <c r="A120" s="2">
        <v>123</v>
      </c>
      <c r="B120" s="5">
        <f>IF('Tiendas operando '!Q47="Si",'Tiendas operando '!L47," ")</f>
        <v>46058</v>
      </c>
      <c r="C120" s="5">
        <f>IF('Tiendas operando '!Q47="Si",'Tiendas operando '!M47," ")</f>
        <v>46063</v>
      </c>
      <c r="D120" s="30">
        <f>IF('Tiendas operando '!Q47="Si",'Tiendas operando '!N47," ")</f>
        <v>5</v>
      </c>
      <c r="E120" s="5" t="str">
        <f>IF('Tiendas operando '!Q47="Si",'Tiendas operando '!O47," ")</f>
        <v>Isabela</v>
      </c>
      <c r="F120" s="2" t="s">
        <v>293</v>
      </c>
      <c r="G120" s="17" t="s">
        <v>270</v>
      </c>
      <c r="H120" s="2" t="str">
        <f>IF('Tiendas operando '!Q47="Si",'Tiendas operando '!S47," ")</f>
        <v>Traslado Cosmos</v>
      </c>
      <c r="I120" s="2" t="s">
        <v>25</v>
      </c>
      <c r="J120" s="2" t="str">
        <f>IF('Tiendas operando '!Q47="Si",'Tiendas operando '!T47," ")</f>
        <v>Laura Valentina Avila Gutierrez</v>
      </c>
      <c r="K120" s="10">
        <f>IF('Tiendas operando '!Q47="Si",'Tiendas operando '!U47," ")</f>
        <v>-74.063381720742498</v>
      </c>
      <c r="L120" s="7">
        <f>IF('Tiendas operando '!Q47="Si",'Tiendas operando '!V47," ")</f>
        <v>4.6506721375576303</v>
      </c>
      <c r="M120" s="2" t="s">
        <v>291</v>
      </c>
      <c r="N120" s="2" t="s">
        <v>28</v>
      </c>
      <c r="O120" s="2"/>
      <c r="P120" s="2"/>
      <c r="Q120" s="2"/>
      <c r="R120" s="2"/>
      <c r="S120" s="2"/>
      <c r="T120" s="2"/>
      <c r="U120" s="2"/>
      <c r="V120" s="2"/>
      <c r="W120" s="2"/>
      <c r="X120" s="2"/>
      <c r="Y120" s="2"/>
      <c r="Z120" s="2"/>
      <c r="AA120" s="2"/>
      <c r="AB120" s="2"/>
      <c r="AC120" s="2"/>
      <c r="AD120" s="2">
        <f t="shared" ref="AD120:AD149" si="13">COUNTA(M120,O120,R120,U120,X120,AA120)</f>
        <v>1</v>
      </c>
      <c r="AE120" s="8" t="str">
        <f t="shared" si="12"/>
        <v>Ver en mapa</v>
      </c>
    </row>
    <row r="121" spans="1:31" ht="15" customHeight="1">
      <c r="A121" s="2">
        <v>124</v>
      </c>
      <c r="B121" s="5">
        <f>IF('Tiendas operando '!Q48="Si",'Tiendas operando '!L48," ")</f>
        <v>46059</v>
      </c>
      <c r="C121" s="5">
        <f>IF('Tiendas operando '!Q48="Si",'Tiendas operando '!M48," ")</f>
        <v>46062</v>
      </c>
      <c r="D121" s="30">
        <f>IF('Tiendas operando '!Q48="Si",'Tiendas operando '!N48," ")</f>
        <v>3</v>
      </c>
      <c r="E121" s="5" t="str">
        <f>IF('Tiendas operando '!Q48="Si",'Tiendas operando '!O48," ")</f>
        <v>Isabela</v>
      </c>
      <c r="F121" s="2" t="s">
        <v>293</v>
      </c>
      <c r="G121" s="17" t="s">
        <v>314</v>
      </c>
      <c r="H121" s="2" t="str">
        <f>IF('Tiendas operando '!Q48="Si",'Tiendas operando '!S48," ")</f>
        <v>Fontibon Centro</v>
      </c>
      <c r="I121" s="2" t="s">
        <v>25</v>
      </c>
      <c r="J121" s="2" t="str">
        <f>IF('Tiendas operando '!Q48="Si",'Tiendas operando '!T48," ")</f>
        <v>Laura Valentina Avila Gutierrez</v>
      </c>
      <c r="K121" s="10">
        <f>IF('Tiendas operando '!Q48="Si",'Tiendas operando '!U48," ")</f>
        <v>-74.144337948107804</v>
      </c>
      <c r="L121" s="7">
        <f>IF('Tiendas operando '!Q48="Si",'Tiendas operando '!V48," ")</f>
        <v>4.6742180530524804</v>
      </c>
      <c r="M121" s="2" t="s">
        <v>315</v>
      </c>
      <c r="N121" s="2" t="s">
        <v>28</v>
      </c>
      <c r="O121" s="2" t="s">
        <v>316</v>
      </c>
      <c r="P121" s="2" t="s">
        <v>40</v>
      </c>
      <c r="Q121" s="2"/>
      <c r="R121" s="2"/>
      <c r="S121" s="2"/>
      <c r="T121" s="2"/>
      <c r="U121" s="2"/>
      <c r="V121" s="2"/>
      <c r="W121" s="2"/>
      <c r="X121" s="2"/>
      <c r="Y121" s="2"/>
      <c r="Z121" s="2"/>
      <c r="AA121" s="2"/>
      <c r="AB121" s="2"/>
      <c r="AC121" s="2"/>
      <c r="AD121" s="2">
        <f t="shared" si="13"/>
        <v>2</v>
      </c>
      <c r="AE121" s="8" t="str">
        <f t="shared" si="12"/>
        <v>Ver en mapa</v>
      </c>
    </row>
    <row r="122" spans="1:31" ht="15" customHeight="1">
      <c r="A122" s="2">
        <v>125</v>
      </c>
      <c r="B122" s="5">
        <f>IF('Tiendas operando '!Q49="Si",'Tiendas operando '!L49," ")</f>
        <v>46059</v>
      </c>
      <c r="C122" s="5">
        <f>IF('Tiendas operando '!Q49="Si",'Tiendas operando '!M49," ")</f>
        <v>46062</v>
      </c>
      <c r="D122" s="30">
        <f>IF('Tiendas operando '!Q49="Si",'Tiendas operando '!N49," ")</f>
        <v>3</v>
      </c>
      <c r="E122" s="5" t="str">
        <f>IF('Tiendas operando '!Q49="Si",'Tiendas operando '!O49," ")</f>
        <v>Isabela</v>
      </c>
      <c r="F122" s="2" t="s">
        <v>293</v>
      </c>
      <c r="G122" s="17" t="s">
        <v>314</v>
      </c>
      <c r="H122" s="2" t="str">
        <f>IF('Tiendas operando '!Q49="Si",'Tiendas operando '!S49," ")</f>
        <v xml:space="preserve">Fontibon Parque </v>
      </c>
      <c r="I122" s="2" t="s">
        <v>25</v>
      </c>
      <c r="J122" s="2" t="str">
        <f>IF('Tiendas operando '!Q49="Si",'Tiendas operando '!T49," ")</f>
        <v>Laura Valentina Avila Gutierrez</v>
      </c>
      <c r="K122" s="10">
        <f>IF('Tiendas operando '!Q49="Si",'Tiendas operando '!U49," ")</f>
        <v>-74.143321291848295</v>
      </c>
      <c r="L122" s="7">
        <f>IF('Tiendas operando '!Q49="Si",'Tiendas operando '!V49," ")</f>
        <v>4.6752559648875103</v>
      </c>
      <c r="M122" s="2" t="s">
        <v>315</v>
      </c>
      <c r="N122" s="2" t="s">
        <v>28</v>
      </c>
      <c r="O122" s="2" t="s">
        <v>316</v>
      </c>
      <c r="P122" s="2" t="s">
        <v>28</v>
      </c>
      <c r="Q122" s="2"/>
      <c r="R122" s="2"/>
      <c r="S122" s="2"/>
      <c r="T122" s="2"/>
      <c r="U122" s="2"/>
      <c r="V122" s="2"/>
      <c r="W122" s="2"/>
      <c r="X122" s="2"/>
      <c r="Y122" s="2"/>
      <c r="Z122" s="2"/>
      <c r="AA122" s="2"/>
      <c r="AB122" s="2"/>
      <c r="AC122" s="2"/>
      <c r="AD122" s="2">
        <f t="shared" si="13"/>
        <v>2</v>
      </c>
      <c r="AE122" s="8" t="str">
        <f t="shared" si="12"/>
        <v>Ver en mapa</v>
      </c>
    </row>
    <row r="123" spans="1:31" ht="15" customHeight="1">
      <c r="A123" s="2">
        <v>126</v>
      </c>
      <c r="B123" s="5">
        <v>46064</v>
      </c>
      <c r="C123" s="5">
        <v>46065</v>
      </c>
      <c r="D123" s="30">
        <f>C123-B123</f>
        <v>1</v>
      </c>
      <c r="E123" s="5" t="s">
        <v>317</v>
      </c>
      <c r="F123" s="2" t="s">
        <v>293</v>
      </c>
      <c r="G123" s="17" t="s">
        <v>318</v>
      </c>
      <c r="H123" s="2" t="s">
        <v>319</v>
      </c>
      <c r="I123" s="2" t="s">
        <v>25</v>
      </c>
      <c r="J123" s="2" t="s">
        <v>48</v>
      </c>
      <c r="K123" s="7">
        <v>-74.063195131378606</v>
      </c>
      <c r="L123" s="7">
        <v>4.63772683777752</v>
      </c>
      <c r="M123" s="2" t="s">
        <v>290</v>
      </c>
      <c r="N123" s="2" t="s">
        <v>28</v>
      </c>
      <c r="AD123" s="2">
        <f t="shared" si="13"/>
        <v>1</v>
      </c>
      <c r="AE123" s="8" t="str">
        <f t="shared" si="12"/>
        <v>Ver en mapa</v>
      </c>
    </row>
    <row r="124" spans="1:31" ht="15" customHeight="1">
      <c r="A124" s="2">
        <v>127</v>
      </c>
      <c r="B124" s="5">
        <v>46064</v>
      </c>
      <c r="C124" s="5">
        <v>46065</v>
      </c>
      <c r="D124" s="30">
        <f>C124-B124</f>
        <v>1</v>
      </c>
      <c r="E124" s="5" t="s">
        <v>317</v>
      </c>
      <c r="F124" s="2" t="s">
        <v>320</v>
      </c>
      <c r="G124" s="17" t="s">
        <v>321</v>
      </c>
      <c r="H124" s="2" t="s">
        <v>322</v>
      </c>
      <c r="I124" s="2" t="s">
        <v>25</v>
      </c>
      <c r="J124" s="2" t="s">
        <v>48</v>
      </c>
      <c r="K124" s="7">
        <v>-76.527482014064603</v>
      </c>
      <c r="L124" s="45">
        <v>3.4709989992027399</v>
      </c>
      <c r="M124" s="2" t="s">
        <v>323</v>
      </c>
      <c r="N124" s="2" t="s">
        <v>40</v>
      </c>
      <c r="AD124" s="2">
        <f t="shared" si="13"/>
        <v>1</v>
      </c>
      <c r="AE124" s="8" t="str">
        <f t="shared" si="12"/>
        <v>Ver en mapa</v>
      </c>
    </row>
    <row r="125" spans="1:31" ht="15" customHeight="1">
      <c r="A125" s="2">
        <v>128</v>
      </c>
      <c r="B125" s="5">
        <v>46062</v>
      </c>
      <c r="C125" s="5">
        <v>46065</v>
      </c>
      <c r="D125" s="30">
        <f t="shared" ref="D125:D128" si="14">C125-B125</f>
        <v>3</v>
      </c>
      <c r="E125" s="5" t="s">
        <v>317</v>
      </c>
      <c r="F125" s="2" t="s">
        <v>293</v>
      </c>
      <c r="G125" s="17" t="s">
        <v>270</v>
      </c>
      <c r="H125" s="2" t="s">
        <v>324</v>
      </c>
      <c r="I125" s="2" t="s">
        <v>25</v>
      </c>
      <c r="J125" s="2" t="s">
        <v>325</v>
      </c>
      <c r="K125" s="7">
        <v>-74.060303602646002</v>
      </c>
      <c r="L125" s="45">
        <v>4.6482781484412197</v>
      </c>
      <c r="M125" s="2" t="s">
        <v>271</v>
      </c>
      <c r="N125" s="2" t="s">
        <v>63</v>
      </c>
      <c r="O125" s="2" t="s">
        <v>290</v>
      </c>
      <c r="P125" s="2" t="s">
        <v>63</v>
      </c>
      <c r="Q125" s="2"/>
      <c r="R125" s="2" t="s">
        <v>291</v>
      </c>
      <c r="S125" s="2" t="s">
        <v>63</v>
      </c>
      <c r="T125" s="2"/>
      <c r="U125" s="2" t="s">
        <v>289</v>
      </c>
      <c r="V125" s="2" t="s">
        <v>63</v>
      </c>
      <c r="W125" s="2"/>
      <c r="AD125" s="2">
        <f t="shared" si="13"/>
        <v>4</v>
      </c>
      <c r="AE125" s="8" t="str">
        <f t="shared" si="12"/>
        <v>Ver en mapa</v>
      </c>
    </row>
    <row r="126" spans="1:31" ht="15" customHeight="1">
      <c r="A126" s="2">
        <v>129</v>
      </c>
      <c r="B126" s="5">
        <v>46062</v>
      </c>
      <c r="C126" s="5">
        <v>46065</v>
      </c>
      <c r="D126" s="30">
        <f t="shared" si="14"/>
        <v>3</v>
      </c>
      <c r="E126" s="5" t="s">
        <v>317</v>
      </c>
      <c r="F126" s="2" t="s">
        <v>293</v>
      </c>
      <c r="G126" s="17" t="s">
        <v>261</v>
      </c>
      <c r="H126" s="2" t="s">
        <v>326</v>
      </c>
      <c r="I126" s="2" t="s">
        <v>25</v>
      </c>
      <c r="J126" s="2" t="s">
        <v>327</v>
      </c>
      <c r="K126" s="7">
        <v>-74.097381031819793</v>
      </c>
      <c r="L126" s="45">
        <v>4.6248323293699496</v>
      </c>
      <c r="M126" s="2" t="s">
        <v>328</v>
      </c>
      <c r="N126" s="2" t="s">
        <v>63</v>
      </c>
      <c r="O126" s="2" t="s">
        <v>329</v>
      </c>
      <c r="P126" s="2" t="s">
        <v>63</v>
      </c>
      <c r="Q126" s="2"/>
      <c r="AD126" s="2">
        <f t="shared" si="13"/>
        <v>2</v>
      </c>
      <c r="AE126" s="8" t="str">
        <f t="shared" si="12"/>
        <v>Ver en mapa</v>
      </c>
    </row>
    <row r="127" spans="1:31" ht="15" customHeight="1">
      <c r="A127" s="2">
        <v>130</v>
      </c>
      <c r="B127" s="5">
        <v>46062</v>
      </c>
      <c r="C127" s="5">
        <v>46065</v>
      </c>
      <c r="D127" s="30">
        <f t="shared" si="14"/>
        <v>3</v>
      </c>
      <c r="E127" s="5" t="s">
        <v>317</v>
      </c>
      <c r="F127" s="2" t="s">
        <v>293</v>
      </c>
      <c r="G127" s="17" t="s">
        <v>261</v>
      </c>
      <c r="H127" s="2" t="s">
        <v>330</v>
      </c>
      <c r="I127" s="2" t="s">
        <v>25</v>
      </c>
      <c r="J127" s="2" t="s">
        <v>327</v>
      </c>
      <c r="K127" s="7">
        <v>-74.047262952360299</v>
      </c>
      <c r="L127" s="45">
        <v>4.6833534766817104</v>
      </c>
      <c r="M127" s="2" t="s">
        <v>267</v>
      </c>
      <c r="N127" s="2" t="s">
        <v>63</v>
      </c>
      <c r="O127" s="2" t="s">
        <v>266</v>
      </c>
      <c r="P127" s="2" t="s">
        <v>28</v>
      </c>
      <c r="Q127" s="2"/>
      <c r="AD127" s="2">
        <f t="shared" si="13"/>
        <v>2</v>
      </c>
      <c r="AE127" s="8" t="str">
        <f t="shared" si="12"/>
        <v>Ver en mapa</v>
      </c>
    </row>
    <row r="128" spans="1:31" ht="15" customHeight="1">
      <c r="A128" s="2">
        <v>131</v>
      </c>
      <c r="B128" s="5">
        <v>46062</v>
      </c>
      <c r="C128" s="5">
        <v>46065</v>
      </c>
      <c r="D128" s="30">
        <f t="shared" si="14"/>
        <v>3</v>
      </c>
      <c r="E128" s="5" t="s">
        <v>317</v>
      </c>
      <c r="F128" s="2" t="s">
        <v>293</v>
      </c>
      <c r="G128" s="17" t="s">
        <v>331</v>
      </c>
      <c r="H128" s="2" t="s">
        <v>332</v>
      </c>
      <c r="I128" s="2" t="s">
        <v>25</v>
      </c>
      <c r="J128" s="2" t="s">
        <v>327</v>
      </c>
      <c r="K128" s="7">
        <v>-74.050883179207105</v>
      </c>
      <c r="L128" s="45">
        <v>4.6784451692812503</v>
      </c>
      <c r="M128" s="2" t="s">
        <v>333</v>
      </c>
      <c r="N128" s="2" t="s">
        <v>28</v>
      </c>
      <c r="O128" s="2"/>
      <c r="P128" s="2"/>
      <c r="Q128" s="2"/>
      <c r="AD128" s="2">
        <f t="shared" si="13"/>
        <v>1</v>
      </c>
      <c r="AE128" s="44" t="str">
        <f t="shared" si="12"/>
        <v>Ver en mapa</v>
      </c>
    </row>
    <row r="129" spans="1:31" ht="15" customHeight="1">
      <c r="A129" s="2">
        <v>132</v>
      </c>
      <c r="B129" s="5">
        <v>46065</v>
      </c>
      <c r="C129" s="5">
        <v>46066</v>
      </c>
      <c r="D129" s="30">
        <f t="shared" ref="D129" si="15">C129-B129</f>
        <v>1</v>
      </c>
      <c r="E129" s="5" t="s">
        <v>317</v>
      </c>
      <c r="F129" s="2" t="s">
        <v>293</v>
      </c>
      <c r="G129" s="17" t="s">
        <v>334</v>
      </c>
      <c r="H129" s="2" t="s">
        <v>335</v>
      </c>
      <c r="I129" s="2" t="s">
        <v>25</v>
      </c>
      <c r="J129" s="2" t="s">
        <v>48</v>
      </c>
      <c r="K129" s="7">
        <v>-74.050883179207105</v>
      </c>
      <c r="L129" s="45">
        <v>4.6784451692812503</v>
      </c>
      <c r="M129" s="2" t="s">
        <v>333</v>
      </c>
      <c r="N129" s="2" t="s">
        <v>28</v>
      </c>
      <c r="AD129" s="2">
        <f t="shared" si="13"/>
        <v>1</v>
      </c>
      <c r="AE129" s="44" t="str">
        <f t="shared" si="12"/>
        <v>Ver en mapa</v>
      </c>
    </row>
    <row r="130" spans="1:31" ht="15" customHeight="1">
      <c r="A130" s="2">
        <v>133</v>
      </c>
      <c r="B130" s="5">
        <v>46065</v>
      </c>
      <c r="C130" s="5">
        <v>46066</v>
      </c>
      <c r="D130" s="30">
        <f t="shared" ref="D130" si="16">C130-B130</f>
        <v>1</v>
      </c>
      <c r="E130" s="5" t="s">
        <v>317</v>
      </c>
      <c r="F130" s="2" t="s">
        <v>293</v>
      </c>
      <c r="G130" s="17" t="s">
        <v>334</v>
      </c>
      <c r="H130" s="2" t="s">
        <v>336</v>
      </c>
      <c r="I130" s="2" t="s">
        <v>25</v>
      </c>
      <c r="J130" s="2" t="s">
        <v>48</v>
      </c>
      <c r="K130" s="7">
        <v>-74.050883179207105</v>
      </c>
      <c r="L130" s="45">
        <v>4.6784451692812503</v>
      </c>
      <c r="M130" s="2" t="s">
        <v>265</v>
      </c>
      <c r="N130" s="2" t="s">
        <v>28</v>
      </c>
      <c r="AD130" s="2">
        <f t="shared" si="13"/>
        <v>1</v>
      </c>
      <c r="AE130" s="44" t="str">
        <f t="shared" si="12"/>
        <v>Ver en mapa</v>
      </c>
    </row>
    <row r="131" spans="1:31" ht="15" customHeight="1">
      <c r="A131" s="24">
        <v>134</v>
      </c>
      <c r="B131" s="5">
        <v>46064</v>
      </c>
      <c r="C131" s="5">
        <v>46069</v>
      </c>
      <c r="D131" s="30">
        <f>C131-B131</f>
        <v>5</v>
      </c>
      <c r="E131" s="5" t="s">
        <v>254</v>
      </c>
      <c r="F131" s="2" t="s">
        <v>293</v>
      </c>
      <c r="G131" s="17" t="s">
        <v>270</v>
      </c>
      <c r="H131" s="2" t="s">
        <v>337</v>
      </c>
      <c r="I131" s="2" t="s">
        <v>25</v>
      </c>
      <c r="J131" s="2" t="s">
        <v>80</v>
      </c>
      <c r="K131" s="7">
        <v>-74.062040499999995</v>
      </c>
      <c r="L131" s="45">
        <v>4.6501792999999996</v>
      </c>
      <c r="M131" s="2" t="s">
        <v>291</v>
      </c>
      <c r="N131" s="2" t="s">
        <v>40</v>
      </c>
      <c r="O131" s="2" t="s">
        <v>289</v>
      </c>
      <c r="P131" s="2" t="s">
        <v>63</v>
      </c>
      <c r="Q131" s="2"/>
      <c r="R131" s="2" t="s">
        <v>271</v>
      </c>
      <c r="S131" s="2" t="s">
        <v>40</v>
      </c>
      <c r="T131" s="2"/>
      <c r="AD131" s="2">
        <f t="shared" si="13"/>
        <v>3</v>
      </c>
      <c r="AE131" s="44" t="str">
        <f t="shared" si="12"/>
        <v>Ver en mapa</v>
      </c>
    </row>
    <row r="132" spans="1:31" ht="15" customHeight="1">
      <c r="A132" s="2">
        <v>135</v>
      </c>
      <c r="B132" s="5">
        <v>46064</v>
      </c>
      <c r="C132" s="5">
        <v>46069</v>
      </c>
      <c r="D132" s="30">
        <f>C132-B132</f>
        <v>5</v>
      </c>
      <c r="E132" s="5" t="s">
        <v>254</v>
      </c>
      <c r="F132" s="2" t="s">
        <v>293</v>
      </c>
      <c r="G132" s="17" t="s">
        <v>338</v>
      </c>
      <c r="H132" s="2" t="s">
        <v>339</v>
      </c>
      <c r="I132" s="2" t="s">
        <v>25</v>
      </c>
      <c r="J132" s="2" t="s">
        <v>80</v>
      </c>
      <c r="K132" s="7"/>
      <c r="L132" s="45"/>
      <c r="M132" s="2"/>
      <c r="N132" s="2"/>
      <c r="O132" s="2"/>
      <c r="P132" s="2"/>
      <c r="Q132" s="2"/>
      <c r="R132" s="2"/>
      <c r="S132" s="2"/>
      <c r="T132" s="2"/>
      <c r="AD132" s="2">
        <f t="shared" si="13"/>
        <v>0</v>
      </c>
      <c r="AE132" s="44" t="str">
        <f t="shared" si="12"/>
        <v>Ver en mapa</v>
      </c>
    </row>
    <row r="133" spans="1:31" ht="15" customHeight="1">
      <c r="A133" s="24">
        <v>136</v>
      </c>
      <c r="B133" s="5">
        <v>46064</v>
      </c>
      <c r="C133" s="5">
        <v>46066</v>
      </c>
      <c r="D133" s="30">
        <f>C133-B133</f>
        <v>2</v>
      </c>
      <c r="E133" s="5" t="s">
        <v>254</v>
      </c>
      <c r="F133" s="2" t="s">
        <v>293</v>
      </c>
      <c r="G133" s="17" t="s">
        <v>274</v>
      </c>
      <c r="H133" s="2" t="s">
        <v>340</v>
      </c>
      <c r="I133" s="2" t="s">
        <v>25</v>
      </c>
      <c r="J133" s="2" t="s">
        <v>38</v>
      </c>
      <c r="K133" s="7">
        <v>-74.068619746035296</v>
      </c>
      <c r="L133" s="7">
        <v>4.6391193021141497</v>
      </c>
      <c r="M133" s="2" t="s">
        <v>341</v>
      </c>
      <c r="N133" s="2" t="s">
        <v>40</v>
      </c>
      <c r="O133" s="2" t="s">
        <v>296</v>
      </c>
      <c r="P133" s="2" t="s">
        <v>28</v>
      </c>
      <c r="Q133" s="2"/>
      <c r="R133" s="2"/>
      <c r="AD133" s="2">
        <f t="shared" si="13"/>
        <v>2</v>
      </c>
      <c r="AE133" s="44" t="str">
        <f t="shared" si="12"/>
        <v>Ver en mapa</v>
      </c>
    </row>
    <row r="134" spans="1:31" ht="15" customHeight="1">
      <c r="A134" s="2">
        <v>137</v>
      </c>
      <c r="B134" s="5">
        <v>46070</v>
      </c>
      <c r="C134" s="5">
        <v>46071</v>
      </c>
      <c r="D134" s="30">
        <f t="shared" ref="D134:D135" si="17">C134-B134</f>
        <v>1</v>
      </c>
      <c r="E134" s="5" t="s">
        <v>317</v>
      </c>
      <c r="F134" s="2" t="s">
        <v>293</v>
      </c>
      <c r="G134" s="17" t="s">
        <v>261</v>
      </c>
      <c r="H134" s="2" t="s">
        <v>342</v>
      </c>
      <c r="I134" s="2" t="s">
        <v>25</v>
      </c>
      <c r="J134" s="2" t="s">
        <v>343</v>
      </c>
      <c r="K134" s="7">
        <v>-74.055857799999998</v>
      </c>
      <c r="L134" s="7">
        <v>4.6669368999999996</v>
      </c>
      <c r="M134" s="2" t="s">
        <v>303</v>
      </c>
      <c r="N134" s="2" t="s">
        <v>63</v>
      </c>
      <c r="O134" s="2" t="s">
        <v>66</v>
      </c>
      <c r="P134" s="2" t="s">
        <v>28</v>
      </c>
      <c r="Q134" s="2"/>
      <c r="R134" s="2" t="s">
        <v>305</v>
      </c>
      <c r="S134" s="2" t="s">
        <v>28</v>
      </c>
      <c r="T134" s="2"/>
      <c r="AD134" s="2">
        <f t="shared" si="13"/>
        <v>3</v>
      </c>
      <c r="AE134" s="44" t="str">
        <f t="shared" si="12"/>
        <v>Ver en mapa</v>
      </c>
    </row>
    <row r="135" spans="1:31" ht="15" customHeight="1">
      <c r="A135" s="24">
        <v>138</v>
      </c>
      <c r="B135" s="5">
        <v>46070</v>
      </c>
      <c r="C135" s="5">
        <v>46071</v>
      </c>
      <c r="D135" s="30">
        <f t="shared" si="17"/>
        <v>1</v>
      </c>
      <c r="E135" s="5" t="s">
        <v>317</v>
      </c>
      <c r="F135" s="2" t="s">
        <v>293</v>
      </c>
      <c r="G135" s="17" t="s">
        <v>261</v>
      </c>
      <c r="H135" s="2" t="s">
        <v>344</v>
      </c>
      <c r="I135" s="2" t="s">
        <v>25</v>
      </c>
      <c r="J135" s="2" t="s">
        <v>343</v>
      </c>
      <c r="K135" s="7">
        <v>-74.046611499999997</v>
      </c>
      <c r="L135" s="7">
        <v>4.6774971000000001</v>
      </c>
      <c r="M135" s="2" t="s">
        <v>345</v>
      </c>
      <c r="N135" s="2" t="s">
        <v>28</v>
      </c>
      <c r="O135" s="2" t="s">
        <v>83</v>
      </c>
      <c r="P135" s="2" t="s">
        <v>63</v>
      </c>
      <c r="Q135" s="2"/>
      <c r="AD135" s="2">
        <f t="shared" si="13"/>
        <v>2</v>
      </c>
      <c r="AE135" s="44" t="str">
        <f t="shared" ref="AE135:AE146" si="18">+HYPERLINK("https://www.google.com/maps?q=" &amp; SUBSTITUTE(L135, ",", ".") &amp; "," &amp; SUBSTITUTE(K135, ",", "."),"Ver en mapa")</f>
        <v>Ver en mapa</v>
      </c>
    </row>
    <row r="136" spans="1:31" ht="15" customHeight="1">
      <c r="A136" s="2">
        <v>139</v>
      </c>
      <c r="B136" s="5">
        <v>46076</v>
      </c>
      <c r="C136" s="5">
        <v>46077</v>
      </c>
      <c r="D136" s="30">
        <f>C136-B136</f>
        <v>1</v>
      </c>
      <c r="E136" s="5" t="s">
        <v>254</v>
      </c>
      <c r="F136" s="2" t="s">
        <v>293</v>
      </c>
      <c r="G136" s="17" t="s">
        <v>338</v>
      </c>
      <c r="H136" s="2" t="s">
        <v>346</v>
      </c>
      <c r="I136" s="2" t="s">
        <v>25</v>
      </c>
      <c r="J136" s="2" t="s">
        <v>80</v>
      </c>
      <c r="K136" s="7">
        <v>-74.100162198151395</v>
      </c>
      <c r="L136" s="7">
        <v>4.58541565694079</v>
      </c>
      <c r="M136" s="2" t="s">
        <v>347</v>
      </c>
      <c r="N136" s="2" t="s">
        <v>63</v>
      </c>
      <c r="O136" s="2" t="s">
        <v>348</v>
      </c>
      <c r="P136" s="2" t="s">
        <v>63</v>
      </c>
      <c r="Q136" s="2"/>
      <c r="AD136" s="2">
        <f t="shared" si="13"/>
        <v>2</v>
      </c>
      <c r="AE136" s="44" t="str">
        <f t="shared" si="18"/>
        <v>Ver en mapa</v>
      </c>
    </row>
    <row r="137" spans="1:31" ht="15" customHeight="1">
      <c r="A137" s="2">
        <v>140</v>
      </c>
      <c r="B137" s="5">
        <v>46073</v>
      </c>
      <c r="C137" s="5">
        <v>46073</v>
      </c>
      <c r="D137" s="5"/>
      <c r="E137" s="5" t="s">
        <v>317</v>
      </c>
      <c r="F137" s="2" t="s">
        <v>293</v>
      </c>
      <c r="G137" s="17" t="s">
        <v>314</v>
      </c>
      <c r="H137" s="2" t="s">
        <v>349</v>
      </c>
      <c r="I137" s="2" t="s">
        <v>25</v>
      </c>
      <c r="J137" s="2" t="s">
        <v>325</v>
      </c>
      <c r="K137" s="7">
        <v>-74.144552768635293</v>
      </c>
      <c r="L137" s="7">
        <v>4.6713972047663397</v>
      </c>
      <c r="M137" s="7" t="s">
        <v>350</v>
      </c>
      <c r="N137" s="2" t="s">
        <v>28</v>
      </c>
      <c r="O137" s="2"/>
      <c r="P137" s="2"/>
      <c r="Q137" s="2"/>
      <c r="R137" s="2"/>
      <c r="S137" s="2"/>
      <c r="T137" s="2"/>
      <c r="AD137" s="2">
        <f t="shared" si="13"/>
        <v>1</v>
      </c>
      <c r="AE137" s="44" t="str">
        <f t="shared" si="18"/>
        <v>Ver en mapa</v>
      </c>
    </row>
    <row r="138" spans="1:31" ht="15" customHeight="1">
      <c r="A138" s="2">
        <v>141</v>
      </c>
      <c r="B138" s="5">
        <v>46073</v>
      </c>
      <c r="C138" s="5">
        <v>46076</v>
      </c>
      <c r="D138" s="30">
        <f t="shared" ref="D138:D139" si="19">C138-B138</f>
        <v>3</v>
      </c>
      <c r="E138" s="5" t="s">
        <v>317</v>
      </c>
      <c r="F138" s="2" t="s">
        <v>293</v>
      </c>
      <c r="G138" s="17" t="s">
        <v>261</v>
      </c>
      <c r="H138" s="2" t="s">
        <v>351</v>
      </c>
      <c r="I138" s="2" t="s">
        <v>25</v>
      </c>
      <c r="J138" s="2" t="s">
        <v>343</v>
      </c>
      <c r="K138" s="7">
        <v>-74.058214857510805</v>
      </c>
      <c r="L138" s="7">
        <v>4.6680741955132703</v>
      </c>
      <c r="M138" s="7" t="s">
        <v>66</v>
      </c>
      <c r="N138" s="2" t="s">
        <v>28</v>
      </c>
      <c r="O138" s="2" t="s">
        <v>303</v>
      </c>
      <c r="P138" s="2" t="s">
        <v>63</v>
      </c>
      <c r="Q138" s="2"/>
      <c r="R138" s="2" t="s">
        <v>304</v>
      </c>
      <c r="S138" s="2" t="s">
        <v>40</v>
      </c>
      <c r="T138" s="2"/>
      <c r="AD138" s="2">
        <f t="shared" si="13"/>
        <v>3</v>
      </c>
      <c r="AE138" s="44" t="str">
        <f t="shared" si="18"/>
        <v>Ver en mapa</v>
      </c>
    </row>
    <row r="139" spans="1:31" ht="15" customHeight="1">
      <c r="A139" s="24">
        <v>142</v>
      </c>
      <c r="B139" s="5">
        <v>46073</v>
      </c>
      <c r="C139" s="5">
        <v>46077</v>
      </c>
      <c r="D139" s="30">
        <f t="shared" si="19"/>
        <v>4</v>
      </c>
      <c r="E139" s="5" t="s">
        <v>317</v>
      </c>
      <c r="F139" s="2" t="s">
        <v>293</v>
      </c>
      <c r="G139" s="17" t="s">
        <v>261</v>
      </c>
      <c r="H139" s="2" t="s">
        <v>352</v>
      </c>
      <c r="I139" s="2" t="s">
        <v>25</v>
      </c>
      <c r="J139" s="2" t="s">
        <v>343</v>
      </c>
      <c r="K139" s="7">
        <v>-74.055708800000005</v>
      </c>
      <c r="L139" s="7">
        <v>4.6684827999999996</v>
      </c>
      <c r="M139" s="2" t="s">
        <v>304</v>
      </c>
      <c r="N139" s="2" t="s">
        <v>63</v>
      </c>
      <c r="O139" s="2" t="s">
        <v>66</v>
      </c>
      <c r="P139" s="2" t="s">
        <v>40</v>
      </c>
      <c r="Q139" s="2"/>
      <c r="AD139" s="2">
        <f t="shared" si="13"/>
        <v>2</v>
      </c>
      <c r="AE139" s="44" t="str">
        <f t="shared" si="18"/>
        <v>Ver en mapa</v>
      </c>
    </row>
    <row r="140" spans="1:31" ht="15" customHeight="1">
      <c r="A140" s="24">
        <v>143</v>
      </c>
      <c r="B140" s="5">
        <v>46073</v>
      </c>
      <c r="C140" s="5">
        <v>46077</v>
      </c>
      <c r="D140" s="30">
        <v>4</v>
      </c>
      <c r="E140" s="5" t="s">
        <v>317</v>
      </c>
      <c r="F140" s="2" t="s">
        <v>293</v>
      </c>
      <c r="G140" s="17" t="s">
        <v>261</v>
      </c>
      <c r="H140" s="2" t="s">
        <v>353</v>
      </c>
      <c r="I140" s="2" t="s">
        <v>25</v>
      </c>
      <c r="J140" s="2" t="s">
        <v>343</v>
      </c>
      <c r="K140" s="7">
        <v>-74.052550499999995</v>
      </c>
      <c r="L140" s="7">
        <v>4.6685502999999997</v>
      </c>
      <c r="M140" s="2" t="s">
        <v>354</v>
      </c>
      <c r="N140" s="2" t="s">
        <v>28</v>
      </c>
      <c r="O140" s="2" t="s">
        <v>66</v>
      </c>
      <c r="P140" s="2" t="s">
        <v>28</v>
      </c>
      <c r="Q140" s="2"/>
      <c r="AD140" s="2">
        <f t="shared" si="13"/>
        <v>2</v>
      </c>
      <c r="AE140" s="44" t="str">
        <f t="shared" si="18"/>
        <v>Ver en mapa</v>
      </c>
    </row>
    <row r="141" spans="1:31" ht="15" customHeight="1">
      <c r="A141" s="24">
        <v>144</v>
      </c>
      <c r="B141" s="5">
        <v>46073</v>
      </c>
      <c r="C141" s="5">
        <v>46078</v>
      </c>
      <c r="D141" s="30">
        <f t="shared" ref="D141:D143" si="20">C141-B141</f>
        <v>5</v>
      </c>
      <c r="E141" s="5" t="s">
        <v>317</v>
      </c>
      <c r="F141" s="2" t="s">
        <v>293</v>
      </c>
      <c r="G141" s="53" t="s">
        <v>284</v>
      </c>
      <c r="H141" s="2" t="s">
        <v>355</v>
      </c>
      <c r="I141" s="2" t="s">
        <v>25</v>
      </c>
      <c r="J141" s="2" t="s">
        <v>343</v>
      </c>
      <c r="K141" s="7">
        <v>-74.118836099999996</v>
      </c>
      <c r="L141" s="7">
        <v>4.6281780000000001</v>
      </c>
      <c r="M141" s="2" t="s">
        <v>285</v>
      </c>
      <c r="N141" s="2" t="s">
        <v>63</v>
      </c>
      <c r="AD141" s="2">
        <f t="shared" si="13"/>
        <v>1</v>
      </c>
      <c r="AE141" s="44" t="str">
        <f t="shared" si="18"/>
        <v>Ver en mapa</v>
      </c>
    </row>
    <row r="142" spans="1:31" ht="15" customHeight="1">
      <c r="A142" s="24">
        <v>145</v>
      </c>
      <c r="B142" s="5">
        <v>46077</v>
      </c>
      <c r="C142" s="5">
        <v>46078</v>
      </c>
      <c r="D142" s="30">
        <f t="shared" si="20"/>
        <v>1</v>
      </c>
      <c r="E142" s="5" t="s">
        <v>317</v>
      </c>
      <c r="F142" s="2" t="s">
        <v>293</v>
      </c>
      <c r="G142" s="17" t="s">
        <v>261</v>
      </c>
      <c r="H142" s="2" t="s">
        <v>356</v>
      </c>
      <c r="I142" s="2" t="s">
        <v>25</v>
      </c>
      <c r="J142" s="2" t="s">
        <v>343</v>
      </c>
      <c r="K142" s="7">
        <v>-74.044951400000002</v>
      </c>
      <c r="L142" s="7">
        <v>4.6814689999999999</v>
      </c>
      <c r="M142" s="2" t="s">
        <v>357</v>
      </c>
      <c r="N142" s="2" t="s">
        <v>28</v>
      </c>
      <c r="O142" s="2" t="s">
        <v>329</v>
      </c>
      <c r="P142" s="2" t="s">
        <v>40</v>
      </c>
      <c r="Q142" s="2"/>
      <c r="R142" s="2" t="s">
        <v>83</v>
      </c>
      <c r="S142" s="2" t="s">
        <v>28</v>
      </c>
      <c r="T142" s="2"/>
      <c r="AD142" s="2">
        <f t="shared" si="13"/>
        <v>3</v>
      </c>
      <c r="AE142" s="44" t="str">
        <f t="shared" si="18"/>
        <v>Ver en mapa</v>
      </c>
    </row>
    <row r="143" spans="1:31" ht="15" customHeight="1">
      <c r="A143" s="24">
        <v>146</v>
      </c>
      <c r="B143" s="5">
        <v>46077</v>
      </c>
      <c r="C143" s="5">
        <v>46079</v>
      </c>
      <c r="D143" s="30">
        <f t="shared" si="20"/>
        <v>2</v>
      </c>
      <c r="E143" s="5" t="s">
        <v>317</v>
      </c>
      <c r="F143" s="2" t="s">
        <v>293</v>
      </c>
      <c r="G143" s="53" t="s">
        <v>358</v>
      </c>
      <c r="H143" s="2" t="s">
        <v>359</v>
      </c>
      <c r="I143" s="2" t="s">
        <v>25</v>
      </c>
      <c r="J143" s="2" t="s">
        <v>343</v>
      </c>
      <c r="K143" s="7">
        <v>-74.078748300000001</v>
      </c>
      <c r="L143" s="7">
        <v>4.6642172000000004</v>
      </c>
      <c r="M143" s="2" t="s">
        <v>360</v>
      </c>
      <c r="N143" s="2" t="s">
        <v>63</v>
      </c>
      <c r="O143" s="2"/>
      <c r="P143" s="2"/>
      <c r="Q143" s="2"/>
      <c r="R143" s="7"/>
      <c r="S143" s="7"/>
      <c r="T143" s="7"/>
      <c r="U143" s="51"/>
      <c r="AD143" s="2">
        <f t="shared" si="13"/>
        <v>1</v>
      </c>
      <c r="AE143" s="44" t="str">
        <f t="shared" si="18"/>
        <v>Ver en mapa</v>
      </c>
    </row>
    <row r="144" spans="1:31" ht="15" customHeight="1">
      <c r="A144" s="24">
        <v>147</v>
      </c>
      <c r="B144" s="5">
        <v>46079</v>
      </c>
      <c r="C144" s="5">
        <v>46079</v>
      </c>
      <c r="D144" s="30">
        <f>C144-B144</f>
        <v>0</v>
      </c>
      <c r="E144" s="5" t="s">
        <v>317</v>
      </c>
      <c r="F144" s="2" t="s">
        <v>293</v>
      </c>
      <c r="G144" s="53" t="s">
        <v>270</v>
      </c>
      <c r="H144" s="2" t="s">
        <v>361</v>
      </c>
      <c r="I144" s="2" t="s">
        <v>25</v>
      </c>
      <c r="J144" s="2" t="s">
        <v>325</v>
      </c>
      <c r="K144" s="7">
        <v>-74.064028470551193</v>
      </c>
      <c r="L144" s="7">
        <v>4.6438902367019699</v>
      </c>
      <c r="M144" s="2" t="s">
        <v>362</v>
      </c>
      <c r="N144" s="2" t="s">
        <v>28</v>
      </c>
      <c r="O144" s="2" t="s">
        <v>54</v>
      </c>
      <c r="P144" s="2" t="s">
        <v>40</v>
      </c>
      <c r="Q144" s="2"/>
      <c r="R144" s="2" t="s">
        <v>290</v>
      </c>
      <c r="S144" s="2" t="s">
        <v>63</v>
      </c>
      <c r="T144" s="2"/>
      <c r="U144" s="2" t="s">
        <v>272</v>
      </c>
      <c r="V144" s="2" t="s">
        <v>40</v>
      </c>
      <c r="W144" s="2"/>
      <c r="X144" s="2" t="s">
        <v>273</v>
      </c>
      <c r="Y144" s="2" t="s">
        <v>28</v>
      </c>
      <c r="Z144" s="2"/>
      <c r="AD144" s="2">
        <f t="shared" si="13"/>
        <v>5</v>
      </c>
      <c r="AE144" s="44" t="str">
        <f t="shared" si="18"/>
        <v>Ver en mapa</v>
      </c>
    </row>
    <row r="145" spans="1:31" ht="15" customHeight="1">
      <c r="A145" s="24">
        <v>148</v>
      </c>
      <c r="B145" s="5">
        <v>46079</v>
      </c>
      <c r="C145" s="5">
        <v>46079</v>
      </c>
      <c r="D145" s="30">
        <f t="shared" ref="D145" si="21">C145-B145</f>
        <v>0</v>
      </c>
      <c r="E145" s="5" t="s">
        <v>317</v>
      </c>
      <c r="F145" s="2" t="s">
        <v>293</v>
      </c>
      <c r="G145" s="53" t="s">
        <v>363</v>
      </c>
      <c r="H145" s="2" t="s">
        <v>364</v>
      </c>
      <c r="I145" s="2" t="s">
        <v>25</v>
      </c>
      <c r="J145" s="2" t="s">
        <v>325</v>
      </c>
      <c r="K145" s="7">
        <v>-74.120144631057897</v>
      </c>
      <c r="L145" s="7">
        <v>4.6663066873275101</v>
      </c>
      <c r="M145" s="2" t="s">
        <v>365</v>
      </c>
      <c r="N145" s="2" t="s">
        <v>40</v>
      </c>
      <c r="AD145" s="2">
        <f t="shared" si="13"/>
        <v>1</v>
      </c>
      <c r="AE145" s="44" t="str">
        <f>+HYPERLINK("https://www.google.com/maps?q=" &amp; SUBSTITUTE(L145, ",", ".") &amp; "," &amp; SUBSTITUTE(K145, ",", "."),"Ver en mapa")</f>
        <v>Ver en mapa</v>
      </c>
    </row>
    <row r="146" spans="1:31" ht="15" customHeight="1">
      <c r="A146" s="24">
        <v>149</v>
      </c>
      <c r="B146" s="5">
        <v>46080</v>
      </c>
      <c r="C146" s="5">
        <v>46080</v>
      </c>
      <c r="D146" s="30">
        <f>C146-B146</f>
        <v>0</v>
      </c>
      <c r="E146" s="5" t="s">
        <v>317</v>
      </c>
      <c r="F146" s="2" t="s">
        <v>293</v>
      </c>
      <c r="G146" s="53" t="s">
        <v>366</v>
      </c>
      <c r="H146" s="2" t="s">
        <v>367</v>
      </c>
      <c r="I146" s="2" t="s">
        <v>25</v>
      </c>
      <c r="J146" s="2" t="s">
        <v>325</v>
      </c>
      <c r="K146" s="7">
        <v>-74.044897918948806</v>
      </c>
      <c r="L146" s="7">
        <v>4.7323782486049497</v>
      </c>
      <c r="M146" s="2" t="s">
        <v>368</v>
      </c>
      <c r="N146" s="2" t="s">
        <v>40</v>
      </c>
      <c r="AD146" s="2">
        <f t="shared" si="13"/>
        <v>1</v>
      </c>
      <c r="AE146" s="44" t="str">
        <f t="shared" si="18"/>
        <v>Ver en mapa</v>
      </c>
    </row>
    <row r="147" spans="1:31" ht="15" customHeight="1">
      <c r="A147" s="24">
        <v>196</v>
      </c>
      <c r="B147" s="5">
        <v>46080</v>
      </c>
      <c r="C147" s="5">
        <v>46085</v>
      </c>
      <c r="D147" s="30">
        <f>C147-B147</f>
        <v>5</v>
      </c>
      <c r="E147" s="5" t="s">
        <v>317</v>
      </c>
      <c r="F147" s="2" t="s">
        <v>293</v>
      </c>
      <c r="G147" s="53" t="s">
        <v>270</v>
      </c>
      <c r="H147" s="74" t="s">
        <v>369</v>
      </c>
      <c r="I147" s="2" t="s">
        <v>25</v>
      </c>
      <c r="J147" s="2" t="s">
        <v>325</v>
      </c>
      <c r="K147" s="7">
        <v>-74.067059849704606</v>
      </c>
      <c r="L147" s="7">
        <v>4.6294016096673696</v>
      </c>
      <c r="M147" s="2" t="s">
        <v>310</v>
      </c>
      <c r="N147" s="2" t="s">
        <v>28</v>
      </c>
      <c r="O147" s="2" t="s">
        <v>370</v>
      </c>
      <c r="P147" s="2" t="s">
        <v>63</v>
      </c>
      <c r="AD147" s="2"/>
      <c r="AE147" s="44"/>
    </row>
    <row r="148" spans="1:31" ht="15" customHeight="1">
      <c r="A148" s="24">
        <v>150</v>
      </c>
      <c r="B148" s="5">
        <v>46083</v>
      </c>
      <c r="C148" s="5">
        <v>46083</v>
      </c>
      <c r="D148" s="30">
        <f t="shared" ref="D148:D164" si="22">C148-B148</f>
        <v>0</v>
      </c>
      <c r="E148" s="5" t="s">
        <v>317</v>
      </c>
      <c r="F148" s="2" t="s">
        <v>293</v>
      </c>
      <c r="G148" s="53" t="s">
        <v>371</v>
      </c>
      <c r="H148" s="2" t="s">
        <v>372</v>
      </c>
      <c r="I148" s="2" t="s">
        <v>25</v>
      </c>
      <c r="J148" s="2" t="s">
        <v>325</v>
      </c>
      <c r="K148" s="7">
        <v>-74.125582688665304</v>
      </c>
      <c r="L148" s="7">
        <v>4.6038044923407098</v>
      </c>
      <c r="M148" s="2" t="s">
        <v>373</v>
      </c>
      <c r="N148" s="2" t="s">
        <v>40</v>
      </c>
      <c r="O148" s="2" t="s">
        <v>374</v>
      </c>
      <c r="P148" s="2" t="s">
        <v>28</v>
      </c>
      <c r="Q148" s="2"/>
      <c r="AD148" s="2">
        <f t="shared" si="13"/>
        <v>2</v>
      </c>
      <c r="AE148" s="44"/>
    </row>
    <row r="149" spans="1:31" ht="15" customHeight="1">
      <c r="A149" s="24">
        <v>151</v>
      </c>
      <c r="B149" s="5">
        <v>46083</v>
      </c>
      <c r="C149" s="5">
        <v>46083</v>
      </c>
      <c r="D149" s="30">
        <f t="shared" si="22"/>
        <v>0</v>
      </c>
      <c r="E149" s="5" t="s">
        <v>317</v>
      </c>
      <c r="F149" s="2" t="s">
        <v>293</v>
      </c>
      <c r="G149" s="17" t="s">
        <v>270</v>
      </c>
      <c r="H149" s="2" t="s">
        <v>375</v>
      </c>
      <c r="I149" s="2" t="s">
        <v>25</v>
      </c>
      <c r="J149" s="2" t="s">
        <v>325</v>
      </c>
      <c r="K149" s="7">
        <v>-74.060322371163593</v>
      </c>
      <c r="L149" s="7">
        <v>4.6471334871313603</v>
      </c>
      <c r="M149" s="2" t="s">
        <v>290</v>
      </c>
      <c r="N149" s="2" t="s">
        <v>63</v>
      </c>
      <c r="AD149" s="2">
        <f t="shared" si="13"/>
        <v>1</v>
      </c>
      <c r="AE149" s="44"/>
    </row>
    <row r="150" spans="1:31" ht="15" customHeight="1">
      <c r="A150" s="24">
        <v>152</v>
      </c>
      <c r="B150" s="5">
        <v>46087</v>
      </c>
      <c r="C150" s="5">
        <v>46087</v>
      </c>
      <c r="D150" s="30">
        <f t="shared" si="22"/>
        <v>0</v>
      </c>
      <c r="E150" s="5" t="s">
        <v>254</v>
      </c>
      <c r="F150" s="2" t="s">
        <v>22</v>
      </c>
      <c r="G150" s="53" t="s">
        <v>376</v>
      </c>
      <c r="H150" s="2" t="s">
        <v>377</v>
      </c>
      <c r="I150" s="2" t="s">
        <v>25</v>
      </c>
      <c r="J150" s="2" t="s">
        <v>38</v>
      </c>
      <c r="K150" s="7">
        <v>-74.069487999999893</v>
      </c>
      <c r="L150" s="7">
        <v>4.5957340000000002</v>
      </c>
      <c r="M150" s="7" t="s">
        <v>90</v>
      </c>
      <c r="N150" s="2" t="s">
        <v>63</v>
      </c>
      <c r="AD150" s="2">
        <f>COUNTA(L150,O150,R150,U150,X150,AA150)</f>
        <v>1</v>
      </c>
      <c r="AE150" s="44"/>
    </row>
    <row r="151" spans="1:31" ht="15" customHeight="1">
      <c r="A151" s="24">
        <v>153</v>
      </c>
      <c r="B151" s="5">
        <v>46086</v>
      </c>
      <c r="C151" s="5">
        <v>46087</v>
      </c>
      <c r="D151" s="30">
        <f t="shared" si="22"/>
        <v>1</v>
      </c>
      <c r="E151" s="5" t="s">
        <v>254</v>
      </c>
      <c r="F151" s="2" t="s">
        <v>22</v>
      </c>
      <c r="G151" s="17" t="s">
        <v>270</v>
      </c>
      <c r="H151" s="2" t="s">
        <v>378</v>
      </c>
      <c r="I151" s="2" t="s">
        <v>25</v>
      </c>
      <c r="J151" s="2" t="s">
        <v>80</v>
      </c>
      <c r="M151" s="7" t="s">
        <v>379</v>
      </c>
      <c r="N151" s="2" t="s">
        <v>63</v>
      </c>
      <c r="O151" t="s">
        <v>380</v>
      </c>
      <c r="P151" s="2" t="s">
        <v>40</v>
      </c>
      <c r="AE151" s="44"/>
    </row>
    <row r="152" spans="1:31" ht="15" customHeight="1">
      <c r="A152" s="24">
        <v>154</v>
      </c>
      <c r="B152" s="5">
        <v>46097</v>
      </c>
      <c r="C152" s="5">
        <v>46099</v>
      </c>
      <c r="D152" s="30">
        <f t="shared" si="22"/>
        <v>2</v>
      </c>
      <c r="E152" s="5" t="s">
        <v>254</v>
      </c>
      <c r="F152" s="2" t="s">
        <v>22</v>
      </c>
      <c r="G152" s="17" t="s">
        <v>294</v>
      </c>
      <c r="H152" s="2" t="s">
        <v>381</v>
      </c>
      <c r="I152" s="2" t="s">
        <v>25</v>
      </c>
      <c r="J152" s="2" t="s">
        <v>80</v>
      </c>
      <c r="K152" s="10">
        <v>-74.068346457170804</v>
      </c>
      <c r="L152" s="7">
        <v>4.6085297779889398</v>
      </c>
      <c r="M152" s="2" t="s">
        <v>382</v>
      </c>
      <c r="N152" s="2" t="s">
        <v>28</v>
      </c>
      <c r="O152" s="2" t="s">
        <v>79</v>
      </c>
      <c r="P152" s="2" t="s">
        <v>28</v>
      </c>
      <c r="R152" s="2" t="s">
        <v>383</v>
      </c>
      <c r="S152" s="2" t="s">
        <v>40</v>
      </c>
      <c r="AE152" s="44"/>
    </row>
    <row r="153" spans="1:31" ht="15" customHeight="1">
      <c r="A153" s="24">
        <v>155</v>
      </c>
      <c r="B153" s="5">
        <v>46087</v>
      </c>
      <c r="C153" s="5">
        <v>46091</v>
      </c>
      <c r="D153" s="30">
        <f t="shared" si="22"/>
        <v>4</v>
      </c>
      <c r="E153" s="5" t="s">
        <v>317</v>
      </c>
      <c r="F153" s="2" t="s">
        <v>22</v>
      </c>
      <c r="G153" s="17" t="s">
        <v>261</v>
      </c>
      <c r="H153" s="2" t="s">
        <v>384</v>
      </c>
      <c r="I153" s="2" t="s">
        <v>25</v>
      </c>
      <c r="J153" s="2" t="s">
        <v>343</v>
      </c>
      <c r="K153" s="7">
        <v>-74.044993500000004</v>
      </c>
      <c r="L153" s="7">
        <v>4.6795622999999997</v>
      </c>
      <c r="M153" s="2" t="s">
        <v>83</v>
      </c>
      <c r="N153" s="2" t="s">
        <v>63</v>
      </c>
      <c r="AE153" s="44"/>
    </row>
    <row r="154" spans="1:31" ht="15" customHeight="1">
      <c r="A154" s="24">
        <v>156</v>
      </c>
      <c r="B154" s="5">
        <v>46087</v>
      </c>
      <c r="C154" s="5">
        <v>46091</v>
      </c>
      <c r="D154" s="30">
        <f t="shared" si="22"/>
        <v>4</v>
      </c>
      <c r="E154" s="5" t="s">
        <v>317</v>
      </c>
      <c r="F154" s="2" t="s">
        <v>22</v>
      </c>
      <c r="G154" s="53" t="s">
        <v>268</v>
      </c>
      <c r="H154" s="2" t="s">
        <v>385</v>
      </c>
      <c r="I154" s="2" t="s">
        <v>25</v>
      </c>
      <c r="J154" s="2" t="s">
        <v>343</v>
      </c>
      <c r="K154" s="7">
        <v>-74.063054600000001</v>
      </c>
      <c r="L154" s="7">
        <v>4.6715228</v>
      </c>
      <c r="M154" s="2" t="s">
        <v>386</v>
      </c>
      <c r="N154" s="2" t="s">
        <v>28</v>
      </c>
      <c r="AE154" s="44"/>
    </row>
    <row r="155" spans="1:31" ht="15" customHeight="1">
      <c r="A155" s="24">
        <v>157</v>
      </c>
      <c r="B155" s="5">
        <v>46087</v>
      </c>
      <c r="C155" s="5">
        <v>46091</v>
      </c>
      <c r="D155" s="30">
        <f t="shared" si="22"/>
        <v>4</v>
      </c>
      <c r="E155" s="5" t="s">
        <v>317</v>
      </c>
      <c r="F155" s="2" t="s">
        <v>22</v>
      </c>
      <c r="G155" s="53" t="s">
        <v>387</v>
      </c>
      <c r="H155" s="2" t="s">
        <v>388</v>
      </c>
      <c r="I155" s="2" t="s">
        <v>25</v>
      </c>
      <c r="J155" s="2" t="s">
        <v>343</v>
      </c>
      <c r="K155" s="7">
        <v>-74.098165899999998</v>
      </c>
      <c r="L155" s="7">
        <v>4.6743987999999996</v>
      </c>
      <c r="M155" s="2" t="s">
        <v>389</v>
      </c>
      <c r="N155" s="2" t="s">
        <v>40</v>
      </c>
      <c r="O155" s="2" t="s">
        <v>390</v>
      </c>
      <c r="P155" s="2" t="s">
        <v>40</v>
      </c>
      <c r="AE155" s="44"/>
    </row>
    <row r="156" spans="1:31" ht="15" customHeight="1">
      <c r="A156" s="24">
        <v>158</v>
      </c>
      <c r="B156" s="5">
        <v>46091</v>
      </c>
      <c r="C156" s="5">
        <v>46092</v>
      </c>
      <c r="D156" s="30">
        <f t="shared" si="22"/>
        <v>1</v>
      </c>
      <c r="E156" s="5" t="s">
        <v>317</v>
      </c>
      <c r="F156" s="53" t="s">
        <v>22</v>
      </c>
      <c r="G156" s="53" t="s">
        <v>391</v>
      </c>
      <c r="H156" s="2" t="s">
        <v>392</v>
      </c>
      <c r="I156" s="2" t="s">
        <v>25</v>
      </c>
      <c r="J156" s="2" t="s">
        <v>393</v>
      </c>
      <c r="K156" s="7">
        <v>-74.0528347541876</v>
      </c>
      <c r="L156" s="7">
        <v>4.7565709118221804</v>
      </c>
      <c r="M156" s="2" t="s">
        <v>394</v>
      </c>
      <c r="N156" s="2" t="s">
        <v>40</v>
      </c>
      <c r="AE156" s="44"/>
    </row>
    <row r="157" spans="1:31" ht="15" customHeight="1">
      <c r="A157" s="2">
        <v>159</v>
      </c>
      <c r="B157" s="5">
        <v>46094</v>
      </c>
      <c r="C157" s="5">
        <v>46097</v>
      </c>
      <c r="D157" s="30">
        <f t="shared" si="22"/>
        <v>3</v>
      </c>
      <c r="E157" s="5" t="s">
        <v>317</v>
      </c>
      <c r="F157" s="53" t="s">
        <v>22</v>
      </c>
      <c r="G157" s="53" t="s">
        <v>261</v>
      </c>
      <c r="H157" s="2" t="s">
        <v>395</v>
      </c>
      <c r="I157" s="2" t="s">
        <v>25</v>
      </c>
      <c r="J157" s="2" t="s">
        <v>343</v>
      </c>
      <c r="K157" s="7">
        <v>-74.058256999999998</v>
      </c>
      <c r="L157" s="7">
        <v>4.6669419000000003</v>
      </c>
      <c r="M157" s="2" t="s">
        <v>304</v>
      </c>
      <c r="N157" s="2" t="s">
        <v>40</v>
      </c>
      <c r="O157" s="2" t="s">
        <v>396</v>
      </c>
      <c r="P157" s="2" t="s">
        <v>28</v>
      </c>
      <c r="Q157" s="2" t="s">
        <v>303</v>
      </c>
      <c r="R157" s="2" t="s">
        <v>28</v>
      </c>
      <c r="AE157" s="44"/>
    </row>
    <row r="158" spans="1:31" ht="15" customHeight="1">
      <c r="A158" s="24">
        <v>160</v>
      </c>
      <c r="B158" s="5">
        <v>46094</v>
      </c>
      <c r="C158" s="5">
        <v>46099</v>
      </c>
      <c r="D158" s="30">
        <f t="shared" si="22"/>
        <v>5</v>
      </c>
      <c r="E158" s="5" t="s">
        <v>317</v>
      </c>
      <c r="F158" s="53" t="s">
        <v>22</v>
      </c>
      <c r="G158" s="53" t="s">
        <v>261</v>
      </c>
      <c r="H158" s="2" t="s">
        <v>397</v>
      </c>
      <c r="I158" s="2" t="s">
        <v>25</v>
      </c>
      <c r="J158" s="2" t="s">
        <v>343</v>
      </c>
      <c r="K158" s="7">
        <v>-74.059767699999995</v>
      </c>
      <c r="L158" s="7">
        <v>4.6558096999999998</v>
      </c>
      <c r="M158" s="2" t="s">
        <v>300</v>
      </c>
      <c r="N158" s="2" t="s">
        <v>63</v>
      </c>
      <c r="AE158" s="44"/>
    </row>
    <row r="159" spans="1:31" ht="14.45">
      <c r="A159" s="24">
        <v>146</v>
      </c>
      <c r="B159" s="5">
        <v>46066</v>
      </c>
      <c r="C159" s="5">
        <v>46069</v>
      </c>
      <c r="D159" s="30">
        <f>C159-B159</f>
        <v>3</v>
      </c>
      <c r="E159" s="5" t="s">
        <v>317</v>
      </c>
      <c r="F159" s="53" t="s">
        <v>22</v>
      </c>
      <c r="G159" s="53" t="s">
        <v>261</v>
      </c>
      <c r="H159" s="2" t="s">
        <v>398</v>
      </c>
      <c r="I159" s="2" t="s">
        <v>25</v>
      </c>
      <c r="J159" s="2" t="s">
        <v>343</v>
      </c>
      <c r="K159" s="7">
        <v>-74.049123438187493</v>
      </c>
      <c r="L159" s="7">
        <v>4.6766160292651398</v>
      </c>
      <c r="M159" s="2" t="s">
        <v>267</v>
      </c>
      <c r="N159" s="2" t="s">
        <v>63</v>
      </c>
      <c r="O159" s="2" t="s">
        <v>345</v>
      </c>
      <c r="P159" s="2" t="s">
        <v>40</v>
      </c>
      <c r="AE159" s="44"/>
    </row>
    <row r="160" spans="1:31" ht="15" customHeight="1">
      <c r="A160" s="24">
        <v>161</v>
      </c>
      <c r="B160" s="5">
        <v>46094</v>
      </c>
      <c r="C160" s="5">
        <v>46097</v>
      </c>
      <c r="D160" s="30">
        <f t="shared" si="22"/>
        <v>3</v>
      </c>
      <c r="E160" s="5" t="s">
        <v>317</v>
      </c>
      <c r="F160" s="53" t="s">
        <v>22</v>
      </c>
      <c r="G160" s="53" t="s">
        <v>261</v>
      </c>
      <c r="H160" s="2" t="s">
        <v>399</v>
      </c>
      <c r="I160" s="2" t="s">
        <v>25</v>
      </c>
      <c r="J160" s="2" t="s">
        <v>343</v>
      </c>
      <c r="K160" s="7">
        <v>-74.047049000000001</v>
      </c>
      <c r="L160" s="7">
        <v>4.6829799999999997</v>
      </c>
      <c r="M160" s="2" t="s">
        <v>329</v>
      </c>
      <c r="N160" s="2" t="s">
        <v>28</v>
      </c>
      <c r="AE160" s="44"/>
    </row>
    <row r="161" spans="1:31" ht="15" customHeight="1">
      <c r="A161" s="24">
        <v>162</v>
      </c>
      <c r="B161" s="5">
        <v>46098</v>
      </c>
      <c r="C161" s="5">
        <v>46099</v>
      </c>
      <c r="D161" s="30">
        <f t="shared" si="22"/>
        <v>1</v>
      </c>
      <c r="E161" s="5" t="s">
        <v>317</v>
      </c>
      <c r="F161" s="53" t="s">
        <v>22</v>
      </c>
      <c r="G161" s="53" t="s">
        <v>261</v>
      </c>
      <c r="H161" s="2" t="s">
        <v>400</v>
      </c>
      <c r="I161" s="2" t="s">
        <v>25</v>
      </c>
      <c r="J161" s="2" t="s">
        <v>343</v>
      </c>
      <c r="K161" s="7">
        <v>-74.048611399999999</v>
      </c>
      <c r="L161" s="7">
        <v>4.6813878000000004</v>
      </c>
      <c r="M161" s="2" t="s">
        <v>83</v>
      </c>
      <c r="N161" s="2" t="s">
        <v>63</v>
      </c>
      <c r="O161" s="2" t="s">
        <v>401</v>
      </c>
      <c r="P161" s="2" t="s">
        <v>40</v>
      </c>
      <c r="AE161" s="44"/>
    </row>
    <row r="162" spans="1:31" ht="15" customHeight="1">
      <c r="A162" s="24">
        <v>163</v>
      </c>
      <c r="B162" s="5">
        <v>46098</v>
      </c>
      <c r="C162" s="5">
        <v>46099</v>
      </c>
      <c r="D162" s="30">
        <f t="shared" si="22"/>
        <v>1</v>
      </c>
      <c r="E162" s="5" t="s">
        <v>317</v>
      </c>
      <c r="F162" s="53" t="s">
        <v>22</v>
      </c>
      <c r="G162" s="53" t="s">
        <v>261</v>
      </c>
      <c r="H162" s="2" t="s">
        <v>402</v>
      </c>
      <c r="I162" s="2" t="s">
        <v>25</v>
      </c>
      <c r="J162" s="2" t="s">
        <v>343</v>
      </c>
      <c r="K162" s="7">
        <v>-74.046850699999993</v>
      </c>
      <c r="L162" s="7">
        <v>4.6841600000000003</v>
      </c>
      <c r="M162" s="2" t="s">
        <v>329</v>
      </c>
      <c r="N162" s="2" t="s">
        <v>63</v>
      </c>
      <c r="O162" s="2" t="s">
        <v>328</v>
      </c>
      <c r="P162" s="2" t="s">
        <v>63</v>
      </c>
      <c r="AE162" s="44"/>
    </row>
    <row r="163" spans="1:31" ht="15" customHeight="1">
      <c r="A163" s="24">
        <v>164</v>
      </c>
      <c r="B163" s="5">
        <v>46098</v>
      </c>
      <c r="C163" s="5">
        <v>46099</v>
      </c>
      <c r="D163" s="30">
        <f t="shared" si="22"/>
        <v>1</v>
      </c>
      <c r="E163" s="5" t="s">
        <v>317</v>
      </c>
      <c r="F163" s="53" t="s">
        <v>22</v>
      </c>
      <c r="G163" s="53" t="s">
        <v>261</v>
      </c>
      <c r="H163" s="2" t="s">
        <v>403</v>
      </c>
      <c r="I163" s="2" t="s">
        <v>25</v>
      </c>
      <c r="J163" s="2" t="s">
        <v>343</v>
      </c>
      <c r="K163" s="7">
        <v>-74.060502400000004</v>
      </c>
      <c r="L163" s="7">
        <v>4.6552715999999998</v>
      </c>
      <c r="M163" s="2" t="s">
        <v>300</v>
      </c>
      <c r="N163" s="2" t="s">
        <v>63</v>
      </c>
      <c r="O163" s="2" t="s">
        <v>404</v>
      </c>
      <c r="P163" s="2" t="s">
        <v>63</v>
      </c>
      <c r="Q163" s="2" t="s">
        <v>291</v>
      </c>
      <c r="R163" s="2" t="s">
        <v>63</v>
      </c>
      <c r="AE163" s="44"/>
    </row>
    <row r="164" spans="1:31" ht="15" customHeight="1">
      <c r="A164" s="24">
        <v>165</v>
      </c>
      <c r="B164" s="5">
        <v>46098</v>
      </c>
      <c r="C164" s="5">
        <v>46099</v>
      </c>
      <c r="D164" s="30">
        <f t="shared" si="22"/>
        <v>1</v>
      </c>
      <c r="E164" s="5" t="s">
        <v>254</v>
      </c>
      <c r="F164" s="2" t="s">
        <v>22</v>
      </c>
      <c r="G164" s="53" t="s">
        <v>268</v>
      </c>
      <c r="H164" s="2" t="s">
        <v>405</v>
      </c>
      <c r="I164" s="2" t="s">
        <v>25</v>
      </c>
      <c r="J164" s="2" t="s">
        <v>38</v>
      </c>
      <c r="K164" s="7">
        <v>-74.062830742329893</v>
      </c>
      <c r="L164" s="7">
        <v>4.6719092842305203</v>
      </c>
      <c r="M164" s="2" t="s">
        <v>386</v>
      </c>
      <c r="N164" s="2" t="s">
        <v>28</v>
      </c>
      <c r="AE164" s="44"/>
    </row>
    <row r="165" spans="1:31" ht="15" customHeight="1">
      <c r="A165" s="24">
        <v>166</v>
      </c>
      <c r="B165" s="5">
        <v>46101</v>
      </c>
      <c r="C165" s="5">
        <v>46101</v>
      </c>
      <c r="D165" s="30">
        <f t="shared" ref="D165" si="23">C165-B165</f>
        <v>0</v>
      </c>
      <c r="E165" s="5" t="s">
        <v>254</v>
      </c>
      <c r="F165" s="2" t="s">
        <v>22</v>
      </c>
      <c r="G165" s="53" t="s">
        <v>268</v>
      </c>
      <c r="H165" s="2" t="s">
        <v>406</v>
      </c>
      <c r="I165" s="2" t="s">
        <v>25</v>
      </c>
      <c r="J165" s="2" t="s">
        <v>38</v>
      </c>
      <c r="K165" s="7">
        <v>-74.070137585259005</v>
      </c>
      <c r="L165" s="7">
        <v>4.6582231335587503</v>
      </c>
      <c r="M165" s="2" t="s">
        <v>407</v>
      </c>
      <c r="N165" s="2" t="s">
        <v>63</v>
      </c>
      <c r="AE165" s="44"/>
    </row>
    <row r="166" spans="1:31" ht="15" customHeight="1">
      <c r="A166" s="24">
        <v>167</v>
      </c>
      <c r="B166" s="5">
        <v>46105</v>
      </c>
      <c r="C166" s="5">
        <v>46105</v>
      </c>
      <c r="D166" s="30">
        <f t="shared" ref="D166:D171" si="24">C166-B166</f>
        <v>0</v>
      </c>
      <c r="E166" s="5" t="s">
        <v>254</v>
      </c>
      <c r="F166" s="2" t="s">
        <v>22</v>
      </c>
      <c r="G166" s="53" t="s">
        <v>408</v>
      </c>
      <c r="H166" s="2" t="s">
        <v>409</v>
      </c>
      <c r="I166" s="2" t="s">
        <v>25</v>
      </c>
      <c r="J166" s="2" t="s">
        <v>80</v>
      </c>
      <c r="K166" s="7">
        <v>-74.070137585259005</v>
      </c>
      <c r="L166" s="7">
        <v>4.6582231335587503</v>
      </c>
      <c r="M166" s="2" t="s">
        <v>410</v>
      </c>
      <c r="N166" s="2" t="s">
        <v>40</v>
      </c>
      <c r="O166" s="2" t="s">
        <v>411</v>
      </c>
      <c r="P166" s="2" t="s">
        <v>63</v>
      </c>
      <c r="AE166" s="44"/>
    </row>
    <row r="167" spans="1:31" ht="15" customHeight="1">
      <c r="A167" s="24">
        <v>168</v>
      </c>
      <c r="B167" s="5">
        <v>46106</v>
      </c>
      <c r="C167" s="5">
        <v>46106</v>
      </c>
      <c r="D167" s="30">
        <f t="shared" si="24"/>
        <v>0</v>
      </c>
      <c r="E167" s="5" t="s">
        <v>317</v>
      </c>
      <c r="F167" s="2" t="s">
        <v>22</v>
      </c>
      <c r="G167" s="53" t="s">
        <v>412</v>
      </c>
      <c r="H167" s="2" t="s">
        <v>413</v>
      </c>
      <c r="I167" s="2" t="s">
        <v>25</v>
      </c>
      <c r="J167" s="2" t="s">
        <v>393</v>
      </c>
      <c r="K167" s="7">
        <v>-74.078676400000006</v>
      </c>
      <c r="L167" s="7">
        <v>4.7000183</v>
      </c>
      <c r="M167" s="2" t="s">
        <v>414</v>
      </c>
      <c r="N167" s="2" t="s">
        <v>40</v>
      </c>
      <c r="O167" s="2"/>
      <c r="P167" s="2"/>
      <c r="AE167" s="44"/>
    </row>
    <row r="168" spans="1:31" ht="15" customHeight="1">
      <c r="A168" s="2">
        <v>169</v>
      </c>
      <c r="B168" s="5">
        <v>46107</v>
      </c>
      <c r="C168" s="5">
        <v>46107</v>
      </c>
      <c r="D168" s="30">
        <f t="shared" si="24"/>
        <v>0</v>
      </c>
      <c r="E168" s="5" t="s">
        <v>317</v>
      </c>
      <c r="F168" s="2" t="s">
        <v>22</v>
      </c>
      <c r="G168" s="17" t="s">
        <v>415</v>
      </c>
      <c r="H168" s="2" t="s">
        <v>416</v>
      </c>
      <c r="I168" s="2" t="s">
        <v>25</v>
      </c>
      <c r="J168" s="2" t="s">
        <v>325</v>
      </c>
      <c r="K168" s="7">
        <v>-74.130239200000005</v>
      </c>
      <c r="L168" s="7">
        <v>4.6864815000000002</v>
      </c>
      <c r="M168" s="2"/>
      <c r="N168" s="2"/>
      <c r="AE168" s="44"/>
    </row>
    <row r="169" spans="1:31" ht="15" customHeight="1">
      <c r="A169" s="2">
        <v>170</v>
      </c>
      <c r="B169" s="5">
        <v>46111</v>
      </c>
      <c r="C169" s="5">
        <v>46111</v>
      </c>
      <c r="D169" s="30">
        <f t="shared" si="24"/>
        <v>0</v>
      </c>
      <c r="E169" s="5" t="s">
        <v>317</v>
      </c>
      <c r="F169" s="2" t="s">
        <v>22</v>
      </c>
      <c r="G169" s="53" t="s">
        <v>261</v>
      </c>
      <c r="H169" s="2" t="s">
        <v>417</v>
      </c>
      <c r="I169" s="2" t="s">
        <v>25</v>
      </c>
      <c r="J169" s="2" t="s">
        <v>343</v>
      </c>
      <c r="K169" s="7">
        <v>-74.057527165156301</v>
      </c>
      <c r="L169" s="7">
        <v>4.6639372423098298</v>
      </c>
      <c r="M169" s="2" t="s">
        <v>305</v>
      </c>
      <c r="N169" s="2" t="s">
        <v>63</v>
      </c>
      <c r="O169" s="2" t="s">
        <v>307</v>
      </c>
      <c r="P169" s="2" t="s">
        <v>40</v>
      </c>
      <c r="Q169" s="2" t="s">
        <v>306</v>
      </c>
      <c r="R169" s="2" t="s">
        <v>40</v>
      </c>
      <c r="AE169" s="44"/>
    </row>
    <row r="170" spans="1:31" ht="15" customHeight="1">
      <c r="A170" s="24">
        <v>171</v>
      </c>
      <c r="B170" s="5">
        <v>46111</v>
      </c>
      <c r="C170" s="5">
        <v>46111</v>
      </c>
      <c r="D170" s="30">
        <f t="shared" si="24"/>
        <v>0</v>
      </c>
      <c r="E170" s="5" t="s">
        <v>317</v>
      </c>
      <c r="F170" s="2" t="s">
        <v>22</v>
      </c>
      <c r="G170" s="53" t="s">
        <v>261</v>
      </c>
      <c r="H170" s="2" t="s">
        <v>418</v>
      </c>
      <c r="I170" s="2" t="s">
        <v>25</v>
      </c>
      <c r="J170" s="2" t="s">
        <v>343</v>
      </c>
      <c r="K170" s="7">
        <v>-74.058892700000001</v>
      </c>
      <c r="L170" s="7">
        <v>4.6600434000000002</v>
      </c>
      <c r="M170" s="2" t="s">
        <v>306</v>
      </c>
      <c r="N170" s="2" t="s">
        <v>28</v>
      </c>
      <c r="O170" s="2" t="s">
        <v>292</v>
      </c>
      <c r="P170" s="2" t="s">
        <v>40</v>
      </c>
      <c r="AE170" s="44"/>
    </row>
    <row r="171" spans="1:31" ht="15" customHeight="1">
      <c r="A171" s="2">
        <v>172</v>
      </c>
      <c r="B171" s="5">
        <v>46111</v>
      </c>
      <c r="C171" s="5">
        <v>46111</v>
      </c>
      <c r="D171" s="30">
        <f t="shared" si="24"/>
        <v>0</v>
      </c>
      <c r="E171" s="5" t="s">
        <v>317</v>
      </c>
      <c r="F171" s="2" t="s">
        <v>22</v>
      </c>
      <c r="G171" s="53" t="s">
        <v>261</v>
      </c>
      <c r="H171" s="53" t="s">
        <v>419</v>
      </c>
      <c r="I171" s="2" t="s">
        <v>25</v>
      </c>
      <c r="J171" s="2" t="s">
        <v>343</v>
      </c>
      <c r="K171" s="7">
        <v>-74.047473574070906</v>
      </c>
      <c r="L171" s="7">
        <v>4.6819684762442497</v>
      </c>
      <c r="M171" s="2" t="s">
        <v>329</v>
      </c>
      <c r="N171" s="2" t="s">
        <v>63</v>
      </c>
      <c r="O171" s="2"/>
      <c r="P171" s="2"/>
      <c r="AE171" s="44"/>
    </row>
    <row r="172" spans="1:31" ht="15" customHeight="1">
      <c r="A172" s="2">
        <v>173</v>
      </c>
      <c r="B172" s="5">
        <v>46111</v>
      </c>
      <c r="C172" s="5">
        <v>46112</v>
      </c>
      <c r="D172" s="30">
        <f t="shared" ref="D172:D194" si="25">C172-B172</f>
        <v>1</v>
      </c>
      <c r="E172" s="5" t="s">
        <v>317</v>
      </c>
      <c r="F172" s="2" t="s">
        <v>22</v>
      </c>
      <c r="G172" s="53" t="s">
        <v>261</v>
      </c>
      <c r="H172" s="2" t="s">
        <v>420</v>
      </c>
      <c r="I172" s="2" t="s">
        <v>25</v>
      </c>
      <c r="J172" s="2" t="s">
        <v>343</v>
      </c>
      <c r="K172" s="7">
        <v>-74.047653999999994</v>
      </c>
      <c r="L172" s="7">
        <v>4.6832216999999998</v>
      </c>
      <c r="M172" s="2" t="s">
        <v>329</v>
      </c>
      <c r="N172" s="2" t="s">
        <v>63</v>
      </c>
      <c r="O172" s="2" t="s">
        <v>328</v>
      </c>
      <c r="P172" s="2" t="s">
        <v>63</v>
      </c>
      <c r="AE172" s="44"/>
    </row>
    <row r="173" spans="1:31" ht="15" customHeight="1">
      <c r="A173" s="24">
        <v>174</v>
      </c>
      <c r="B173" s="5">
        <v>46106</v>
      </c>
      <c r="C173" s="5">
        <v>46118</v>
      </c>
      <c r="D173" s="30">
        <f t="shared" si="25"/>
        <v>12</v>
      </c>
      <c r="E173" s="5" t="s">
        <v>317</v>
      </c>
      <c r="F173" s="2" t="s">
        <v>421</v>
      </c>
      <c r="G173" s="53" t="s">
        <v>422</v>
      </c>
      <c r="H173" s="2" t="s">
        <v>423</v>
      </c>
      <c r="I173" s="2" t="s">
        <v>25</v>
      </c>
      <c r="J173" s="2" t="s">
        <v>343</v>
      </c>
      <c r="K173" s="7">
        <v>-73.969371761149006</v>
      </c>
      <c r="L173" s="7">
        <v>4.7199665822796302</v>
      </c>
      <c r="M173" s="2" t="s">
        <v>424</v>
      </c>
      <c r="N173" s="2" t="s">
        <v>40</v>
      </c>
      <c r="AE173" s="44"/>
    </row>
    <row r="174" spans="1:31" ht="14.45">
      <c r="A174" s="24">
        <v>175</v>
      </c>
      <c r="B174" s="5">
        <v>46118</v>
      </c>
      <c r="C174" s="5">
        <v>46120</v>
      </c>
      <c r="D174" s="30">
        <f t="shared" si="25"/>
        <v>2</v>
      </c>
      <c r="E174" s="5" t="s">
        <v>317</v>
      </c>
      <c r="F174" s="2" t="s">
        <v>22</v>
      </c>
      <c r="G174" s="53" t="s">
        <v>425</v>
      </c>
      <c r="H174" s="2" t="s">
        <v>426</v>
      </c>
      <c r="I174" s="2" t="s">
        <v>25</v>
      </c>
      <c r="J174" s="2" t="s">
        <v>343</v>
      </c>
      <c r="K174" s="7">
        <v>-74.140123848038201</v>
      </c>
      <c r="L174" s="7">
        <v>4.6400998762110603</v>
      </c>
      <c r="M174" s="2" t="s">
        <v>427</v>
      </c>
      <c r="N174" s="2" t="s">
        <v>28</v>
      </c>
      <c r="AE174" s="44"/>
    </row>
    <row r="175" spans="1:31" ht="14.45">
      <c r="A175" s="24">
        <v>176</v>
      </c>
      <c r="B175" s="5">
        <v>46118</v>
      </c>
      <c r="C175" s="5">
        <v>46120</v>
      </c>
      <c r="D175" s="30">
        <f t="shared" si="25"/>
        <v>2</v>
      </c>
      <c r="E175" s="5" t="s">
        <v>317</v>
      </c>
      <c r="F175" s="2" t="s">
        <v>22</v>
      </c>
      <c r="G175" s="53" t="s">
        <v>261</v>
      </c>
      <c r="H175" s="2" t="s">
        <v>428</v>
      </c>
      <c r="I175" s="2" t="s">
        <v>25</v>
      </c>
      <c r="J175" s="2" t="s">
        <v>343</v>
      </c>
      <c r="K175" s="7">
        <v>-74.056971674902698</v>
      </c>
      <c r="L175" s="7">
        <v>4.6697240557380404</v>
      </c>
      <c r="M175" s="2" t="s">
        <v>304</v>
      </c>
      <c r="N175" s="2" t="s">
        <v>63</v>
      </c>
      <c r="O175" s="2" t="s">
        <v>66</v>
      </c>
      <c r="P175" s="2" t="s">
        <v>63</v>
      </c>
      <c r="Q175" s="2" t="s">
        <v>354</v>
      </c>
      <c r="R175" s="2" t="s">
        <v>63</v>
      </c>
      <c r="AE175" s="44"/>
    </row>
    <row r="176" spans="1:31" ht="14.45">
      <c r="A176" s="24">
        <v>177</v>
      </c>
      <c r="B176" s="5">
        <v>46118</v>
      </c>
      <c r="C176" s="5">
        <v>46120</v>
      </c>
      <c r="D176" s="30">
        <f t="shared" si="25"/>
        <v>2</v>
      </c>
      <c r="E176" s="5" t="s">
        <v>317</v>
      </c>
      <c r="F176" s="2" t="s">
        <v>22</v>
      </c>
      <c r="G176" s="53" t="s">
        <v>261</v>
      </c>
      <c r="H176" s="2" t="s">
        <v>429</v>
      </c>
      <c r="I176" s="2" t="s">
        <v>25</v>
      </c>
      <c r="J176" s="2" t="s">
        <v>343</v>
      </c>
      <c r="K176" s="7">
        <v>-74.053183072017802</v>
      </c>
      <c r="L176" s="7">
        <v>4.6690997939892798</v>
      </c>
      <c r="M176" s="2" t="s">
        <v>66</v>
      </c>
      <c r="N176" s="2" t="s">
        <v>63</v>
      </c>
      <c r="O176" s="2" t="s">
        <v>354</v>
      </c>
      <c r="P176" s="2" t="s">
        <v>63</v>
      </c>
      <c r="AE176" s="44"/>
    </row>
    <row r="177" spans="1:31" ht="14.45">
      <c r="A177" s="24">
        <v>178</v>
      </c>
      <c r="B177" s="5">
        <v>46120</v>
      </c>
      <c r="C177" s="5">
        <v>46120</v>
      </c>
      <c r="D177" s="30">
        <f t="shared" si="25"/>
        <v>0</v>
      </c>
      <c r="E177" s="5" t="s">
        <v>317</v>
      </c>
      <c r="F177" s="2" t="s">
        <v>22</v>
      </c>
      <c r="G177" s="53" t="s">
        <v>261</v>
      </c>
      <c r="H177" s="2" t="s">
        <v>430</v>
      </c>
      <c r="I177" s="2" t="s">
        <v>25</v>
      </c>
      <c r="J177" s="2" t="s">
        <v>343</v>
      </c>
      <c r="K177" s="7">
        <v>-74.061142682332601</v>
      </c>
      <c r="L177" s="7">
        <v>4.6439592118599302</v>
      </c>
      <c r="M177" s="2" t="s">
        <v>300</v>
      </c>
      <c r="N177" s="2" t="s">
        <v>63</v>
      </c>
      <c r="AE177" s="44"/>
    </row>
    <row r="178" spans="1:31" ht="14.45">
      <c r="A178" s="24">
        <v>179</v>
      </c>
      <c r="B178" s="5">
        <v>46120</v>
      </c>
      <c r="C178" s="5">
        <v>46120</v>
      </c>
      <c r="D178" s="30">
        <f t="shared" si="25"/>
        <v>0</v>
      </c>
      <c r="E178" s="5" t="s">
        <v>317</v>
      </c>
      <c r="F178" s="2" t="s">
        <v>22</v>
      </c>
      <c r="G178" s="53" t="s">
        <v>261</v>
      </c>
      <c r="H178" s="2" t="s">
        <v>431</v>
      </c>
      <c r="I178" s="2" t="s">
        <v>25</v>
      </c>
      <c r="J178" s="2" t="s">
        <v>343</v>
      </c>
      <c r="K178" s="7">
        <v>-74.059125967441702</v>
      </c>
      <c r="L178" s="7">
        <v>4.6560695635523102</v>
      </c>
      <c r="M178" s="2" t="s">
        <v>300</v>
      </c>
      <c r="N178" s="2" t="s">
        <v>63</v>
      </c>
      <c r="AE178" s="44"/>
    </row>
    <row r="179" spans="1:31" ht="15" customHeight="1">
      <c r="A179" s="24">
        <v>180</v>
      </c>
      <c r="B179" s="5">
        <v>46121</v>
      </c>
      <c r="C179" s="5">
        <v>46121</v>
      </c>
      <c r="D179" s="30">
        <f t="shared" si="25"/>
        <v>0</v>
      </c>
      <c r="E179" s="5" t="s">
        <v>254</v>
      </c>
      <c r="F179" s="2" t="s">
        <v>22</v>
      </c>
      <c r="G179" s="17" t="s">
        <v>432</v>
      </c>
      <c r="H179" s="2" t="s">
        <v>433</v>
      </c>
      <c r="I179" s="2" t="s">
        <v>25</v>
      </c>
      <c r="J179" s="7" t="s">
        <v>33</v>
      </c>
      <c r="K179" s="7">
        <v>-74.049779335300101</v>
      </c>
      <c r="L179" s="7">
        <v>4.6949276209689899</v>
      </c>
      <c r="M179" s="2" t="s">
        <v>434</v>
      </c>
      <c r="N179" s="2" t="s">
        <v>63</v>
      </c>
      <c r="AE179" s="44"/>
    </row>
    <row r="180" spans="1:31" ht="15" customHeight="1">
      <c r="A180" s="24">
        <v>181</v>
      </c>
      <c r="B180" s="5">
        <v>46126</v>
      </c>
      <c r="C180" s="5">
        <v>46127</v>
      </c>
      <c r="D180" s="30">
        <f t="shared" si="25"/>
        <v>1</v>
      </c>
      <c r="E180" s="5" t="s">
        <v>254</v>
      </c>
      <c r="F180" s="2" t="s">
        <v>22</v>
      </c>
      <c r="G180" s="53" t="s">
        <v>387</v>
      </c>
      <c r="H180" s="2" t="s">
        <v>435</v>
      </c>
      <c r="I180" s="2" t="s">
        <v>25</v>
      </c>
      <c r="J180" s="2" t="s">
        <v>38</v>
      </c>
      <c r="K180" s="7">
        <v>-74.071621682230003</v>
      </c>
      <c r="L180" s="7">
        <v>4.6464671217220301</v>
      </c>
      <c r="M180" s="2" t="s">
        <v>436</v>
      </c>
      <c r="N180" s="2" t="s">
        <v>28</v>
      </c>
      <c r="O180" s="2" t="s">
        <v>437</v>
      </c>
      <c r="P180" s="2" t="s">
        <v>40</v>
      </c>
      <c r="AE180" s="44"/>
    </row>
    <row r="181" spans="1:31" ht="15" customHeight="1">
      <c r="A181" s="24">
        <v>182</v>
      </c>
      <c r="B181" s="5">
        <v>46127</v>
      </c>
      <c r="C181" s="5">
        <v>46128</v>
      </c>
      <c r="D181" s="30">
        <f t="shared" si="25"/>
        <v>1</v>
      </c>
      <c r="E181" s="5" t="s">
        <v>254</v>
      </c>
      <c r="F181" s="2" t="s">
        <v>22</v>
      </c>
      <c r="G181" s="53" t="s">
        <v>338</v>
      </c>
      <c r="H181" s="2" t="s">
        <v>438</v>
      </c>
      <c r="I181" s="2" t="s">
        <v>25</v>
      </c>
      <c r="J181" s="2" t="s">
        <v>80</v>
      </c>
      <c r="K181" s="7">
        <v>-74.101295671316194</v>
      </c>
      <c r="L181" s="7">
        <v>4.5848127175863604</v>
      </c>
      <c r="M181" s="2" t="s">
        <v>348</v>
      </c>
      <c r="N181" s="2" t="s">
        <v>40</v>
      </c>
      <c r="O181" s="2" t="s">
        <v>347</v>
      </c>
      <c r="P181" s="2" t="s">
        <v>28</v>
      </c>
      <c r="AE181" s="44"/>
    </row>
    <row r="182" spans="1:31" ht="15" customHeight="1">
      <c r="A182" s="24">
        <v>183</v>
      </c>
      <c r="B182" s="5">
        <v>46128</v>
      </c>
      <c r="C182" s="5">
        <v>46128</v>
      </c>
      <c r="D182" s="30">
        <f t="shared" si="25"/>
        <v>0</v>
      </c>
      <c r="E182" s="5" t="s">
        <v>254</v>
      </c>
      <c r="F182" s="2" t="s">
        <v>22</v>
      </c>
      <c r="G182" s="53" t="s">
        <v>432</v>
      </c>
      <c r="H182" s="2" t="s">
        <v>439</v>
      </c>
      <c r="I182" s="2" t="s">
        <v>25</v>
      </c>
      <c r="J182" s="2" t="s">
        <v>33</v>
      </c>
      <c r="K182" s="7">
        <v>-74.045866266744795</v>
      </c>
      <c r="L182" s="7">
        <v>4.6902240972875502</v>
      </c>
      <c r="M182" s="2" t="s">
        <v>440</v>
      </c>
      <c r="N182" s="2" t="s">
        <v>40</v>
      </c>
      <c r="O182" s="2" t="s">
        <v>441</v>
      </c>
      <c r="P182" s="2" t="s">
        <v>63</v>
      </c>
      <c r="AE182" s="44"/>
    </row>
    <row r="183" spans="1:31" ht="15" customHeight="1">
      <c r="A183" s="24">
        <v>184</v>
      </c>
      <c r="B183" s="5">
        <v>46133</v>
      </c>
      <c r="C183" s="5">
        <v>46134</v>
      </c>
      <c r="D183" s="30">
        <f t="shared" si="25"/>
        <v>1</v>
      </c>
      <c r="E183" s="5" t="s">
        <v>254</v>
      </c>
      <c r="F183" s="2" t="s">
        <v>22</v>
      </c>
      <c r="G183" s="53" t="s">
        <v>442</v>
      </c>
      <c r="H183" s="2" t="s">
        <v>443</v>
      </c>
      <c r="I183" s="2" t="s">
        <v>25</v>
      </c>
      <c r="J183" s="2" t="s">
        <v>80</v>
      </c>
      <c r="K183" s="7">
        <v>-74.079157005016</v>
      </c>
      <c r="L183" s="7">
        <v>4.6461041100858198</v>
      </c>
      <c r="M183" s="2" t="s">
        <v>444</v>
      </c>
      <c r="N183" s="2" t="s">
        <v>63</v>
      </c>
      <c r="O183" s="2" t="s">
        <v>445</v>
      </c>
      <c r="P183" s="2" t="s">
        <v>63</v>
      </c>
      <c r="AE183" s="44"/>
    </row>
    <row r="184" spans="1:31" ht="15" customHeight="1">
      <c r="A184" s="2">
        <v>185</v>
      </c>
      <c r="B184" s="5">
        <v>46121</v>
      </c>
      <c r="C184" s="5">
        <v>46122</v>
      </c>
      <c r="D184" s="30">
        <f t="shared" si="25"/>
        <v>1</v>
      </c>
      <c r="E184" s="5" t="s">
        <v>317</v>
      </c>
      <c r="F184" s="2" t="s">
        <v>22</v>
      </c>
      <c r="G184" s="17" t="s">
        <v>446</v>
      </c>
      <c r="H184" s="2" t="s">
        <v>447</v>
      </c>
      <c r="I184" s="2" t="s">
        <v>25</v>
      </c>
      <c r="J184" s="2" t="s">
        <v>325</v>
      </c>
      <c r="K184" s="7">
        <v>-74.108178116014599</v>
      </c>
      <c r="L184" s="7">
        <v>4.5817712369356496</v>
      </c>
      <c r="M184" s="2" t="s">
        <v>448</v>
      </c>
      <c r="N184" s="2" t="s">
        <v>40</v>
      </c>
      <c r="O184" s="2"/>
      <c r="AE184" s="44"/>
    </row>
    <row r="185" spans="1:31" ht="15" customHeight="1">
      <c r="A185" s="2">
        <v>186</v>
      </c>
      <c r="B185" s="5">
        <v>46127</v>
      </c>
      <c r="C185" s="5">
        <v>46127</v>
      </c>
      <c r="D185" s="30">
        <f t="shared" si="25"/>
        <v>0</v>
      </c>
      <c r="E185" s="5" t="s">
        <v>317</v>
      </c>
      <c r="F185" s="2" t="s">
        <v>22</v>
      </c>
      <c r="G185" s="17" t="s">
        <v>312</v>
      </c>
      <c r="H185" s="2" t="s">
        <v>449</v>
      </c>
      <c r="I185" s="2" t="s">
        <v>25</v>
      </c>
      <c r="J185" s="2" t="s">
        <v>393</v>
      </c>
      <c r="K185" s="7">
        <v>-74.043555999999995</v>
      </c>
      <c r="L185" s="7">
        <v>4.7409410000000003</v>
      </c>
      <c r="M185" s="2" t="s">
        <v>450</v>
      </c>
      <c r="N185" s="2" t="s">
        <v>40</v>
      </c>
      <c r="O185" s="2" t="s">
        <v>451</v>
      </c>
      <c r="P185" s="2" t="s">
        <v>28</v>
      </c>
      <c r="AE185" s="44"/>
    </row>
    <row r="186" spans="1:31" ht="15" customHeight="1">
      <c r="A186" s="2">
        <v>187</v>
      </c>
      <c r="B186" s="5">
        <v>46133</v>
      </c>
      <c r="C186" s="5">
        <v>46135</v>
      </c>
      <c r="D186" s="30">
        <f t="shared" si="25"/>
        <v>2</v>
      </c>
      <c r="E186" s="5" t="s">
        <v>317</v>
      </c>
      <c r="F186" s="2" t="s">
        <v>22</v>
      </c>
      <c r="G186" s="53" t="s">
        <v>284</v>
      </c>
      <c r="H186" s="2" t="s">
        <v>452</v>
      </c>
      <c r="I186" s="2" t="s">
        <v>25</v>
      </c>
      <c r="J186" s="2" t="s">
        <v>343</v>
      </c>
      <c r="K186" s="7">
        <v>-74.115879399999997</v>
      </c>
      <c r="L186" s="7">
        <v>4.6240446999999998</v>
      </c>
      <c r="M186" s="2" t="s">
        <v>285</v>
      </c>
      <c r="N186" s="2" t="s">
        <v>63</v>
      </c>
      <c r="AE186" s="44"/>
    </row>
    <row r="187" spans="1:31" ht="15" customHeight="1">
      <c r="A187" s="2">
        <v>187</v>
      </c>
      <c r="B187" s="5">
        <v>46134</v>
      </c>
      <c r="C187" s="5">
        <v>46136</v>
      </c>
      <c r="D187" s="30">
        <f t="shared" si="25"/>
        <v>2</v>
      </c>
      <c r="E187" s="5" t="s">
        <v>317</v>
      </c>
      <c r="F187" s="2" t="s">
        <v>22</v>
      </c>
      <c r="G187" s="17" t="s">
        <v>270</v>
      </c>
      <c r="H187" s="2" t="s">
        <v>453</v>
      </c>
      <c r="I187" s="2" t="s">
        <v>25</v>
      </c>
      <c r="J187" s="2" t="s">
        <v>325</v>
      </c>
      <c r="K187" s="7">
        <v>-74.067416749836596</v>
      </c>
      <c r="L187" s="7">
        <v>4.6325867978374902</v>
      </c>
      <c r="M187" s="2" t="s">
        <v>277</v>
      </c>
      <c r="N187" s="2" t="s">
        <v>63</v>
      </c>
      <c r="O187" s="2" t="s">
        <v>370</v>
      </c>
      <c r="P187" s="2" t="s">
        <v>28</v>
      </c>
      <c r="AE187" s="44"/>
    </row>
    <row r="188" spans="1:31" ht="15" customHeight="1">
      <c r="A188" s="2">
        <v>188</v>
      </c>
      <c r="B188" s="5">
        <v>46135</v>
      </c>
      <c r="C188" s="5">
        <v>46136</v>
      </c>
      <c r="D188" s="30">
        <f t="shared" si="25"/>
        <v>1</v>
      </c>
      <c r="E188" s="5" t="s">
        <v>317</v>
      </c>
      <c r="F188" s="2" t="s">
        <v>22</v>
      </c>
      <c r="G188" s="17" t="s">
        <v>454</v>
      </c>
      <c r="H188" s="2" t="s">
        <v>455</v>
      </c>
      <c r="I188" s="2" t="s">
        <v>25</v>
      </c>
      <c r="J188" s="2" t="s">
        <v>38</v>
      </c>
      <c r="K188" s="7">
        <v>-74.067043995564902</v>
      </c>
      <c r="L188" s="7">
        <v>4.6626833308514</v>
      </c>
      <c r="M188" s="2" t="s">
        <v>269</v>
      </c>
      <c r="N188" s="2" t="s">
        <v>63</v>
      </c>
      <c r="AE188" s="44"/>
    </row>
    <row r="189" spans="1:31" ht="15" customHeight="1">
      <c r="A189" s="2">
        <v>189</v>
      </c>
      <c r="B189" s="5">
        <v>46146</v>
      </c>
      <c r="C189" s="5">
        <v>46146</v>
      </c>
      <c r="D189" s="30">
        <f t="shared" si="25"/>
        <v>0</v>
      </c>
      <c r="E189" s="5" t="s">
        <v>317</v>
      </c>
      <c r="F189" s="2" t="s">
        <v>22</v>
      </c>
      <c r="G189" s="53" t="s">
        <v>261</v>
      </c>
      <c r="H189" s="2" t="s">
        <v>456</v>
      </c>
      <c r="I189" s="2" t="s">
        <v>25</v>
      </c>
      <c r="J189" s="2" t="s">
        <v>343</v>
      </c>
      <c r="K189" s="7">
        <v>-74.060120779466402</v>
      </c>
      <c r="L189" s="7">
        <v>4.6635132747366503</v>
      </c>
      <c r="M189" s="2" t="s">
        <v>280</v>
      </c>
      <c r="N189" s="2" t="s">
        <v>40</v>
      </c>
    </row>
    <row r="190" spans="1:31" ht="15" customHeight="1">
      <c r="A190" s="2">
        <v>190</v>
      </c>
      <c r="B190" s="5">
        <v>46146</v>
      </c>
      <c r="C190" s="5">
        <v>46146</v>
      </c>
      <c r="D190" s="30">
        <f t="shared" si="25"/>
        <v>0</v>
      </c>
      <c r="E190" s="5" t="s">
        <v>317</v>
      </c>
      <c r="F190" s="2" t="s">
        <v>22</v>
      </c>
      <c r="G190" s="53" t="s">
        <v>261</v>
      </c>
      <c r="H190" s="2" t="s">
        <v>457</v>
      </c>
      <c r="I190" s="2" t="s">
        <v>25</v>
      </c>
      <c r="J190" s="2" t="s">
        <v>343</v>
      </c>
      <c r="K190" s="7">
        <v>-74.055872161572196</v>
      </c>
      <c r="L190" s="7">
        <v>4.6732457122078204</v>
      </c>
      <c r="M190" s="2" t="s">
        <v>354</v>
      </c>
      <c r="N190" s="2" t="s">
        <v>63</v>
      </c>
    </row>
    <row r="191" spans="1:31" ht="15" customHeight="1">
      <c r="A191" s="2">
        <v>191</v>
      </c>
      <c r="B191" s="5">
        <v>46146</v>
      </c>
      <c r="C191" s="5">
        <v>46146</v>
      </c>
      <c r="D191" s="30">
        <f t="shared" si="25"/>
        <v>0</v>
      </c>
      <c r="E191" s="5" t="s">
        <v>317</v>
      </c>
      <c r="F191" s="2" t="s">
        <v>22</v>
      </c>
      <c r="G191" s="53" t="s">
        <v>261</v>
      </c>
      <c r="H191" s="2" t="s">
        <v>458</v>
      </c>
      <c r="I191" s="2" t="s">
        <v>25</v>
      </c>
      <c r="J191" s="2" t="s">
        <v>343</v>
      </c>
      <c r="K191" s="7">
        <v>-74.0499682316687</v>
      </c>
      <c r="L191" s="7">
        <v>4.6780106956124303</v>
      </c>
      <c r="M191" s="2" t="s">
        <v>267</v>
      </c>
      <c r="N191" s="2" t="s">
        <v>63</v>
      </c>
    </row>
    <row r="192" spans="1:31" ht="15" customHeight="1">
      <c r="A192" s="2">
        <v>192</v>
      </c>
      <c r="B192" s="5">
        <v>46146</v>
      </c>
      <c r="C192" s="5">
        <v>46147</v>
      </c>
      <c r="D192" s="30">
        <f t="shared" si="25"/>
        <v>1</v>
      </c>
      <c r="E192" s="5" t="s">
        <v>317</v>
      </c>
      <c r="F192" s="2" t="s">
        <v>22</v>
      </c>
      <c r="G192" s="53" t="s">
        <v>284</v>
      </c>
      <c r="H192" s="2" t="s">
        <v>459</v>
      </c>
      <c r="I192" s="2" t="s">
        <v>25</v>
      </c>
      <c r="J192" s="2" t="s">
        <v>343</v>
      </c>
      <c r="K192" s="7">
        <v>-74.116290275173398</v>
      </c>
      <c r="L192" s="7">
        <v>4.6277943032297904</v>
      </c>
      <c r="M192" s="2" t="s">
        <v>285</v>
      </c>
      <c r="N192" s="2" t="s">
        <v>63</v>
      </c>
    </row>
    <row r="193" spans="1:18" ht="15" customHeight="1">
      <c r="A193" s="2">
        <v>193</v>
      </c>
      <c r="B193" s="5">
        <v>46153</v>
      </c>
      <c r="C193" s="5">
        <v>46153</v>
      </c>
      <c r="D193" s="30">
        <f t="shared" si="25"/>
        <v>0</v>
      </c>
      <c r="E193" s="5" t="s">
        <v>317</v>
      </c>
      <c r="F193" s="2" t="s">
        <v>22</v>
      </c>
      <c r="G193" s="53" t="s">
        <v>454</v>
      </c>
      <c r="H193" s="2" t="s">
        <v>460</v>
      </c>
      <c r="I193" s="2" t="s">
        <v>25</v>
      </c>
      <c r="J193" s="2" t="s">
        <v>38</v>
      </c>
      <c r="K193" s="7">
        <v>-74.065303347798306</v>
      </c>
      <c r="L193" s="7">
        <v>4.6654991532324299</v>
      </c>
      <c r="M193" s="2" t="s">
        <v>269</v>
      </c>
      <c r="N193" s="2" t="s">
        <v>28</v>
      </c>
    </row>
    <row r="194" spans="1:18" ht="15" customHeight="1">
      <c r="A194" s="2">
        <v>194</v>
      </c>
      <c r="B194" s="5">
        <v>46153</v>
      </c>
      <c r="C194" s="5">
        <v>46153</v>
      </c>
      <c r="D194" s="30">
        <f t="shared" si="25"/>
        <v>0</v>
      </c>
      <c r="E194" s="5" t="s">
        <v>317</v>
      </c>
      <c r="F194" s="2" t="s">
        <v>22</v>
      </c>
      <c r="G194" s="17" t="s">
        <v>334</v>
      </c>
      <c r="H194" s="2" t="s">
        <v>461</v>
      </c>
      <c r="I194" s="2" t="s">
        <v>25</v>
      </c>
      <c r="J194" s="2" t="s">
        <v>38</v>
      </c>
      <c r="K194" s="7">
        <v>-74.052010146003795</v>
      </c>
      <c r="L194" s="7">
        <v>4.6661871452130796</v>
      </c>
      <c r="M194" s="2" t="s">
        <v>66</v>
      </c>
      <c r="N194" s="2" t="s">
        <v>63</v>
      </c>
    </row>
    <row r="195" spans="1:18" ht="15" customHeight="1">
      <c r="A195" s="2">
        <v>195</v>
      </c>
      <c r="B195" s="5">
        <v>46155</v>
      </c>
      <c r="C195" s="5">
        <v>46156</v>
      </c>
      <c r="D195" s="30">
        <f t="shared" ref="D195:D222" si="26">C195-B195</f>
        <v>1</v>
      </c>
      <c r="E195" s="5" t="s">
        <v>317</v>
      </c>
      <c r="F195" s="2" t="s">
        <v>22</v>
      </c>
      <c r="G195" s="17" t="s">
        <v>462</v>
      </c>
      <c r="H195" s="2" t="s">
        <v>463</v>
      </c>
      <c r="I195" s="2" t="s">
        <v>25</v>
      </c>
      <c r="J195" s="2" t="s">
        <v>343</v>
      </c>
      <c r="K195" s="7">
        <v>-74.806405300588295</v>
      </c>
      <c r="L195" s="7">
        <v>4.29707112954826</v>
      </c>
      <c r="M195" s="2" t="s">
        <v>66</v>
      </c>
      <c r="N195" s="2" t="s">
        <v>63</v>
      </c>
    </row>
    <row r="196" spans="1:18" ht="15" customHeight="1">
      <c r="A196" s="2">
        <v>196</v>
      </c>
      <c r="B196" s="5">
        <v>46155</v>
      </c>
      <c r="C196" s="5">
        <v>46156</v>
      </c>
      <c r="D196" s="30">
        <f t="shared" si="26"/>
        <v>1</v>
      </c>
      <c r="E196" s="5" t="s">
        <v>317</v>
      </c>
      <c r="F196" s="2" t="s">
        <v>22</v>
      </c>
      <c r="G196" s="53" t="s">
        <v>425</v>
      </c>
      <c r="H196" s="2" t="s">
        <v>464</v>
      </c>
      <c r="I196" s="2" t="s">
        <v>25</v>
      </c>
      <c r="J196" s="2" t="s">
        <v>343</v>
      </c>
      <c r="K196" s="7">
        <v>-74.145013825014303</v>
      </c>
      <c r="L196" s="7">
        <v>4.6413540721460098</v>
      </c>
      <c r="M196" s="2" t="s">
        <v>465</v>
      </c>
      <c r="N196" s="2" t="s">
        <v>63</v>
      </c>
    </row>
    <row r="197" spans="1:18" ht="15" customHeight="1">
      <c r="A197" s="2">
        <v>197</v>
      </c>
      <c r="B197" s="5">
        <v>46155</v>
      </c>
      <c r="C197" s="5">
        <v>46157</v>
      </c>
      <c r="D197" s="30">
        <f t="shared" si="26"/>
        <v>2</v>
      </c>
      <c r="E197" s="5" t="s">
        <v>317</v>
      </c>
      <c r="F197" s="2" t="s">
        <v>22</v>
      </c>
      <c r="G197" s="53" t="s">
        <v>261</v>
      </c>
      <c r="H197" s="2" t="s">
        <v>466</v>
      </c>
      <c r="I197" s="2" t="s">
        <v>25</v>
      </c>
      <c r="J197" s="2" t="s">
        <v>343</v>
      </c>
      <c r="K197" s="7">
        <v>-74.055600887865197</v>
      </c>
      <c r="L197" s="7">
        <v>4.6655271893863297</v>
      </c>
      <c r="M197" s="2" t="s">
        <v>305</v>
      </c>
      <c r="N197" s="2" t="s">
        <v>28</v>
      </c>
    </row>
    <row r="198" spans="1:18" ht="15" customHeight="1">
      <c r="A198" s="2">
        <v>198</v>
      </c>
      <c r="B198" s="5">
        <v>46155</v>
      </c>
      <c r="C198" s="5">
        <v>46157</v>
      </c>
      <c r="D198" s="30">
        <f t="shared" si="26"/>
        <v>2</v>
      </c>
      <c r="E198" s="5" t="s">
        <v>317</v>
      </c>
      <c r="F198" s="2" t="s">
        <v>22</v>
      </c>
      <c r="G198" s="53" t="s">
        <v>261</v>
      </c>
      <c r="H198" s="2" t="s">
        <v>467</v>
      </c>
      <c r="I198" s="2" t="s">
        <v>25</v>
      </c>
      <c r="J198" s="2" t="s">
        <v>343</v>
      </c>
      <c r="K198" s="7">
        <v>-74.055408235177296</v>
      </c>
      <c r="L198" s="7">
        <v>4.6652353202914103</v>
      </c>
      <c r="M198" s="2" t="s">
        <v>305</v>
      </c>
      <c r="N198" s="2" t="s">
        <v>28</v>
      </c>
    </row>
    <row r="199" spans="1:18" ht="15" customHeight="1">
      <c r="A199" s="2">
        <v>199</v>
      </c>
      <c r="B199" s="5">
        <v>46155</v>
      </c>
      <c r="C199" s="5">
        <v>46156</v>
      </c>
      <c r="D199" s="30">
        <f t="shared" si="26"/>
        <v>1</v>
      </c>
      <c r="E199" s="5" t="s">
        <v>317</v>
      </c>
      <c r="F199" s="2" t="s">
        <v>22</v>
      </c>
      <c r="G199" s="53" t="s">
        <v>261</v>
      </c>
      <c r="H199" s="2" t="s">
        <v>468</v>
      </c>
      <c r="I199" s="2" t="s">
        <v>25</v>
      </c>
      <c r="J199" s="2" t="s">
        <v>343</v>
      </c>
      <c r="K199" s="7">
        <v>-74.042143390836202</v>
      </c>
      <c r="L199" s="7">
        <v>4.6811182692002404</v>
      </c>
      <c r="M199" s="2" t="s">
        <v>469</v>
      </c>
      <c r="N199" s="2" t="s">
        <v>63</v>
      </c>
      <c r="O199" s="2" t="s">
        <v>470</v>
      </c>
      <c r="P199" s="2" t="s">
        <v>28</v>
      </c>
      <c r="Q199" s="2" t="s">
        <v>357</v>
      </c>
      <c r="R199" s="2" t="s">
        <v>28</v>
      </c>
    </row>
    <row r="200" spans="1:18" ht="15" customHeight="1">
      <c r="A200" s="2">
        <v>200</v>
      </c>
      <c r="B200" s="5">
        <v>46155</v>
      </c>
      <c r="C200" s="5">
        <v>46156</v>
      </c>
      <c r="D200" s="30">
        <f t="shared" si="26"/>
        <v>1</v>
      </c>
      <c r="E200" s="5" t="s">
        <v>317</v>
      </c>
      <c r="F200" s="2" t="s">
        <v>22</v>
      </c>
      <c r="G200" s="53" t="s">
        <v>471</v>
      </c>
      <c r="H200" s="2" t="s">
        <v>472</v>
      </c>
      <c r="I200" s="2" t="s">
        <v>25</v>
      </c>
      <c r="J200" s="2" t="s">
        <v>393</v>
      </c>
      <c r="K200" s="7">
        <v>-74.058346536662299</v>
      </c>
      <c r="L200" s="7">
        <v>4.6833404706322499</v>
      </c>
      <c r="M200" s="2" t="s">
        <v>473</v>
      </c>
      <c r="N200" s="2" t="s">
        <v>63</v>
      </c>
      <c r="O200" s="2" t="s">
        <v>474</v>
      </c>
      <c r="P200" s="2" t="s">
        <v>28</v>
      </c>
    </row>
    <row r="201" spans="1:18" ht="15" customHeight="1">
      <c r="A201" s="2">
        <v>201</v>
      </c>
      <c r="B201" s="5">
        <v>46168</v>
      </c>
      <c r="C201" s="5">
        <v>46168</v>
      </c>
      <c r="D201" s="30">
        <f t="shared" si="26"/>
        <v>0</v>
      </c>
      <c r="E201" s="5" t="s">
        <v>317</v>
      </c>
      <c r="F201" s="2" t="s">
        <v>22</v>
      </c>
      <c r="G201" s="53" t="s">
        <v>475</v>
      </c>
      <c r="H201" s="2" t="s">
        <v>476</v>
      </c>
      <c r="I201" s="2" t="s">
        <v>25</v>
      </c>
      <c r="J201" s="2" t="s">
        <v>343</v>
      </c>
      <c r="K201" s="7">
        <v>-74.182992078309098</v>
      </c>
      <c r="L201" s="7">
        <v>4.6036937595969798</v>
      </c>
      <c r="M201" s="2" t="s">
        <v>477</v>
      </c>
      <c r="N201" s="2" t="s">
        <v>63</v>
      </c>
    </row>
    <row r="202" spans="1:18" ht="15" customHeight="1">
      <c r="A202" s="2">
        <v>202</v>
      </c>
      <c r="B202" s="5">
        <v>46168</v>
      </c>
      <c r="C202" s="5">
        <v>46169</v>
      </c>
      <c r="D202" s="30">
        <f t="shared" si="26"/>
        <v>1</v>
      </c>
      <c r="E202" s="5" t="s">
        <v>317</v>
      </c>
      <c r="F202" s="17" t="s">
        <v>22</v>
      </c>
      <c r="G202" s="53" t="s">
        <v>475</v>
      </c>
      <c r="H202" s="2" t="s">
        <v>478</v>
      </c>
      <c r="I202" s="2" t="s">
        <v>25</v>
      </c>
      <c r="J202" s="2" t="s">
        <v>343</v>
      </c>
      <c r="K202" s="7">
        <v>-74.182616368172006</v>
      </c>
      <c r="L202" s="7">
        <v>4.6058717338062003</v>
      </c>
      <c r="M202" s="2" t="s">
        <v>477</v>
      </c>
      <c r="N202" s="2" t="s">
        <v>63</v>
      </c>
    </row>
    <row r="203" spans="1:18" ht="15" customHeight="1">
      <c r="A203" s="2">
        <v>203</v>
      </c>
      <c r="B203" s="5">
        <v>46171</v>
      </c>
      <c r="C203" s="5">
        <v>46171</v>
      </c>
      <c r="D203" s="30">
        <f t="shared" si="26"/>
        <v>0</v>
      </c>
      <c r="E203" s="5" t="s">
        <v>317</v>
      </c>
      <c r="F203" s="53" t="s">
        <v>22</v>
      </c>
      <c r="G203" s="53" t="s">
        <v>261</v>
      </c>
      <c r="H203" s="2" t="s">
        <v>479</v>
      </c>
      <c r="I203" s="2" t="s">
        <v>25</v>
      </c>
      <c r="J203" s="2" t="s">
        <v>38</v>
      </c>
      <c r="K203" s="7">
        <v>-74.051736135685402</v>
      </c>
      <c r="L203" s="7">
        <v>4.6678246519217703</v>
      </c>
      <c r="M203" s="2" t="s">
        <v>66</v>
      </c>
      <c r="N203" s="2" t="s">
        <v>63</v>
      </c>
    </row>
    <row r="204" spans="1:18" ht="15" customHeight="1">
      <c r="A204" s="2">
        <v>204</v>
      </c>
      <c r="B204" s="5">
        <v>46133</v>
      </c>
      <c r="C204" s="5">
        <v>46134</v>
      </c>
      <c r="D204" s="30">
        <f t="shared" si="26"/>
        <v>1</v>
      </c>
      <c r="E204" s="5" t="s">
        <v>254</v>
      </c>
      <c r="F204" s="2" t="s">
        <v>22</v>
      </c>
      <c r="G204" s="53" t="s">
        <v>442</v>
      </c>
      <c r="H204" s="2" t="s">
        <v>443</v>
      </c>
      <c r="I204" s="2" t="s">
        <v>25</v>
      </c>
      <c r="J204" s="2" t="s">
        <v>80</v>
      </c>
      <c r="K204" s="7">
        <v>-74.079157005016</v>
      </c>
      <c r="L204" s="7">
        <v>4.6461041100858198</v>
      </c>
      <c r="M204" s="17" t="s">
        <v>444</v>
      </c>
      <c r="N204" s="17" t="s">
        <v>63</v>
      </c>
      <c r="O204" s="17" t="s">
        <v>480</v>
      </c>
      <c r="P204" s="17" t="s">
        <v>63</v>
      </c>
      <c r="Q204" s="17"/>
    </row>
    <row r="205" spans="1:18" ht="15" customHeight="1">
      <c r="A205" s="2">
        <v>205</v>
      </c>
      <c r="B205" s="5">
        <v>46153</v>
      </c>
      <c r="C205" s="5">
        <v>46154</v>
      </c>
      <c r="D205" s="30">
        <f t="shared" si="26"/>
        <v>1</v>
      </c>
      <c r="E205" s="5" t="s">
        <v>254</v>
      </c>
      <c r="F205" s="2" t="s">
        <v>22</v>
      </c>
      <c r="G205" s="17" t="s">
        <v>481</v>
      </c>
      <c r="H205" s="2" t="s">
        <v>482</v>
      </c>
      <c r="I205" s="2" t="s">
        <v>25</v>
      </c>
      <c r="J205" s="2" t="s">
        <v>33</v>
      </c>
      <c r="K205" s="7"/>
      <c r="M205" s="17" t="s">
        <v>483</v>
      </c>
      <c r="N205" s="17" t="s">
        <v>63</v>
      </c>
      <c r="O205" s="17"/>
      <c r="P205" s="17"/>
      <c r="Q205" s="17"/>
    </row>
    <row r="206" spans="1:18" ht="15" customHeight="1">
      <c r="A206" s="2">
        <v>206</v>
      </c>
      <c r="B206" s="5">
        <v>46157</v>
      </c>
      <c r="C206" s="5">
        <v>46161</v>
      </c>
      <c r="D206" s="30">
        <f t="shared" si="26"/>
        <v>4</v>
      </c>
      <c r="E206" s="5" t="s">
        <v>254</v>
      </c>
      <c r="F206" s="2" t="s">
        <v>22</v>
      </c>
      <c r="H206" s="2" t="s">
        <v>484</v>
      </c>
      <c r="I206" s="2" t="s">
        <v>25</v>
      </c>
      <c r="J206" s="2" t="s">
        <v>485</v>
      </c>
      <c r="K206" s="7">
        <v>-74.086491100000003</v>
      </c>
      <c r="L206" s="7">
        <v>4.7389500118596803</v>
      </c>
      <c r="M206" s="17"/>
      <c r="N206" s="17"/>
      <c r="O206" s="17"/>
      <c r="P206" s="17"/>
      <c r="Q206" s="17"/>
    </row>
    <row r="207" spans="1:18" ht="15" customHeight="1">
      <c r="A207" s="2">
        <v>207</v>
      </c>
      <c r="B207" s="5">
        <v>46157</v>
      </c>
      <c r="C207" s="5">
        <v>46161</v>
      </c>
      <c r="D207" s="30">
        <f t="shared" si="26"/>
        <v>4</v>
      </c>
      <c r="E207" s="5" t="s">
        <v>254</v>
      </c>
      <c r="F207" s="2" t="s">
        <v>22</v>
      </c>
      <c r="G207" s="17" t="s">
        <v>486</v>
      </c>
      <c r="H207" s="2" t="s">
        <v>487</v>
      </c>
      <c r="I207" s="2" t="s">
        <v>25</v>
      </c>
      <c r="J207" s="2" t="s">
        <v>80</v>
      </c>
      <c r="K207" s="7">
        <v>-74.054842062577904</v>
      </c>
      <c r="L207" s="7">
        <v>4.7543497932782603</v>
      </c>
      <c r="M207" s="17" t="s">
        <v>394</v>
      </c>
      <c r="N207" s="17" t="s">
        <v>63</v>
      </c>
      <c r="O207" s="17"/>
      <c r="P207" s="17"/>
      <c r="Q207" s="17"/>
    </row>
    <row r="208" spans="1:18" ht="15" customHeight="1">
      <c r="A208" s="2">
        <v>208</v>
      </c>
      <c r="B208" s="5">
        <v>46157</v>
      </c>
      <c r="C208" s="5">
        <v>46162</v>
      </c>
      <c r="D208" s="30">
        <f t="shared" si="26"/>
        <v>5</v>
      </c>
      <c r="E208" s="5" t="s">
        <v>254</v>
      </c>
      <c r="F208" s="2" t="s">
        <v>22</v>
      </c>
      <c r="G208" s="17" t="s">
        <v>488</v>
      </c>
      <c r="H208" s="2" t="s">
        <v>489</v>
      </c>
      <c r="I208" s="2" t="s">
        <v>25</v>
      </c>
      <c r="J208" s="2" t="s">
        <v>485</v>
      </c>
      <c r="K208" s="7">
        <v>-74.093763246370699</v>
      </c>
      <c r="L208" s="7">
        <v>4.7517134262246001</v>
      </c>
      <c r="M208" s="17" t="s">
        <v>490</v>
      </c>
      <c r="N208" s="17" t="s">
        <v>40</v>
      </c>
      <c r="O208" s="17"/>
      <c r="P208" s="17"/>
      <c r="Q208" s="17"/>
    </row>
    <row r="209" spans="1:16384" ht="15" customHeight="1">
      <c r="A209" s="2">
        <v>209</v>
      </c>
      <c r="B209" s="5">
        <v>46157</v>
      </c>
      <c r="C209" s="5">
        <v>46162</v>
      </c>
      <c r="D209" s="30">
        <f t="shared" si="26"/>
        <v>5</v>
      </c>
      <c r="E209" s="5" t="s">
        <v>254</v>
      </c>
      <c r="F209" s="2" t="s">
        <v>22</v>
      </c>
      <c r="G209" s="17" t="s">
        <v>491</v>
      </c>
      <c r="H209" s="2" t="s">
        <v>492</v>
      </c>
      <c r="I209" s="2" t="s">
        <v>25</v>
      </c>
      <c r="J209" s="2" t="s">
        <v>52</v>
      </c>
      <c r="K209" s="7">
        <v>-74.097908817550007</v>
      </c>
      <c r="L209" s="7">
        <v>4.6750416351364299</v>
      </c>
      <c r="M209" s="17" t="s">
        <v>390</v>
      </c>
      <c r="N209" s="17" t="s">
        <v>28</v>
      </c>
      <c r="O209" s="17" t="s">
        <v>493</v>
      </c>
      <c r="P209" s="17" t="s">
        <v>40</v>
      </c>
      <c r="Q209" s="17"/>
    </row>
    <row r="210" spans="1:16384" ht="15" customHeight="1">
      <c r="A210" s="2">
        <v>210</v>
      </c>
      <c r="B210" s="5">
        <v>46161</v>
      </c>
      <c r="C210" s="5">
        <v>46162</v>
      </c>
      <c r="D210" s="30">
        <f t="shared" si="26"/>
        <v>1</v>
      </c>
      <c r="E210" s="5" t="s">
        <v>254</v>
      </c>
      <c r="F210" s="2" t="s">
        <v>22</v>
      </c>
      <c r="G210" s="17" t="s">
        <v>494</v>
      </c>
      <c r="H210" s="2" t="s">
        <v>495</v>
      </c>
      <c r="I210" s="2" t="s">
        <v>25</v>
      </c>
      <c r="J210" s="2" t="s">
        <v>485</v>
      </c>
      <c r="K210" s="7">
        <v>-74.086231142328899</v>
      </c>
      <c r="L210" s="7">
        <v>4.6135647111124998</v>
      </c>
      <c r="M210" s="17" t="s">
        <v>496</v>
      </c>
      <c r="N210" s="17" t="s">
        <v>63</v>
      </c>
      <c r="O210" s="17" t="s">
        <v>497</v>
      </c>
      <c r="P210" s="17" t="s">
        <v>63</v>
      </c>
      <c r="Q210" s="17"/>
    </row>
    <row r="211" spans="1:16384" ht="15" customHeight="1">
      <c r="A211" s="2">
        <v>211</v>
      </c>
      <c r="B211" s="5">
        <v>46167</v>
      </c>
      <c r="C211" s="5">
        <v>46167</v>
      </c>
      <c r="D211" s="30">
        <f t="shared" si="26"/>
        <v>0</v>
      </c>
      <c r="E211" s="5" t="s">
        <v>254</v>
      </c>
      <c r="F211" s="2" t="s">
        <v>22</v>
      </c>
      <c r="G211" s="17" t="s">
        <v>268</v>
      </c>
      <c r="H211" s="2" t="s">
        <v>498</v>
      </c>
      <c r="I211" s="2" t="s">
        <v>25</v>
      </c>
      <c r="J211" s="2" t="s">
        <v>325</v>
      </c>
      <c r="K211" s="7">
        <v>-74.070410357671804</v>
      </c>
      <c r="L211" s="7">
        <v>4.6584499608287997</v>
      </c>
      <c r="M211" s="17" t="s">
        <v>499</v>
      </c>
      <c r="N211" s="17" t="s">
        <v>63</v>
      </c>
      <c r="O211" s="17"/>
      <c r="P211" s="17"/>
      <c r="Q211" s="17"/>
    </row>
    <row r="212" spans="1:16384" ht="15" customHeight="1">
      <c r="A212" s="2">
        <v>212</v>
      </c>
      <c r="B212" s="5">
        <v>46167</v>
      </c>
      <c r="C212" s="5">
        <v>46167</v>
      </c>
      <c r="D212" s="30">
        <f t="shared" si="26"/>
        <v>0</v>
      </c>
      <c r="E212" s="5" t="s">
        <v>254</v>
      </c>
      <c r="F212" s="2" t="s">
        <v>22</v>
      </c>
      <c r="G212" s="17" t="s">
        <v>412</v>
      </c>
      <c r="H212" s="2" t="s">
        <v>500</v>
      </c>
      <c r="I212" s="2" t="s">
        <v>25</v>
      </c>
      <c r="J212" s="2" t="s">
        <v>325</v>
      </c>
      <c r="K212" s="7">
        <v>-74.074884928835999</v>
      </c>
      <c r="L212" s="7">
        <v>4.6907439196756497</v>
      </c>
      <c r="M212" s="17" t="s">
        <v>501</v>
      </c>
      <c r="N212" s="17" t="s">
        <v>28</v>
      </c>
      <c r="O212" s="17"/>
      <c r="P212" s="17"/>
      <c r="Q212" s="17"/>
    </row>
    <row r="213" spans="1:16384" ht="15" customHeight="1">
      <c r="A213" s="2">
        <v>213</v>
      </c>
      <c r="B213" s="5">
        <v>46169</v>
      </c>
      <c r="C213" s="5">
        <v>46169</v>
      </c>
      <c r="D213" s="30">
        <f t="shared" si="26"/>
        <v>0</v>
      </c>
      <c r="E213" s="5" t="s">
        <v>254</v>
      </c>
      <c r="F213" s="2" t="s">
        <v>22</v>
      </c>
      <c r="G213" s="17" t="s">
        <v>425</v>
      </c>
      <c r="H213" s="2" t="s">
        <v>502</v>
      </c>
      <c r="I213" s="2" t="s">
        <v>25</v>
      </c>
      <c r="J213" s="2" t="s">
        <v>80</v>
      </c>
      <c r="K213" s="7">
        <v>-74.144184628851093</v>
      </c>
      <c r="L213" s="7">
        <v>4.6406088242635004</v>
      </c>
      <c r="M213" s="17" t="s">
        <v>503</v>
      </c>
      <c r="N213" s="17" t="s">
        <v>63</v>
      </c>
      <c r="O213" s="17"/>
      <c r="P213" s="17"/>
      <c r="Q213" s="17"/>
    </row>
    <row r="214" spans="1:16384" ht="15" customHeight="1">
      <c r="A214" s="2">
        <v>214</v>
      </c>
      <c r="B214" s="5">
        <v>46169</v>
      </c>
      <c r="C214" s="5">
        <v>46169</v>
      </c>
      <c r="D214" s="30">
        <f t="shared" si="26"/>
        <v>0</v>
      </c>
      <c r="E214" s="5" t="s">
        <v>254</v>
      </c>
      <c r="F214" s="2" t="s">
        <v>22</v>
      </c>
      <c r="G214" s="17" t="s">
        <v>425</v>
      </c>
      <c r="H214" s="2" t="s">
        <v>504</v>
      </c>
      <c r="I214" s="2" t="s">
        <v>25</v>
      </c>
      <c r="J214" s="2" t="s">
        <v>80</v>
      </c>
      <c r="K214" s="7">
        <v>-74.143192642397096</v>
      </c>
      <c r="L214" s="7">
        <v>4.63990076433599</v>
      </c>
      <c r="M214" s="17" t="s">
        <v>503</v>
      </c>
      <c r="N214" s="17" t="s">
        <v>28</v>
      </c>
      <c r="O214" s="17" t="s">
        <v>505</v>
      </c>
      <c r="P214" s="17" t="s">
        <v>63</v>
      </c>
      <c r="Q214" s="17"/>
    </row>
    <row r="215" spans="1:16384" ht="15" customHeight="1">
      <c r="A215" s="2">
        <v>215</v>
      </c>
      <c r="B215" s="5">
        <v>46171</v>
      </c>
      <c r="C215" s="5">
        <v>46171</v>
      </c>
      <c r="D215" s="30">
        <f t="shared" si="26"/>
        <v>0</v>
      </c>
      <c r="E215" s="5" t="s">
        <v>254</v>
      </c>
      <c r="F215" s="2" t="s">
        <v>22</v>
      </c>
      <c r="G215" s="17" t="s">
        <v>318</v>
      </c>
      <c r="H215" s="2" t="s">
        <v>506</v>
      </c>
      <c r="I215" s="2" t="s">
        <v>25</v>
      </c>
      <c r="J215" s="2" t="s">
        <v>485</v>
      </c>
      <c r="K215" s="7">
        <v>-74.059241903064702</v>
      </c>
      <c r="L215" s="7">
        <v>4.6496712292814397</v>
      </c>
      <c r="M215" s="17" t="s">
        <v>507</v>
      </c>
      <c r="N215" s="17" t="s">
        <v>63</v>
      </c>
      <c r="O215" s="17"/>
      <c r="P215" s="17"/>
      <c r="Q215" s="17"/>
    </row>
    <row r="216" spans="1:16384" ht="15" customHeight="1">
      <c r="A216" s="2">
        <v>216</v>
      </c>
      <c r="B216" s="5">
        <v>46171</v>
      </c>
      <c r="C216" s="5">
        <v>46171</v>
      </c>
      <c r="D216" s="30">
        <f t="shared" si="26"/>
        <v>0</v>
      </c>
      <c r="E216" s="5" t="s">
        <v>254</v>
      </c>
      <c r="F216" s="2" t="s">
        <v>22</v>
      </c>
      <c r="G216" s="17" t="s">
        <v>331</v>
      </c>
      <c r="H216" s="2" t="s">
        <v>508</v>
      </c>
      <c r="I216" s="2" t="s">
        <v>25</v>
      </c>
      <c r="J216" s="2" t="s">
        <v>80</v>
      </c>
      <c r="K216" s="7">
        <v>-74.100450999999893</v>
      </c>
      <c r="L216" s="7">
        <v>4.6252809188071096</v>
      </c>
      <c r="M216" s="17" t="s">
        <v>333</v>
      </c>
      <c r="N216" s="17" t="s">
        <v>40</v>
      </c>
      <c r="O216" s="17"/>
      <c r="P216" s="17"/>
      <c r="Q216" s="17"/>
    </row>
    <row r="217" spans="1:16384" ht="14.45">
      <c r="A217" s="2">
        <v>217</v>
      </c>
      <c r="B217" s="5">
        <v>46174</v>
      </c>
      <c r="C217" s="5">
        <v>46174</v>
      </c>
      <c r="D217" s="30">
        <f t="shared" si="26"/>
        <v>0</v>
      </c>
      <c r="E217" s="5" t="s">
        <v>317</v>
      </c>
      <c r="F217" s="2" t="s">
        <v>22</v>
      </c>
      <c r="G217" s="53" t="s">
        <v>283</v>
      </c>
      <c r="H217" s="2" t="s">
        <v>509</v>
      </c>
      <c r="I217" s="2" t="s">
        <v>25</v>
      </c>
      <c r="J217" s="2" t="s">
        <v>343</v>
      </c>
      <c r="K217" s="7">
        <v>-74.093312885109</v>
      </c>
      <c r="L217" s="7">
        <v>4.6331841910498701</v>
      </c>
      <c r="M217" s="17" t="s">
        <v>42</v>
      </c>
      <c r="N217" s="17" t="s">
        <v>63</v>
      </c>
      <c r="O217" s="17"/>
      <c r="P217" s="17"/>
      <c r="Q217" s="17"/>
    </row>
    <row r="218" spans="1:16384" ht="14.45">
      <c r="A218" s="2">
        <v>218</v>
      </c>
      <c r="B218" s="5">
        <v>46174</v>
      </c>
      <c r="C218" s="5">
        <v>46174</v>
      </c>
      <c r="D218" s="30">
        <f t="shared" si="26"/>
        <v>0</v>
      </c>
      <c r="E218" s="5" t="s">
        <v>317</v>
      </c>
      <c r="F218" s="2" t="s">
        <v>22</v>
      </c>
      <c r="G218" s="53" t="s">
        <v>283</v>
      </c>
      <c r="H218" s="2" t="s">
        <v>510</v>
      </c>
      <c r="I218" s="2" t="s">
        <v>25</v>
      </c>
      <c r="J218" s="2" t="s">
        <v>343</v>
      </c>
      <c r="K218" s="7">
        <v>-74.091544315953101</v>
      </c>
      <c r="L218" s="7">
        <v>4.6318597768235303</v>
      </c>
      <c r="M218" s="17" t="s">
        <v>42</v>
      </c>
      <c r="N218" s="17" t="s">
        <v>28</v>
      </c>
      <c r="O218" s="17"/>
      <c r="P218" s="17"/>
      <c r="Q218" s="17"/>
    </row>
    <row r="219" spans="1:16384" customFormat="1" ht="15" customHeight="1">
      <c r="A219" s="2">
        <v>219</v>
      </c>
      <c r="B219" s="5">
        <v>46174</v>
      </c>
      <c r="C219" s="5">
        <v>46175</v>
      </c>
      <c r="D219" s="30">
        <f t="shared" si="26"/>
        <v>1</v>
      </c>
      <c r="E219" s="5" t="s">
        <v>254</v>
      </c>
      <c r="F219" s="2" t="s">
        <v>22</v>
      </c>
      <c r="G219" s="53" t="s">
        <v>511</v>
      </c>
      <c r="H219" s="2" t="s">
        <v>512</v>
      </c>
      <c r="I219" s="2" t="s">
        <v>25</v>
      </c>
      <c r="J219" s="2" t="s">
        <v>325</v>
      </c>
      <c r="K219" s="7">
        <v>-74.136898883459494</v>
      </c>
      <c r="L219" s="7">
        <v>4.6257388432017903</v>
      </c>
      <c r="M219" s="17" t="s">
        <v>298</v>
      </c>
      <c r="N219" s="17" t="s">
        <v>28</v>
      </c>
      <c r="O219" s="17"/>
      <c r="P219" s="17"/>
      <c r="Q219" s="17"/>
    </row>
    <row r="220" spans="1:16384" customFormat="1" ht="15" customHeight="1">
      <c r="A220" s="2">
        <v>220</v>
      </c>
      <c r="B220" s="5">
        <v>46174</v>
      </c>
      <c r="C220" s="5">
        <v>46174</v>
      </c>
      <c r="D220" s="30">
        <f t="shared" si="26"/>
        <v>0</v>
      </c>
      <c r="E220" s="5" t="s">
        <v>317</v>
      </c>
      <c r="F220" s="2" t="s">
        <v>22</v>
      </c>
      <c r="G220" s="53" t="s">
        <v>334</v>
      </c>
      <c r="H220" s="2" t="s">
        <v>513</v>
      </c>
      <c r="I220" s="2" t="s">
        <v>25</v>
      </c>
      <c r="J220" s="2" t="s">
        <v>393</v>
      </c>
      <c r="K220" s="7">
        <v>-74.044305502618698</v>
      </c>
      <c r="L220" s="7">
        <v>4.6804459478222702</v>
      </c>
      <c r="M220" s="2" t="s">
        <v>357</v>
      </c>
      <c r="N220" s="2" t="s">
        <v>63</v>
      </c>
      <c r="O220" s="2" t="s">
        <v>83</v>
      </c>
      <c r="P220" s="2" t="s">
        <v>63</v>
      </c>
      <c r="Q220" s="24">
        <v>434</v>
      </c>
      <c r="R220" s="5">
        <v>46174</v>
      </c>
      <c r="S220" s="5">
        <v>46174</v>
      </c>
      <c r="T220" s="30">
        <f t="shared" ref="T220" si="27">S220-R220</f>
        <v>0</v>
      </c>
      <c r="U220" s="5" t="s">
        <v>317</v>
      </c>
      <c r="V220" s="2" t="s">
        <v>22</v>
      </c>
      <c r="W220" s="53" t="s">
        <v>334</v>
      </c>
      <c r="X220" s="2" t="s">
        <v>513</v>
      </c>
      <c r="Y220" s="2" t="s">
        <v>25</v>
      </c>
      <c r="Z220" s="2" t="s">
        <v>393</v>
      </c>
      <c r="AA220" s="7">
        <v>-74.044305502618698</v>
      </c>
      <c r="AB220" s="7">
        <v>4.6804459478222702</v>
      </c>
      <c r="AC220" s="2" t="s">
        <v>357</v>
      </c>
      <c r="AD220" s="2" t="s">
        <v>63</v>
      </c>
      <c r="AE220" s="2" t="s">
        <v>83</v>
      </c>
      <c r="AF220" s="2" t="s">
        <v>63</v>
      </c>
      <c r="AG220" s="24">
        <v>434</v>
      </c>
      <c r="AH220" s="5">
        <v>46174</v>
      </c>
      <c r="AI220" s="5">
        <v>46174</v>
      </c>
      <c r="AJ220" s="30">
        <f t="shared" ref="AJ220" si="28">AI220-AH220</f>
        <v>0</v>
      </c>
      <c r="AK220" s="5" t="s">
        <v>317</v>
      </c>
      <c r="AL220" s="2" t="s">
        <v>22</v>
      </c>
      <c r="AM220" s="53" t="s">
        <v>334</v>
      </c>
      <c r="AN220" s="2" t="s">
        <v>513</v>
      </c>
      <c r="AO220" s="2" t="s">
        <v>25</v>
      </c>
      <c r="AP220" s="2" t="s">
        <v>393</v>
      </c>
      <c r="AQ220" s="7">
        <v>-74.044305502618698</v>
      </c>
      <c r="AR220" s="7">
        <v>4.6804459478222702</v>
      </c>
      <c r="AS220" s="2" t="s">
        <v>357</v>
      </c>
      <c r="AT220" s="2" t="s">
        <v>63</v>
      </c>
      <c r="AU220" s="2" t="s">
        <v>83</v>
      </c>
      <c r="AV220" s="2" t="s">
        <v>63</v>
      </c>
      <c r="AW220" s="24">
        <v>434</v>
      </c>
      <c r="AX220" s="5">
        <v>46174</v>
      </c>
      <c r="AY220" s="5">
        <v>46174</v>
      </c>
      <c r="AZ220" s="30">
        <f t="shared" ref="AZ220" si="29">AY220-AX220</f>
        <v>0</v>
      </c>
      <c r="BA220" s="5" t="s">
        <v>317</v>
      </c>
      <c r="BB220" s="2" t="s">
        <v>22</v>
      </c>
      <c r="BC220" s="53" t="s">
        <v>334</v>
      </c>
      <c r="BD220" s="2" t="s">
        <v>513</v>
      </c>
      <c r="BE220" s="2" t="s">
        <v>25</v>
      </c>
      <c r="BF220" s="2" t="s">
        <v>393</v>
      </c>
      <c r="BG220" s="7">
        <v>-74.044305502618698</v>
      </c>
      <c r="BH220" s="7">
        <v>4.6804459478222702</v>
      </c>
      <c r="BI220" s="2" t="s">
        <v>357</v>
      </c>
      <c r="BJ220" s="2" t="s">
        <v>63</v>
      </c>
      <c r="BK220" s="2" t="s">
        <v>83</v>
      </c>
      <c r="BL220" s="2" t="s">
        <v>63</v>
      </c>
      <c r="BM220" s="24">
        <v>434</v>
      </c>
      <c r="BN220" s="5">
        <v>46174</v>
      </c>
      <c r="BO220" s="5">
        <v>46174</v>
      </c>
      <c r="BP220" s="30">
        <f t="shared" ref="BP220" si="30">BO220-BN220</f>
        <v>0</v>
      </c>
      <c r="BQ220" s="5" t="s">
        <v>317</v>
      </c>
      <c r="BR220" s="2" t="s">
        <v>22</v>
      </c>
      <c r="BS220" s="53" t="s">
        <v>334</v>
      </c>
      <c r="BT220" s="2" t="s">
        <v>513</v>
      </c>
      <c r="BU220" s="2" t="s">
        <v>25</v>
      </c>
      <c r="BV220" s="2" t="s">
        <v>393</v>
      </c>
      <c r="BW220" s="7">
        <v>-74.044305502618698</v>
      </c>
      <c r="BX220" s="7">
        <v>4.6804459478222702</v>
      </c>
      <c r="BY220" s="2" t="s">
        <v>357</v>
      </c>
      <c r="BZ220" s="2" t="s">
        <v>63</v>
      </c>
      <c r="CA220" s="2" t="s">
        <v>83</v>
      </c>
      <c r="CB220" s="2" t="s">
        <v>63</v>
      </c>
      <c r="CC220" s="24">
        <v>434</v>
      </c>
      <c r="CD220" s="5">
        <v>46174</v>
      </c>
      <c r="CE220" s="5">
        <v>46174</v>
      </c>
      <c r="CF220" s="30">
        <f t="shared" ref="CF220" si="31">CE220-CD220</f>
        <v>0</v>
      </c>
      <c r="CG220" s="5" t="s">
        <v>317</v>
      </c>
      <c r="CH220" s="2" t="s">
        <v>22</v>
      </c>
      <c r="CI220" s="53" t="s">
        <v>334</v>
      </c>
      <c r="CJ220" s="2" t="s">
        <v>513</v>
      </c>
      <c r="CK220" s="2" t="s">
        <v>25</v>
      </c>
      <c r="CL220" s="2" t="s">
        <v>393</v>
      </c>
      <c r="CM220" s="7">
        <v>-74.044305502618698</v>
      </c>
      <c r="CN220" s="7">
        <v>4.6804459478222702</v>
      </c>
      <c r="CO220" s="2" t="s">
        <v>357</v>
      </c>
      <c r="CP220" s="2" t="s">
        <v>63</v>
      </c>
      <c r="CQ220" s="2" t="s">
        <v>83</v>
      </c>
      <c r="CR220" s="2" t="s">
        <v>63</v>
      </c>
      <c r="CS220" s="24">
        <v>434</v>
      </c>
      <c r="CT220" s="5">
        <v>46174</v>
      </c>
      <c r="CU220" s="5">
        <v>46174</v>
      </c>
      <c r="CV220" s="30">
        <f t="shared" ref="CV220" si="32">CU220-CT220</f>
        <v>0</v>
      </c>
      <c r="CW220" s="5" t="s">
        <v>317</v>
      </c>
      <c r="CX220" s="2" t="s">
        <v>22</v>
      </c>
      <c r="CY220" s="53" t="s">
        <v>334</v>
      </c>
      <c r="CZ220" s="2" t="s">
        <v>513</v>
      </c>
      <c r="DA220" s="2" t="s">
        <v>25</v>
      </c>
      <c r="DB220" s="2" t="s">
        <v>393</v>
      </c>
      <c r="DC220" s="7">
        <v>-74.044305502618698</v>
      </c>
      <c r="DD220" s="7">
        <v>4.6804459478222702</v>
      </c>
      <c r="DE220" s="2" t="s">
        <v>357</v>
      </c>
      <c r="DF220" s="2" t="s">
        <v>63</v>
      </c>
      <c r="DG220" s="2" t="s">
        <v>83</v>
      </c>
      <c r="DH220" s="2" t="s">
        <v>63</v>
      </c>
      <c r="DI220" s="24">
        <v>434</v>
      </c>
      <c r="DJ220" s="5">
        <v>46174</v>
      </c>
      <c r="DK220" s="5">
        <v>46174</v>
      </c>
      <c r="DL220" s="30">
        <f t="shared" ref="DL220" si="33">DK220-DJ220</f>
        <v>0</v>
      </c>
      <c r="DM220" s="5" t="s">
        <v>317</v>
      </c>
      <c r="DN220" s="2" t="s">
        <v>22</v>
      </c>
      <c r="DO220" s="53" t="s">
        <v>334</v>
      </c>
      <c r="DP220" s="2" t="s">
        <v>513</v>
      </c>
      <c r="DQ220" s="2" t="s">
        <v>25</v>
      </c>
      <c r="DR220" s="2" t="s">
        <v>393</v>
      </c>
      <c r="DS220" s="7">
        <v>-74.044305502618698</v>
      </c>
      <c r="DT220" s="7">
        <v>4.6804459478222702</v>
      </c>
      <c r="DU220" s="2" t="s">
        <v>357</v>
      </c>
      <c r="DV220" s="2" t="s">
        <v>63</v>
      </c>
      <c r="DW220" s="2" t="s">
        <v>83</v>
      </c>
      <c r="DX220" s="2" t="s">
        <v>63</v>
      </c>
      <c r="DY220" s="24">
        <v>434</v>
      </c>
      <c r="DZ220" s="5">
        <v>46174</v>
      </c>
      <c r="EA220" s="5">
        <v>46174</v>
      </c>
      <c r="EB220" s="30">
        <f t="shared" ref="EB220" si="34">EA220-DZ220</f>
        <v>0</v>
      </c>
      <c r="EC220" s="5" t="s">
        <v>317</v>
      </c>
      <c r="ED220" s="2" t="s">
        <v>22</v>
      </c>
      <c r="EE220" s="53" t="s">
        <v>334</v>
      </c>
      <c r="EF220" s="2" t="s">
        <v>513</v>
      </c>
      <c r="EG220" s="2" t="s">
        <v>25</v>
      </c>
      <c r="EH220" s="2" t="s">
        <v>393</v>
      </c>
      <c r="EI220" s="7">
        <v>-74.044305502618698</v>
      </c>
      <c r="EJ220" s="7">
        <v>4.6804459478222702</v>
      </c>
      <c r="EK220" s="2" t="s">
        <v>357</v>
      </c>
      <c r="EL220" s="2" t="s">
        <v>63</v>
      </c>
      <c r="EM220" s="2" t="s">
        <v>83</v>
      </c>
      <c r="EN220" s="2" t="s">
        <v>63</v>
      </c>
      <c r="EO220" s="24">
        <v>434</v>
      </c>
      <c r="EP220" s="5">
        <v>46174</v>
      </c>
      <c r="EQ220" s="5">
        <v>46174</v>
      </c>
      <c r="ER220" s="30">
        <f t="shared" ref="ER220" si="35">EQ220-EP220</f>
        <v>0</v>
      </c>
      <c r="ES220" s="5" t="s">
        <v>317</v>
      </c>
      <c r="ET220" s="2" t="s">
        <v>22</v>
      </c>
      <c r="EU220" s="53" t="s">
        <v>334</v>
      </c>
      <c r="EV220" s="2" t="s">
        <v>513</v>
      </c>
      <c r="EW220" s="2" t="s">
        <v>25</v>
      </c>
      <c r="EX220" s="2" t="s">
        <v>393</v>
      </c>
      <c r="EY220" s="7">
        <v>-74.044305502618698</v>
      </c>
      <c r="EZ220" s="7">
        <v>4.6804459478222702</v>
      </c>
      <c r="FA220" s="2" t="s">
        <v>357</v>
      </c>
      <c r="FB220" s="2" t="s">
        <v>63</v>
      </c>
      <c r="FC220" s="2" t="s">
        <v>83</v>
      </c>
      <c r="FD220" s="2" t="s">
        <v>63</v>
      </c>
      <c r="FE220" s="24">
        <v>434</v>
      </c>
      <c r="FF220" s="5">
        <v>46174</v>
      </c>
      <c r="FG220" s="5">
        <v>46174</v>
      </c>
      <c r="FH220" s="30">
        <f t="shared" ref="FH220" si="36">FG220-FF220</f>
        <v>0</v>
      </c>
      <c r="FI220" s="5" t="s">
        <v>317</v>
      </c>
      <c r="FJ220" s="2" t="s">
        <v>22</v>
      </c>
      <c r="FK220" s="53" t="s">
        <v>334</v>
      </c>
      <c r="FL220" s="2" t="s">
        <v>513</v>
      </c>
      <c r="FM220" s="2" t="s">
        <v>25</v>
      </c>
      <c r="FN220" s="2" t="s">
        <v>393</v>
      </c>
      <c r="FO220" s="7">
        <v>-74.044305502618698</v>
      </c>
      <c r="FP220" s="7">
        <v>4.6804459478222702</v>
      </c>
      <c r="FQ220" s="2" t="s">
        <v>357</v>
      </c>
      <c r="FR220" s="2" t="s">
        <v>63</v>
      </c>
      <c r="FS220" s="2" t="s">
        <v>83</v>
      </c>
      <c r="FT220" s="2" t="s">
        <v>63</v>
      </c>
      <c r="FU220" s="24">
        <v>434</v>
      </c>
      <c r="FV220" s="5">
        <v>46174</v>
      </c>
      <c r="FW220" s="5">
        <v>46174</v>
      </c>
      <c r="FX220" s="30">
        <f t="shared" ref="FX220" si="37">FW220-FV220</f>
        <v>0</v>
      </c>
      <c r="FY220" s="5" t="s">
        <v>317</v>
      </c>
      <c r="FZ220" s="2" t="s">
        <v>22</v>
      </c>
      <c r="GA220" s="53" t="s">
        <v>334</v>
      </c>
      <c r="GB220" s="2" t="s">
        <v>513</v>
      </c>
      <c r="GC220" s="2" t="s">
        <v>25</v>
      </c>
      <c r="GD220" s="2" t="s">
        <v>393</v>
      </c>
      <c r="GE220" s="7">
        <v>-74.044305502618698</v>
      </c>
      <c r="GF220" s="7">
        <v>4.6804459478222702</v>
      </c>
      <c r="GG220" s="2" t="s">
        <v>357</v>
      </c>
      <c r="GH220" s="2" t="s">
        <v>63</v>
      </c>
      <c r="GI220" s="2" t="s">
        <v>83</v>
      </c>
      <c r="GJ220" s="2" t="s">
        <v>63</v>
      </c>
      <c r="GK220" s="24">
        <v>434</v>
      </c>
      <c r="GL220" s="5">
        <v>46174</v>
      </c>
      <c r="GM220" s="5">
        <v>46174</v>
      </c>
      <c r="GN220" s="30">
        <f t="shared" ref="GN220" si="38">GM220-GL220</f>
        <v>0</v>
      </c>
      <c r="GO220" s="5" t="s">
        <v>317</v>
      </c>
      <c r="GP220" s="2" t="s">
        <v>22</v>
      </c>
      <c r="GQ220" s="53" t="s">
        <v>334</v>
      </c>
      <c r="GR220" s="2" t="s">
        <v>513</v>
      </c>
      <c r="GS220" s="2" t="s">
        <v>25</v>
      </c>
      <c r="GT220" s="2" t="s">
        <v>393</v>
      </c>
      <c r="GU220" s="7">
        <v>-74.044305502618698</v>
      </c>
      <c r="GV220" s="7">
        <v>4.6804459478222702</v>
      </c>
      <c r="GW220" s="2" t="s">
        <v>357</v>
      </c>
      <c r="GX220" s="2" t="s">
        <v>63</v>
      </c>
      <c r="GY220" s="2" t="s">
        <v>83</v>
      </c>
      <c r="GZ220" s="2" t="s">
        <v>63</v>
      </c>
      <c r="HA220" s="24">
        <v>434</v>
      </c>
      <c r="HB220" s="5">
        <v>46174</v>
      </c>
      <c r="HC220" s="5">
        <v>46174</v>
      </c>
      <c r="HD220" s="30">
        <f t="shared" ref="HD220" si="39">HC220-HB220</f>
        <v>0</v>
      </c>
      <c r="HE220" s="5" t="s">
        <v>317</v>
      </c>
      <c r="HF220" s="2" t="s">
        <v>22</v>
      </c>
      <c r="HG220" s="53" t="s">
        <v>334</v>
      </c>
      <c r="HH220" s="2" t="s">
        <v>513</v>
      </c>
      <c r="HI220" s="2" t="s">
        <v>25</v>
      </c>
      <c r="HJ220" s="2" t="s">
        <v>393</v>
      </c>
      <c r="HK220" s="7">
        <v>-74.044305502618698</v>
      </c>
      <c r="HL220" s="7">
        <v>4.6804459478222702</v>
      </c>
      <c r="HM220" s="2" t="s">
        <v>357</v>
      </c>
      <c r="HN220" s="2" t="s">
        <v>63</v>
      </c>
      <c r="HO220" s="2" t="s">
        <v>83</v>
      </c>
      <c r="HP220" s="2" t="s">
        <v>63</v>
      </c>
      <c r="HQ220" s="24">
        <v>434</v>
      </c>
      <c r="HR220" s="5">
        <v>46174</v>
      </c>
      <c r="HS220" s="5">
        <v>46174</v>
      </c>
      <c r="HT220" s="30">
        <f t="shared" ref="HT220" si="40">HS220-HR220</f>
        <v>0</v>
      </c>
      <c r="HU220" s="5" t="s">
        <v>317</v>
      </c>
      <c r="HV220" s="2" t="s">
        <v>22</v>
      </c>
      <c r="HW220" s="53" t="s">
        <v>334</v>
      </c>
      <c r="HX220" s="2" t="s">
        <v>513</v>
      </c>
      <c r="HY220" s="2" t="s">
        <v>25</v>
      </c>
      <c r="HZ220" s="2" t="s">
        <v>393</v>
      </c>
      <c r="IA220" s="7">
        <v>-74.044305502618698</v>
      </c>
      <c r="IB220" s="7">
        <v>4.6804459478222702</v>
      </c>
      <c r="IC220" s="2" t="s">
        <v>357</v>
      </c>
      <c r="ID220" s="2" t="s">
        <v>63</v>
      </c>
      <c r="IE220" s="2" t="s">
        <v>83</v>
      </c>
      <c r="IF220" s="2" t="s">
        <v>63</v>
      </c>
      <c r="IG220" s="24">
        <v>434</v>
      </c>
      <c r="IH220" s="5">
        <v>46174</v>
      </c>
      <c r="II220" s="5">
        <v>46174</v>
      </c>
      <c r="IJ220" s="30">
        <f t="shared" ref="IJ220" si="41">II220-IH220</f>
        <v>0</v>
      </c>
      <c r="IK220" s="5" t="s">
        <v>317</v>
      </c>
      <c r="IL220" s="2" t="s">
        <v>22</v>
      </c>
      <c r="IM220" s="53" t="s">
        <v>334</v>
      </c>
      <c r="IN220" s="2" t="s">
        <v>513</v>
      </c>
      <c r="IO220" s="2" t="s">
        <v>25</v>
      </c>
      <c r="IP220" s="2" t="s">
        <v>393</v>
      </c>
      <c r="IQ220" s="7">
        <v>-74.044305502618698</v>
      </c>
      <c r="IR220" s="7">
        <v>4.6804459478222702</v>
      </c>
      <c r="IS220" s="2" t="s">
        <v>357</v>
      </c>
      <c r="IT220" s="2" t="s">
        <v>63</v>
      </c>
      <c r="IU220" s="2" t="s">
        <v>83</v>
      </c>
      <c r="IV220" s="2" t="s">
        <v>63</v>
      </c>
      <c r="IW220" s="24">
        <v>434</v>
      </c>
      <c r="IX220" s="5">
        <v>46174</v>
      </c>
      <c r="IY220" s="5">
        <v>46174</v>
      </c>
      <c r="IZ220" s="30">
        <f t="shared" ref="IZ220" si="42">IY220-IX220</f>
        <v>0</v>
      </c>
      <c r="JA220" s="5" t="s">
        <v>317</v>
      </c>
      <c r="JB220" s="2" t="s">
        <v>22</v>
      </c>
      <c r="JC220" s="53" t="s">
        <v>334</v>
      </c>
      <c r="JD220" s="2" t="s">
        <v>513</v>
      </c>
      <c r="JE220" s="2" t="s">
        <v>25</v>
      </c>
      <c r="JF220" s="2" t="s">
        <v>393</v>
      </c>
      <c r="JG220" s="7">
        <v>-74.044305502618698</v>
      </c>
      <c r="JH220" s="7">
        <v>4.6804459478222702</v>
      </c>
      <c r="JI220" s="2" t="s">
        <v>357</v>
      </c>
      <c r="JJ220" s="2" t="s">
        <v>63</v>
      </c>
      <c r="JK220" s="2" t="s">
        <v>83</v>
      </c>
      <c r="JL220" s="2" t="s">
        <v>63</v>
      </c>
      <c r="JM220" s="24">
        <v>434</v>
      </c>
      <c r="JN220" s="5">
        <v>46174</v>
      </c>
      <c r="JO220" s="5">
        <v>46174</v>
      </c>
      <c r="JP220" s="30">
        <f t="shared" ref="JP220" si="43">JO220-JN220</f>
        <v>0</v>
      </c>
      <c r="JQ220" s="5" t="s">
        <v>317</v>
      </c>
      <c r="JR220" s="2" t="s">
        <v>22</v>
      </c>
      <c r="JS220" s="53" t="s">
        <v>334</v>
      </c>
      <c r="JT220" s="2" t="s">
        <v>513</v>
      </c>
      <c r="JU220" s="2" t="s">
        <v>25</v>
      </c>
      <c r="JV220" s="2" t="s">
        <v>393</v>
      </c>
      <c r="JW220" s="7">
        <v>-74.044305502618698</v>
      </c>
      <c r="JX220" s="7">
        <v>4.6804459478222702</v>
      </c>
      <c r="JY220" s="2" t="s">
        <v>357</v>
      </c>
      <c r="JZ220" s="2" t="s">
        <v>63</v>
      </c>
      <c r="KA220" s="2" t="s">
        <v>83</v>
      </c>
      <c r="KB220" s="2" t="s">
        <v>63</v>
      </c>
      <c r="KC220" s="24">
        <v>434</v>
      </c>
      <c r="KD220" s="5">
        <v>46174</v>
      </c>
      <c r="KE220" s="5">
        <v>46174</v>
      </c>
      <c r="KF220" s="30">
        <f t="shared" ref="KF220" si="44">KE220-KD220</f>
        <v>0</v>
      </c>
      <c r="KG220" s="5" t="s">
        <v>317</v>
      </c>
      <c r="KH220" s="2" t="s">
        <v>22</v>
      </c>
      <c r="KI220" s="53" t="s">
        <v>334</v>
      </c>
      <c r="KJ220" s="2" t="s">
        <v>513</v>
      </c>
      <c r="KK220" s="2" t="s">
        <v>25</v>
      </c>
      <c r="KL220" s="2" t="s">
        <v>393</v>
      </c>
      <c r="KM220" s="7">
        <v>-74.044305502618698</v>
      </c>
      <c r="KN220" s="7">
        <v>4.6804459478222702</v>
      </c>
      <c r="KO220" s="2" t="s">
        <v>357</v>
      </c>
      <c r="KP220" s="2" t="s">
        <v>63</v>
      </c>
      <c r="KQ220" s="2" t="s">
        <v>83</v>
      </c>
      <c r="KR220" s="2" t="s">
        <v>63</v>
      </c>
      <c r="KS220" s="24">
        <v>434</v>
      </c>
      <c r="KT220" s="5">
        <v>46174</v>
      </c>
      <c r="KU220" s="5">
        <v>46174</v>
      </c>
      <c r="KV220" s="30">
        <f t="shared" ref="KV220" si="45">KU220-KT220</f>
        <v>0</v>
      </c>
      <c r="KW220" s="5" t="s">
        <v>317</v>
      </c>
      <c r="KX220" s="2" t="s">
        <v>22</v>
      </c>
      <c r="KY220" s="53" t="s">
        <v>334</v>
      </c>
      <c r="KZ220" s="2" t="s">
        <v>513</v>
      </c>
      <c r="LA220" s="2" t="s">
        <v>25</v>
      </c>
      <c r="LB220" s="2" t="s">
        <v>393</v>
      </c>
      <c r="LC220" s="7">
        <v>-74.044305502618698</v>
      </c>
      <c r="LD220" s="7">
        <v>4.6804459478222702</v>
      </c>
      <c r="LE220" s="2" t="s">
        <v>357</v>
      </c>
      <c r="LF220" s="2" t="s">
        <v>63</v>
      </c>
      <c r="LG220" s="2" t="s">
        <v>83</v>
      </c>
      <c r="LH220" s="2" t="s">
        <v>63</v>
      </c>
      <c r="LI220" s="24">
        <v>434</v>
      </c>
      <c r="LJ220" s="5">
        <v>46174</v>
      </c>
      <c r="LK220" s="5">
        <v>46174</v>
      </c>
      <c r="LL220" s="30">
        <f t="shared" ref="LL220" si="46">LK220-LJ220</f>
        <v>0</v>
      </c>
      <c r="LM220" s="5" t="s">
        <v>317</v>
      </c>
      <c r="LN220" s="2" t="s">
        <v>22</v>
      </c>
      <c r="LO220" s="53" t="s">
        <v>334</v>
      </c>
      <c r="LP220" s="2" t="s">
        <v>513</v>
      </c>
      <c r="LQ220" s="2" t="s">
        <v>25</v>
      </c>
      <c r="LR220" s="2" t="s">
        <v>393</v>
      </c>
      <c r="LS220" s="7">
        <v>-74.044305502618698</v>
      </c>
      <c r="LT220" s="7">
        <v>4.6804459478222702</v>
      </c>
      <c r="LU220" s="2" t="s">
        <v>357</v>
      </c>
      <c r="LV220" s="2" t="s">
        <v>63</v>
      </c>
      <c r="LW220" s="2" t="s">
        <v>83</v>
      </c>
      <c r="LX220" s="2" t="s">
        <v>63</v>
      </c>
      <c r="LY220" s="24">
        <v>434</v>
      </c>
      <c r="LZ220" s="5">
        <v>46174</v>
      </c>
      <c r="MA220" s="5">
        <v>46174</v>
      </c>
      <c r="MB220" s="30">
        <f t="shared" ref="MB220" si="47">MA220-LZ220</f>
        <v>0</v>
      </c>
      <c r="MC220" s="5" t="s">
        <v>317</v>
      </c>
      <c r="MD220" s="2" t="s">
        <v>22</v>
      </c>
      <c r="ME220" s="53" t="s">
        <v>334</v>
      </c>
      <c r="MF220" s="2" t="s">
        <v>513</v>
      </c>
      <c r="MG220" s="2" t="s">
        <v>25</v>
      </c>
      <c r="MH220" s="2" t="s">
        <v>393</v>
      </c>
      <c r="MI220" s="7">
        <v>-74.044305502618698</v>
      </c>
      <c r="MJ220" s="7">
        <v>4.6804459478222702</v>
      </c>
      <c r="MK220" s="2" t="s">
        <v>357</v>
      </c>
      <c r="ML220" s="2" t="s">
        <v>63</v>
      </c>
      <c r="MM220" s="2" t="s">
        <v>83</v>
      </c>
      <c r="MN220" s="2" t="s">
        <v>63</v>
      </c>
      <c r="MO220" s="24">
        <v>434</v>
      </c>
      <c r="MP220" s="5">
        <v>46174</v>
      </c>
      <c r="MQ220" s="5">
        <v>46174</v>
      </c>
      <c r="MR220" s="30">
        <f t="shared" ref="MR220" si="48">MQ220-MP220</f>
        <v>0</v>
      </c>
      <c r="MS220" s="5" t="s">
        <v>317</v>
      </c>
      <c r="MT220" s="2" t="s">
        <v>22</v>
      </c>
      <c r="MU220" s="53" t="s">
        <v>334</v>
      </c>
      <c r="MV220" s="2" t="s">
        <v>513</v>
      </c>
      <c r="MW220" s="2" t="s">
        <v>25</v>
      </c>
      <c r="MX220" s="2" t="s">
        <v>393</v>
      </c>
      <c r="MY220" s="7">
        <v>-74.044305502618698</v>
      </c>
      <c r="MZ220" s="7">
        <v>4.6804459478222702</v>
      </c>
      <c r="NA220" s="2" t="s">
        <v>357</v>
      </c>
      <c r="NB220" s="2" t="s">
        <v>63</v>
      </c>
      <c r="NC220" s="2" t="s">
        <v>83</v>
      </c>
      <c r="ND220" s="2" t="s">
        <v>63</v>
      </c>
      <c r="NE220" s="24">
        <v>434</v>
      </c>
      <c r="NF220" s="5">
        <v>46174</v>
      </c>
      <c r="NG220" s="5">
        <v>46174</v>
      </c>
      <c r="NH220" s="30">
        <f t="shared" ref="NH220" si="49">NG220-NF220</f>
        <v>0</v>
      </c>
      <c r="NI220" s="5" t="s">
        <v>317</v>
      </c>
      <c r="NJ220" s="2" t="s">
        <v>22</v>
      </c>
      <c r="NK220" s="53" t="s">
        <v>334</v>
      </c>
      <c r="NL220" s="2" t="s">
        <v>513</v>
      </c>
      <c r="NM220" s="2" t="s">
        <v>25</v>
      </c>
      <c r="NN220" s="2" t="s">
        <v>393</v>
      </c>
      <c r="NO220" s="7">
        <v>-74.044305502618698</v>
      </c>
      <c r="NP220" s="7">
        <v>4.6804459478222702</v>
      </c>
      <c r="NQ220" s="2" t="s">
        <v>357</v>
      </c>
      <c r="NR220" s="2" t="s">
        <v>63</v>
      </c>
      <c r="NS220" s="2" t="s">
        <v>83</v>
      </c>
      <c r="NT220" s="2" t="s">
        <v>63</v>
      </c>
      <c r="NU220" s="24">
        <v>434</v>
      </c>
      <c r="NV220" s="5">
        <v>46174</v>
      </c>
      <c r="NW220" s="5">
        <v>46174</v>
      </c>
      <c r="NX220" s="30">
        <f t="shared" ref="NX220" si="50">NW220-NV220</f>
        <v>0</v>
      </c>
      <c r="NY220" s="5" t="s">
        <v>317</v>
      </c>
      <c r="NZ220" s="2" t="s">
        <v>22</v>
      </c>
      <c r="OA220" s="53" t="s">
        <v>334</v>
      </c>
      <c r="OB220" s="2" t="s">
        <v>513</v>
      </c>
      <c r="OC220" s="2" t="s">
        <v>25</v>
      </c>
      <c r="OD220" s="2" t="s">
        <v>393</v>
      </c>
      <c r="OE220" s="7">
        <v>-74.044305502618698</v>
      </c>
      <c r="OF220" s="7">
        <v>4.6804459478222702</v>
      </c>
      <c r="OG220" s="2" t="s">
        <v>357</v>
      </c>
      <c r="OH220" s="2" t="s">
        <v>63</v>
      </c>
      <c r="OI220" s="2" t="s">
        <v>83</v>
      </c>
      <c r="OJ220" s="2" t="s">
        <v>63</v>
      </c>
      <c r="OK220" s="24">
        <v>434</v>
      </c>
      <c r="OL220" s="5">
        <v>46174</v>
      </c>
      <c r="OM220" s="5">
        <v>46174</v>
      </c>
      <c r="ON220" s="30">
        <f t="shared" ref="ON220" si="51">OM220-OL220</f>
        <v>0</v>
      </c>
      <c r="OO220" s="5" t="s">
        <v>317</v>
      </c>
      <c r="OP220" s="2" t="s">
        <v>22</v>
      </c>
      <c r="OQ220" s="53" t="s">
        <v>334</v>
      </c>
      <c r="OR220" s="2" t="s">
        <v>513</v>
      </c>
      <c r="OS220" s="2" t="s">
        <v>25</v>
      </c>
      <c r="OT220" s="2" t="s">
        <v>393</v>
      </c>
      <c r="OU220" s="7">
        <v>-74.044305502618698</v>
      </c>
      <c r="OV220" s="7">
        <v>4.6804459478222702</v>
      </c>
      <c r="OW220" s="2" t="s">
        <v>357</v>
      </c>
      <c r="OX220" s="2" t="s">
        <v>63</v>
      </c>
      <c r="OY220" s="2" t="s">
        <v>83</v>
      </c>
      <c r="OZ220" s="2" t="s">
        <v>63</v>
      </c>
      <c r="PA220" s="24">
        <v>434</v>
      </c>
      <c r="PB220" s="5">
        <v>46174</v>
      </c>
      <c r="PC220" s="5">
        <v>46174</v>
      </c>
      <c r="PD220" s="30">
        <f t="shared" ref="PD220" si="52">PC220-PB220</f>
        <v>0</v>
      </c>
      <c r="PE220" s="5" t="s">
        <v>317</v>
      </c>
      <c r="PF220" s="2" t="s">
        <v>22</v>
      </c>
      <c r="PG220" s="53" t="s">
        <v>334</v>
      </c>
      <c r="PH220" s="2" t="s">
        <v>513</v>
      </c>
      <c r="PI220" s="2" t="s">
        <v>25</v>
      </c>
      <c r="PJ220" s="2" t="s">
        <v>393</v>
      </c>
      <c r="PK220" s="7">
        <v>-74.044305502618698</v>
      </c>
      <c r="PL220" s="7">
        <v>4.6804459478222702</v>
      </c>
      <c r="PM220" s="2" t="s">
        <v>357</v>
      </c>
      <c r="PN220" s="2" t="s">
        <v>63</v>
      </c>
      <c r="PO220" s="2" t="s">
        <v>83</v>
      </c>
      <c r="PP220" s="2" t="s">
        <v>63</v>
      </c>
      <c r="PQ220" s="24">
        <v>434</v>
      </c>
      <c r="PR220" s="5">
        <v>46174</v>
      </c>
      <c r="PS220" s="5">
        <v>46174</v>
      </c>
      <c r="PT220" s="30">
        <f t="shared" ref="PT220" si="53">PS220-PR220</f>
        <v>0</v>
      </c>
      <c r="PU220" s="5" t="s">
        <v>317</v>
      </c>
      <c r="PV220" s="2" t="s">
        <v>22</v>
      </c>
      <c r="PW220" s="53" t="s">
        <v>334</v>
      </c>
      <c r="PX220" s="2" t="s">
        <v>513</v>
      </c>
      <c r="PY220" s="2" t="s">
        <v>25</v>
      </c>
      <c r="PZ220" s="2" t="s">
        <v>393</v>
      </c>
      <c r="QA220" s="7">
        <v>-74.044305502618698</v>
      </c>
      <c r="QB220" s="7">
        <v>4.6804459478222702</v>
      </c>
      <c r="QC220" s="2" t="s">
        <v>357</v>
      </c>
      <c r="QD220" s="2" t="s">
        <v>63</v>
      </c>
      <c r="QE220" s="2" t="s">
        <v>83</v>
      </c>
      <c r="QF220" s="2" t="s">
        <v>63</v>
      </c>
      <c r="QG220" s="24">
        <v>434</v>
      </c>
      <c r="QH220" s="5">
        <v>46174</v>
      </c>
      <c r="QI220" s="5">
        <v>46174</v>
      </c>
      <c r="QJ220" s="30">
        <f t="shared" ref="QJ220" si="54">QI220-QH220</f>
        <v>0</v>
      </c>
      <c r="QK220" s="5" t="s">
        <v>317</v>
      </c>
      <c r="QL220" s="2" t="s">
        <v>22</v>
      </c>
      <c r="QM220" s="53" t="s">
        <v>334</v>
      </c>
      <c r="QN220" s="2" t="s">
        <v>513</v>
      </c>
      <c r="QO220" s="2" t="s">
        <v>25</v>
      </c>
      <c r="QP220" s="2" t="s">
        <v>393</v>
      </c>
      <c r="QQ220" s="7">
        <v>-74.044305502618698</v>
      </c>
      <c r="QR220" s="7">
        <v>4.6804459478222702</v>
      </c>
      <c r="QS220" s="2" t="s">
        <v>357</v>
      </c>
      <c r="QT220" s="2" t="s">
        <v>63</v>
      </c>
      <c r="QU220" s="2" t="s">
        <v>83</v>
      </c>
      <c r="QV220" s="2" t="s">
        <v>63</v>
      </c>
      <c r="QW220" s="24">
        <v>434</v>
      </c>
      <c r="QX220" s="5">
        <v>46174</v>
      </c>
      <c r="QY220" s="5">
        <v>46174</v>
      </c>
      <c r="QZ220" s="30">
        <f t="shared" ref="QZ220" si="55">QY220-QX220</f>
        <v>0</v>
      </c>
      <c r="RA220" s="5" t="s">
        <v>317</v>
      </c>
      <c r="RB220" s="2" t="s">
        <v>22</v>
      </c>
      <c r="RC220" s="53" t="s">
        <v>334</v>
      </c>
      <c r="RD220" s="2" t="s">
        <v>513</v>
      </c>
      <c r="RE220" s="2" t="s">
        <v>25</v>
      </c>
      <c r="RF220" s="2" t="s">
        <v>393</v>
      </c>
      <c r="RG220" s="7">
        <v>-74.044305502618698</v>
      </c>
      <c r="RH220" s="7">
        <v>4.6804459478222702</v>
      </c>
      <c r="RI220" s="2" t="s">
        <v>357</v>
      </c>
      <c r="RJ220" s="2" t="s">
        <v>63</v>
      </c>
      <c r="RK220" s="2" t="s">
        <v>83</v>
      </c>
      <c r="RL220" s="2" t="s">
        <v>63</v>
      </c>
      <c r="RM220" s="24">
        <v>434</v>
      </c>
      <c r="RN220" s="5">
        <v>46174</v>
      </c>
      <c r="RO220" s="5">
        <v>46174</v>
      </c>
      <c r="RP220" s="30">
        <f t="shared" ref="RP220" si="56">RO220-RN220</f>
        <v>0</v>
      </c>
      <c r="RQ220" s="5" t="s">
        <v>317</v>
      </c>
      <c r="RR220" s="2" t="s">
        <v>22</v>
      </c>
      <c r="RS220" s="53" t="s">
        <v>334</v>
      </c>
      <c r="RT220" s="2" t="s">
        <v>513</v>
      </c>
      <c r="RU220" s="2" t="s">
        <v>25</v>
      </c>
      <c r="RV220" s="2" t="s">
        <v>393</v>
      </c>
      <c r="RW220" s="7">
        <v>-74.044305502618698</v>
      </c>
      <c r="RX220" s="7">
        <v>4.6804459478222702</v>
      </c>
      <c r="RY220" s="2" t="s">
        <v>357</v>
      </c>
      <c r="RZ220" s="2" t="s">
        <v>63</v>
      </c>
      <c r="SA220" s="2" t="s">
        <v>83</v>
      </c>
      <c r="SB220" s="2" t="s">
        <v>63</v>
      </c>
      <c r="SC220" s="24">
        <v>434</v>
      </c>
      <c r="SD220" s="5">
        <v>46174</v>
      </c>
      <c r="SE220" s="5">
        <v>46174</v>
      </c>
      <c r="SF220" s="30">
        <f t="shared" ref="SF220" si="57">SE220-SD220</f>
        <v>0</v>
      </c>
      <c r="SG220" s="5" t="s">
        <v>317</v>
      </c>
      <c r="SH220" s="2" t="s">
        <v>22</v>
      </c>
      <c r="SI220" s="53" t="s">
        <v>334</v>
      </c>
      <c r="SJ220" s="2" t="s">
        <v>513</v>
      </c>
      <c r="SK220" s="2" t="s">
        <v>25</v>
      </c>
      <c r="SL220" s="2" t="s">
        <v>393</v>
      </c>
      <c r="SM220" s="7">
        <v>-74.044305502618698</v>
      </c>
      <c r="SN220" s="7">
        <v>4.6804459478222702</v>
      </c>
      <c r="SO220" s="2" t="s">
        <v>357</v>
      </c>
      <c r="SP220" s="2" t="s">
        <v>63</v>
      </c>
      <c r="SQ220" s="2" t="s">
        <v>83</v>
      </c>
      <c r="SR220" s="2" t="s">
        <v>63</v>
      </c>
      <c r="SS220" s="24">
        <v>434</v>
      </c>
      <c r="ST220" s="5">
        <v>46174</v>
      </c>
      <c r="SU220" s="5">
        <v>46174</v>
      </c>
      <c r="SV220" s="30">
        <f t="shared" ref="SV220" si="58">SU220-ST220</f>
        <v>0</v>
      </c>
      <c r="SW220" s="5" t="s">
        <v>317</v>
      </c>
      <c r="SX220" s="2" t="s">
        <v>22</v>
      </c>
      <c r="SY220" s="53" t="s">
        <v>334</v>
      </c>
      <c r="SZ220" s="2" t="s">
        <v>513</v>
      </c>
      <c r="TA220" s="2" t="s">
        <v>25</v>
      </c>
      <c r="TB220" s="2" t="s">
        <v>393</v>
      </c>
      <c r="TC220" s="7">
        <v>-74.044305502618698</v>
      </c>
      <c r="TD220" s="7">
        <v>4.6804459478222702</v>
      </c>
      <c r="TE220" s="2" t="s">
        <v>357</v>
      </c>
      <c r="TF220" s="2" t="s">
        <v>63</v>
      </c>
      <c r="TG220" s="2" t="s">
        <v>83</v>
      </c>
      <c r="TH220" s="2" t="s">
        <v>63</v>
      </c>
      <c r="TI220" s="24">
        <v>434</v>
      </c>
      <c r="TJ220" s="5">
        <v>46174</v>
      </c>
      <c r="TK220" s="5">
        <v>46174</v>
      </c>
      <c r="TL220" s="30">
        <f t="shared" ref="TL220" si="59">TK220-TJ220</f>
        <v>0</v>
      </c>
      <c r="TM220" s="5" t="s">
        <v>317</v>
      </c>
      <c r="TN220" s="2" t="s">
        <v>22</v>
      </c>
      <c r="TO220" s="53" t="s">
        <v>334</v>
      </c>
      <c r="TP220" s="2" t="s">
        <v>513</v>
      </c>
      <c r="TQ220" s="2" t="s">
        <v>25</v>
      </c>
      <c r="TR220" s="2" t="s">
        <v>393</v>
      </c>
      <c r="TS220" s="7">
        <v>-74.044305502618698</v>
      </c>
      <c r="TT220" s="7">
        <v>4.6804459478222702</v>
      </c>
      <c r="TU220" s="2" t="s">
        <v>357</v>
      </c>
      <c r="TV220" s="2" t="s">
        <v>63</v>
      </c>
      <c r="TW220" s="2" t="s">
        <v>83</v>
      </c>
      <c r="TX220" s="2" t="s">
        <v>63</v>
      </c>
      <c r="TY220" s="24">
        <v>434</v>
      </c>
      <c r="TZ220" s="5">
        <v>46174</v>
      </c>
      <c r="UA220" s="5">
        <v>46174</v>
      </c>
      <c r="UB220" s="30">
        <f t="shared" ref="UB220" si="60">UA220-TZ220</f>
        <v>0</v>
      </c>
      <c r="UC220" s="5" t="s">
        <v>317</v>
      </c>
      <c r="UD220" s="2" t="s">
        <v>22</v>
      </c>
      <c r="UE220" s="53" t="s">
        <v>334</v>
      </c>
      <c r="UF220" s="2" t="s">
        <v>513</v>
      </c>
      <c r="UG220" s="2" t="s">
        <v>25</v>
      </c>
      <c r="UH220" s="2" t="s">
        <v>393</v>
      </c>
      <c r="UI220" s="7">
        <v>-74.044305502618698</v>
      </c>
      <c r="UJ220" s="7">
        <v>4.6804459478222702</v>
      </c>
      <c r="UK220" s="2" t="s">
        <v>357</v>
      </c>
      <c r="UL220" s="2" t="s">
        <v>63</v>
      </c>
      <c r="UM220" s="2" t="s">
        <v>83</v>
      </c>
      <c r="UN220" s="2" t="s">
        <v>63</v>
      </c>
      <c r="UO220" s="24">
        <v>434</v>
      </c>
      <c r="UP220" s="5">
        <v>46174</v>
      </c>
      <c r="UQ220" s="5">
        <v>46174</v>
      </c>
      <c r="UR220" s="30">
        <f t="shared" ref="UR220" si="61">UQ220-UP220</f>
        <v>0</v>
      </c>
      <c r="US220" s="5" t="s">
        <v>317</v>
      </c>
      <c r="UT220" s="2" t="s">
        <v>22</v>
      </c>
      <c r="UU220" s="53" t="s">
        <v>334</v>
      </c>
      <c r="UV220" s="2" t="s">
        <v>513</v>
      </c>
      <c r="UW220" s="2" t="s">
        <v>25</v>
      </c>
      <c r="UX220" s="2" t="s">
        <v>393</v>
      </c>
      <c r="UY220" s="7">
        <v>-74.044305502618698</v>
      </c>
      <c r="UZ220" s="7">
        <v>4.6804459478222702</v>
      </c>
      <c r="VA220" s="2" t="s">
        <v>357</v>
      </c>
      <c r="VB220" s="2" t="s">
        <v>63</v>
      </c>
      <c r="VC220" s="2" t="s">
        <v>83</v>
      </c>
      <c r="VD220" s="2" t="s">
        <v>63</v>
      </c>
      <c r="VE220" s="24">
        <v>434</v>
      </c>
      <c r="VF220" s="5">
        <v>46174</v>
      </c>
      <c r="VG220" s="5">
        <v>46174</v>
      </c>
      <c r="VH220" s="30">
        <f t="shared" ref="VH220" si="62">VG220-VF220</f>
        <v>0</v>
      </c>
      <c r="VI220" s="5" t="s">
        <v>317</v>
      </c>
      <c r="VJ220" s="2" t="s">
        <v>22</v>
      </c>
      <c r="VK220" s="53" t="s">
        <v>334</v>
      </c>
      <c r="VL220" s="2" t="s">
        <v>513</v>
      </c>
      <c r="VM220" s="2" t="s">
        <v>25</v>
      </c>
      <c r="VN220" s="2" t="s">
        <v>393</v>
      </c>
      <c r="VO220" s="7">
        <v>-74.044305502618698</v>
      </c>
      <c r="VP220" s="7">
        <v>4.6804459478222702</v>
      </c>
      <c r="VQ220" s="2" t="s">
        <v>357</v>
      </c>
      <c r="VR220" s="2" t="s">
        <v>63</v>
      </c>
      <c r="VS220" s="2" t="s">
        <v>83</v>
      </c>
      <c r="VT220" s="2" t="s">
        <v>63</v>
      </c>
      <c r="VU220" s="24">
        <v>434</v>
      </c>
      <c r="VV220" s="5">
        <v>46174</v>
      </c>
      <c r="VW220" s="5">
        <v>46174</v>
      </c>
      <c r="VX220" s="30">
        <f t="shared" ref="VX220" si="63">VW220-VV220</f>
        <v>0</v>
      </c>
      <c r="VY220" s="5" t="s">
        <v>317</v>
      </c>
      <c r="VZ220" s="2" t="s">
        <v>22</v>
      </c>
      <c r="WA220" s="53" t="s">
        <v>334</v>
      </c>
      <c r="WB220" s="2" t="s">
        <v>513</v>
      </c>
      <c r="WC220" s="2" t="s">
        <v>25</v>
      </c>
      <c r="WD220" s="2" t="s">
        <v>393</v>
      </c>
      <c r="WE220" s="7">
        <v>-74.044305502618698</v>
      </c>
      <c r="WF220" s="7">
        <v>4.6804459478222702</v>
      </c>
      <c r="WG220" s="2" t="s">
        <v>357</v>
      </c>
      <c r="WH220" s="2" t="s">
        <v>63</v>
      </c>
      <c r="WI220" s="2" t="s">
        <v>83</v>
      </c>
      <c r="WJ220" s="2" t="s">
        <v>63</v>
      </c>
      <c r="WK220" s="24">
        <v>434</v>
      </c>
      <c r="WL220" s="5">
        <v>46174</v>
      </c>
      <c r="WM220" s="5">
        <v>46174</v>
      </c>
      <c r="WN220" s="30">
        <f t="shared" ref="WN220" si="64">WM220-WL220</f>
        <v>0</v>
      </c>
      <c r="WO220" s="5" t="s">
        <v>317</v>
      </c>
      <c r="WP220" s="2" t="s">
        <v>22</v>
      </c>
      <c r="WQ220" s="53" t="s">
        <v>334</v>
      </c>
      <c r="WR220" s="2" t="s">
        <v>513</v>
      </c>
      <c r="WS220" s="2" t="s">
        <v>25</v>
      </c>
      <c r="WT220" s="2" t="s">
        <v>393</v>
      </c>
      <c r="WU220" s="7">
        <v>-74.044305502618698</v>
      </c>
      <c r="WV220" s="7">
        <v>4.6804459478222702</v>
      </c>
      <c r="WW220" s="2" t="s">
        <v>357</v>
      </c>
      <c r="WX220" s="2" t="s">
        <v>63</v>
      </c>
      <c r="WY220" s="2" t="s">
        <v>83</v>
      </c>
      <c r="WZ220" s="2" t="s">
        <v>63</v>
      </c>
      <c r="XA220" s="24">
        <v>434</v>
      </c>
      <c r="XB220" s="5">
        <v>46174</v>
      </c>
      <c r="XC220" s="5">
        <v>46174</v>
      </c>
      <c r="XD220" s="30">
        <f t="shared" ref="XD220" si="65">XC220-XB220</f>
        <v>0</v>
      </c>
      <c r="XE220" s="5" t="s">
        <v>317</v>
      </c>
      <c r="XF220" s="2" t="s">
        <v>22</v>
      </c>
      <c r="XG220" s="53" t="s">
        <v>334</v>
      </c>
      <c r="XH220" s="2" t="s">
        <v>513</v>
      </c>
      <c r="XI220" s="2" t="s">
        <v>25</v>
      </c>
      <c r="XJ220" s="2" t="s">
        <v>393</v>
      </c>
      <c r="XK220" s="7">
        <v>-74.044305502618698</v>
      </c>
      <c r="XL220" s="7">
        <v>4.6804459478222702</v>
      </c>
      <c r="XM220" s="2" t="s">
        <v>357</v>
      </c>
      <c r="XN220" s="2" t="s">
        <v>63</v>
      </c>
      <c r="XO220" s="2" t="s">
        <v>83</v>
      </c>
      <c r="XP220" s="2" t="s">
        <v>63</v>
      </c>
      <c r="XQ220" s="24">
        <v>434</v>
      </c>
      <c r="XR220" s="5">
        <v>46174</v>
      </c>
      <c r="XS220" s="5">
        <v>46174</v>
      </c>
      <c r="XT220" s="30">
        <f t="shared" ref="XT220" si="66">XS220-XR220</f>
        <v>0</v>
      </c>
      <c r="XU220" s="5" t="s">
        <v>317</v>
      </c>
      <c r="XV220" s="2" t="s">
        <v>22</v>
      </c>
      <c r="XW220" s="53" t="s">
        <v>334</v>
      </c>
      <c r="XX220" s="2" t="s">
        <v>513</v>
      </c>
      <c r="XY220" s="2" t="s">
        <v>25</v>
      </c>
      <c r="XZ220" s="2" t="s">
        <v>393</v>
      </c>
      <c r="YA220" s="7">
        <v>-74.044305502618698</v>
      </c>
      <c r="YB220" s="7">
        <v>4.6804459478222702</v>
      </c>
      <c r="YC220" s="2" t="s">
        <v>357</v>
      </c>
      <c r="YD220" s="2" t="s">
        <v>63</v>
      </c>
      <c r="YE220" s="2" t="s">
        <v>83</v>
      </c>
      <c r="YF220" s="2" t="s">
        <v>63</v>
      </c>
      <c r="YG220" s="24">
        <v>434</v>
      </c>
      <c r="YH220" s="5">
        <v>46174</v>
      </c>
      <c r="YI220" s="5">
        <v>46174</v>
      </c>
      <c r="YJ220" s="30">
        <f t="shared" ref="YJ220" si="67">YI220-YH220</f>
        <v>0</v>
      </c>
      <c r="YK220" s="5" t="s">
        <v>317</v>
      </c>
      <c r="YL220" s="2" t="s">
        <v>22</v>
      </c>
      <c r="YM220" s="53" t="s">
        <v>334</v>
      </c>
      <c r="YN220" s="2" t="s">
        <v>513</v>
      </c>
      <c r="YO220" s="2" t="s">
        <v>25</v>
      </c>
      <c r="YP220" s="2" t="s">
        <v>393</v>
      </c>
      <c r="YQ220" s="7">
        <v>-74.044305502618698</v>
      </c>
      <c r="YR220" s="7">
        <v>4.6804459478222702</v>
      </c>
      <c r="YS220" s="2" t="s">
        <v>357</v>
      </c>
      <c r="YT220" s="2" t="s">
        <v>63</v>
      </c>
      <c r="YU220" s="2" t="s">
        <v>83</v>
      </c>
      <c r="YV220" s="2" t="s">
        <v>63</v>
      </c>
      <c r="YW220" s="24">
        <v>434</v>
      </c>
      <c r="YX220" s="5">
        <v>46174</v>
      </c>
      <c r="YY220" s="5">
        <v>46174</v>
      </c>
      <c r="YZ220" s="30">
        <f t="shared" ref="YZ220" si="68">YY220-YX220</f>
        <v>0</v>
      </c>
      <c r="ZA220" s="5" t="s">
        <v>317</v>
      </c>
      <c r="ZB220" s="2" t="s">
        <v>22</v>
      </c>
      <c r="ZC220" s="53" t="s">
        <v>334</v>
      </c>
      <c r="ZD220" s="2" t="s">
        <v>513</v>
      </c>
      <c r="ZE220" s="2" t="s">
        <v>25</v>
      </c>
      <c r="ZF220" s="2" t="s">
        <v>393</v>
      </c>
      <c r="ZG220" s="7">
        <v>-74.044305502618698</v>
      </c>
      <c r="ZH220" s="7">
        <v>4.6804459478222702</v>
      </c>
      <c r="ZI220" s="2" t="s">
        <v>357</v>
      </c>
      <c r="ZJ220" s="2" t="s">
        <v>63</v>
      </c>
      <c r="ZK220" s="2" t="s">
        <v>83</v>
      </c>
      <c r="ZL220" s="2" t="s">
        <v>63</v>
      </c>
      <c r="ZM220" s="24">
        <v>434</v>
      </c>
      <c r="ZN220" s="5">
        <v>46174</v>
      </c>
      <c r="ZO220" s="5">
        <v>46174</v>
      </c>
      <c r="ZP220" s="30">
        <f t="shared" ref="ZP220" si="69">ZO220-ZN220</f>
        <v>0</v>
      </c>
      <c r="ZQ220" s="5" t="s">
        <v>317</v>
      </c>
      <c r="ZR220" s="2" t="s">
        <v>22</v>
      </c>
      <c r="ZS220" s="53" t="s">
        <v>334</v>
      </c>
      <c r="ZT220" s="2" t="s">
        <v>513</v>
      </c>
      <c r="ZU220" s="2" t="s">
        <v>25</v>
      </c>
      <c r="ZV220" s="2" t="s">
        <v>393</v>
      </c>
      <c r="ZW220" s="7">
        <v>-74.044305502618698</v>
      </c>
      <c r="ZX220" s="7">
        <v>4.6804459478222702</v>
      </c>
      <c r="ZY220" s="2" t="s">
        <v>357</v>
      </c>
      <c r="ZZ220" s="2" t="s">
        <v>63</v>
      </c>
      <c r="AAA220" s="2" t="s">
        <v>83</v>
      </c>
      <c r="AAB220" s="2" t="s">
        <v>63</v>
      </c>
      <c r="AAC220" s="24">
        <v>434</v>
      </c>
      <c r="AAD220" s="5">
        <v>46174</v>
      </c>
      <c r="AAE220" s="5">
        <v>46174</v>
      </c>
      <c r="AAF220" s="30">
        <f t="shared" ref="AAF220" si="70">AAE220-AAD220</f>
        <v>0</v>
      </c>
      <c r="AAG220" s="5" t="s">
        <v>317</v>
      </c>
      <c r="AAH220" s="2" t="s">
        <v>22</v>
      </c>
      <c r="AAI220" s="53" t="s">
        <v>334</v>
      </c>
      <c r="AAJ220" s="2" t="s">
        <v>513</v>
      </c>
      <c r="AAK220" s="2" t="s">
        <v>25</v>
      </c>
      <c r="AAL220" s="2" t="s">
        <v>393</v>
      </c>
      <c r="AAM220" s="7">
        <v>-74.044305502618698</v>
      </c>
      <c r="AAN220" s="7">
        <v>4.6804459478222702</v>
      </c>
      <c r="AAO220" s="2" t="s">
        <v>357</v>
      </c>
      <c r="AAP220" s="2" t="s">
        <v>63</v>
      </c>
      <c r="AAQ220" s="2" t="s">
        <v>83</v>
      </c>
      <c r="AAR220" s="2" t="s">
        <v>63</v>
      </c>
      <c r="AAS220" s="24">
        <v>434</v>
      </c>
      <c r="AAT220" s="5">
        <v>46174</v>
      </c>
      <c r="AAU220" s="5">
        <v>46174</v>
      </c>
      <c r="AAV220" s="30">
        <f t="shared" ref="AAV220" si="71">AAU220-AAT220</f>
        <v>0</v>
      </c>
      <c r="AAW220" s="5" t="s">
        <v>317</v>
      </c>
      <c r="AAX220" s="2" t="s">
        <v>22</v>
      </c>
      <c r="AAY220" s="53" t="s">
        <v>334</v>
      </c>
      <c r="AAZ220" s="2" t="s">
        <v>513</v>
      </c>
      <c r="ABA220" s="2" t="s">
        <v>25</v>
      </c>
      <c r="ABB220" s="2" t="s">
        <v>393</v>
      </c>
      <c r="ABC220" s="7">
        <v>-74.044305502618698</v>
      </c>
      <c r="ABD220" s="7">
        <v>4.6804459478222702</v>
      </c>
      <c r="ABE220" s="2" t="s">
        <v>357</v>
      </c>
      <c r="ABF220" s="2" t="s">
        <v>63</v>
      </c>
      <c r="ABG220" s="2" t="s">
        <v>83</v>
      </c>
      <c r="ABH220" s="2" t="s">
        <v>63</v>
      </c>
      <c r="ABI220" s="24">
        <v>434</v>
      </c>
      <c r="ABJ220" s="5">
        <v>46174</v>
      </c>
      <c r="ABK220" s="5">
        <v>46174</v>
      </c>
      <c r="ABL220" s="30">
        <f t="shared" ref="ABL220" si="72">ABK220-ABJ220</f>
        <v>0</v>
      </c>
      <c r="ABM220" s="5" t="s">
        <v>317</v>
      </c>
      <c r="ABN220" s="2" t="s">
        <v>22</v>
      </c>
      <c r="ABO220" s="53" t="s">
        <v>334</v>
      </c>
      <c r="ABP220" s="2" t="s">
        <v>513</v>
      </c>
      <c r="ABQ220" s="2" t="s">
        <v>25</v>
      </c>
      <c r="ABR220" s="2" t="s">
        <v>393</v>
      </c>
      <c r="ABS220" s="7">
        <v>-74.044305502618698</v>
      </c>
      <c r="ABT220" s="7">
        <v>4.6804459478222702</v>
      </c>
      <c r="ABU220" s="2" t="s">
        <v>357</v>
      </c>
      <c r="ABV220" s="2" t="s">
        <v>63</v>
      </c>
      <c r="ABW220" s="2" t="s">
        <v>83</v>
      </c>
      <c r="ABX220" s="2" t="s">
        <v>63</v>
      </c>
      <c r="ABY220" s="24">
        <v>434</v>
      </c>
      <c r="ABZ220" s="5">
        <v>46174</v>
      </c>
      <c r="ACA220" s="5">
        <v>46174</v>
      </c>
      <c r="ACB220" s="30">
        <f t="shared" ref="ACB220" si="73">ACA220-ABZ220</f>
        <v>0</v>
      </c>
      <c r="ACC220" s="5" t="s">
        <v>317</v>
      </c>
      <c r="ACD220" s="2" t="s">
        <v>22</v>
      </c>
      <c r="ACE220" s="53" t="s">
        <v>334</v>
      </c>
      <c r="ACF220" s="2" t="s">
        <v>513</v>
      </c>
      <c r="ACG220" s="2" t="s">
        <v>25</v>
      </c>
      <c r="ACH220" s="2" t="s">
        <v>393</v>
      </c>
      <c r="ACI220" s="7">
        <v>-74.044305502618698</v>
      </c>
      <c r="ACJ220" s="7">
        <v>4.6804459478222702</v>
      </c>
      <c r="ACK220" s="2" t="s">
        <v>357</v>
      </c>
      <c r="ACL220" s="2" t="s">
        <v>63</v>
      </c>
      <c r="ACM220" s="2" t="s">
        <v>83</v>
      </c>
      <c r="ACN220" s="2" t="s">
        <v>63</v>
      </c>
      <c r="ACO220" s="24">
        <v>434</v>
      </c>
      <c r="ACP220" s="5">
        <v>46174</v>
      </c>
      <c r="ACQ220" s="5">
        <v>46174</v>
      </c>
      <c r="ACR220" s="30">
        <f t="shared" ref="ACR220" si="74">ACQ220-ACP220</f>
        <v>0</v>
      </c>
      <c r="ACS220" s="5" t="s">
        <v>317</v>
      </c>
      <c r="ACT220" s="2" t="s">
        <v>22</v>
      </c>
      <c r="ACU220" s="53" t="s">
        <v>334</v>
      </c>
      <c r="ACV220" s="2" t="s">
        <v>513</v>
      </c>
      <c r="ACW220" s="2" t="s">
        <v>25</v>
      </c>
      <c r="ACX220" s="2" t="s">
        <v>393</v>
      </c>
      <c r="ACY220" s="7">
        <v>-74.044305502618698</v>
      </c>
      <c r="ACZ220" s="7">
        <v>4.6804459478222702</v>
      </c>
      <c r="ADA220" s="2" t="s">
        <v>357</v>
      </c>
      <c r="ADB220" s="2" t="s">
        <v>63</v>
      </c>
      <c r="ADC220" s="2" t="s">
        <v>83</v>
      </c>
      <c r="ADD220" s="2" t="s">
        <v>63</v>
      </c>
      <c r="ADE220" s="24">
        <v>434</v>
      </c>
      <c r="ADF220" s="5">
        <v>46174</v>
      </c>
      <c r="ADG220" s="5">
        <v>46174</v>
      </c>
      <c r="ADH220" s="30">
        <f t="shared" ref="ADH220" si="75">ADG220-ADF220</f>
        <v>0</v>
      </c>
      <c r="ADI220" s="5" t="s">
        <v>317</v>
      </c>
      <c r="ADJ220" s="2" t="s">
        <v>22</v>
      </c>
      <c r="ADK220" s="53" t="s">
        <v>334</v>
      </c>
      <c r="ADL220" s="2" t="s">
        <v>513</v>
      </c>
      <c r="ADM220" s="2" t="s">
        <v>25</v>
      </c>
      <c r="ADN220" s="2" t="s">
        <v>393</v>
      </c>
      <c r="ADO220" s="7">
        <v>-74.044305502618698</v>
      </c>
      <c r="ADP220" s="7">
        <v>4.6804459478222702</v>
      </c>
      <c r="ADQ220" s="2" t="s">
        <v>357</v>
      </c>
      <c r="ADR220" s="2" t="s">
        <v>63</v>
      </c>
      <c r="ADS220" s="2" t="s">
        <v>83</v>
      </c>
      <c r="ADT220" s="2" t="s">
        <v>63</v>
      </c>
      <c r="ADU220" s="24">
        <v>434</v>
      </c>
      <c r="ADV220" s="5">
        <v>46174</v>
      </c>
      <c r="ADW220" s="5">
        <v>46174</v>
      </c>
      <c r="ADX220" s="30">
        <f t="shared" ref="ADX220" si="76">ADW220-ADV220</f>
        <v>0</v>
      </c>
      <c r="ADY220" s="5" t="s">
        <v>317</v>
      </c>
      <c r="ADZ220" s="2" t="s">
        <v>22</v>
      </c>
      <c r="AEA220" s="53" t="s">
        <v>334</v>
      </c>
      <c r="AEB220" s="2" t="s">
        <v>513</v>
      </c>
      <c r="AEC220" s="2" t="s">
        <v>25</v>
      </c>
      <c r="AED220" s="2" t="s">
        <v>393</v>
      </c>
      <c r="AEE220" s="7">
        <v>-74.044305502618698</v>
      </c>
      <c r="AEF220" s="7">
        <v>4.6804459478222702</v>
      </c>
      <c r="AEG220" s="2" t="s">
        <v>357</v>
      </c>
      <c r="AEH220" s="2" t="s">
        <v>63</v>
      </c>
      <c r="AEI220" s="2" t="s">
        <v>83</v>
      </c>
      <c r="AEJ220" s="2" t="s">
        <v>63</v>
      </c>
      <c r="AEK220" s="24">
        <v>434</v>
      </c>
      <c r="AEL220" s="5">
        <v>46174</v>
      </c>
      <c r="AEM220" s="5">
        <v>46174</v>
      </c>
      <c r="AEN220" s="30">
        <f t="shared" ref="AEN220" si="77">AEM220-AEL220</f>
        <v>0</v>
      </c>
      <c r="AEO220" s="5" t="s">
        <v>317</v>
      </c>
      <c r="AEP220" s="2" t="s">
        <v>22</v>
      </c>
      <c r="AEQ220" s="53" t="s">
        <v>334</v>
      </c>
      <c r="AER220" s="2" t="s">
        <v>513</v>
      </c>
      <c r="AES220" s="2" t="s">
        <v>25</v>
      </c>
      <c r="AET220" s="2" t="s">
        <v>393</v>
      </c>
      <c r="AEU220" s="7">
        <v>-74.044305502618698</v>
      </c>
      <c r="AEV220" s="7">
        <v>4.6804459478222702</v>
      </c>
      <c r="AEW220" s="2" t="s">
        <v>357</v>
      </c>
      <c r="AEX220" s="2" t="s">
        <v>63</v>
      </c>
      <c r="AEY220" s="2" t="s">
        <v>83</v>
      </c>
      <c r="AEZ220" s="2" t="s">
        <v>63</v>
      </c>
      <c r="AFA220" s="24">
        <v>434</v>
      </c>
      <c r="AFB220" s="5">
        <v>46174</v>
      </c>
      <c r="AFC220" s="5">
        <v>46174</v>
      </c>
      <c r="AFD220" s="30">
        <f t="shared" ref="AFD220" si="78">AFC220-AFB220</f>
        <v>0</v>
      </c>
      <c r="AFE220" s="5" t="s">
        <v>317</v>
      </c>
      <c r="AFF220" s="2" t="s">
        <v>22</v>
      </c>
      <c r="AFG220" s="53" t="s">
        <v>334</v>
      </c>
      <c r="AFH220" s="2" t="s">
        <v>513</v>
      </c>
      <c r="AFI220" s="2" t="s">
        <v>25</v>
      </c>
      <c r="AFJ220" s="2" t="s">
        <v>393</v>
      </c>
      <c r="AFK220" s="7">
        <v>-74.044305502618698</v>
      </c>
      <c r="AFL220" s="7">
        <v>4.6804459478222702</v>
      </c>
      <c r="AFM220" s="2" t="s">
        <v>357</v>
      </c>
      <c r="AFN220" s="2" t="s">
        <v>63</v>
      </c>
      <c r="AFO220" s="2" t="s">
        <v>83</v>
      </c>
      <c r="AFP220" s="2" t="s">
        <v>63</v>
      </c>
      <c r="AFQ220" s="24">
        <v>434</v>
      </c>
      <c r="AFR220" s="5">
        <v>46174</v>
      </c>
      <c r="AFS220" s="5">
        <v>46174</v>
      </c>
      <c r="AFT220" s="30">
        <f t="shared" ref="AFT220" si="79">AFS220-AFR220</f>
        <v>0</v>
      </c>
      <c r="AFU220" s="5" t="s">
        <v>317</v>
      </c>
      <c r="AFV220" s="2" t="s">
        <v>22</v>
      </c>
      <c r="AFW220" s="53" t="s">
        <v>334</v>
      </c>
      <c r="AFX220" s="2" t="s">
        <v>513</v>
      </c>
      <c r="AFY220" s="2" t="s">
        <v>25</v>
      </c>
      <c r="AFZ220" s="2" t="s">
        <v>393</v>
      </c>
      <c r="AGA220" s="7">
        <v>-74.044305502618698</v>
      </c>
      <c r="AGB220" s="7">
        <v>4.6804459478222702</v>
      </c>
      <c r="AGC220" s="2" t="s">
        <v>357</v>
      </c>
      <c r="AGD220" s="2" t="s">
        <v>63</v>
      </c>
      <c r="AGE220" s="2" t="s">
        <v>83</v>
      </c>
      <c r="AGF220" s="2" t="s">
        <v>63</v>
      </c>
      <c r="AGG220" s="24">
        <v>434</v>
      </c>
      <c r="AGH220" s="5">
        <v>46174</v>
      </c>
      <c r="AGI220" s="5">
        <v>46174</v>
      </c>
      <c r="AGJ220" s="30">
        <f t="shared" ref="AGJ220" si="80">AGI220-AGH220</f>
        <v>0</v>
      </c>
      <c r="AGK220" s="5" t="s">
        <v>317</v>
      </c>
      <c r="AGL220" s="2" t="s">
        <v>22</v>
      </c>
      <c r="AGM220" s="53" t="s">
        <v>334</v>
      </c>
      <c r="AGN220" s="2" t="s">
        <v>513</v>
      </c>
      <c r="AGO220" s="2" t="s">
        <v>25</v>
      </c>
      <c r="AGP220" s="2" t="s">
        <v>393</v>
      </c>
      <c r="AGQ220" s="7">
        <v>-74.044305502618698</v>
      </c>
      <c r="AGR220" s="7">
        <v>4.6804459478222702</v>
      </c>
      <c r="AGS220" s="2" t="s">
        <v>357</v>
      </c>
      <c r="AGT220" s="2" t="s">
        <v>63</v>
      </c>
      <c r="AGU220" s="2" t="s">
        <v>83</v>
      </c>
      <c r="AGV220" s="2" t="s">
        <v>63</v>
      </c>
      <c r="AGW220" s="24">
        <v>434</v>
      </c>
      <c r="AGX220" s="5">
        <v>46174</v>
      </c>
      <c r="AGY220" s="5">
        <v>46174</v>
      </c>
      <c r="AGZ220" s="30">
        <f t="shared" ref="AGZ220" si="81">AGY220-AGX220</f>
        <v>0</v>
      </c>
      <c r="AHA220" s="5" t="s">
        <v>317</v>
      </c>
      <c r="AHB220" s="2" t="s">
        <v>22</v>
      </c>
      <c r="AHC220" s="53" t="s">
        <v>334</v>
      </c>
      <c r="AHD220" s="2" t="s">
        <v>513</v>
      </c>
      <c r="AHE220" s="2" t="s">
        <v>25</v>
      </c>
      <c r="AHF220" s="2" t="s">
        <v>393</v>
      </c>
      <c r="AHG220" s="7">
        <v>-74.044305502618698</v>
      </c>
      <c r="AHH220" s="7">
        <v>4.6804459478222702</v>
      </c>
      <c r="AHI220" s="2" t="s">
        <v>357</v>
      </c>
      <c r="AHJ220" s="2" t="s">
        <v>63</v>
      </c>
      <c r="AHK220" s="2" t="s">
        <v>83</v>
      </c>
      <c r="AHL220" s="2" t="s">
        <v>63</v>
      </c>
      <c r="AHM220" s="24">
        <v>434</v>
      </c>
      <c r="AHN220" s="5">
        <v>46174</v>
      </c>
      <c r="AHO220" s="5">
        <v>46174</v>
      </c>
      <c r="AHP220" s="30">
        <f t="shared" ref="AHP220" si="82">AHO220-AHN220</f>
        <v>0</v>
      </c>
      <c r="AHQ220" s="5" t="s">
        <v>317</v>
      </c>
      <c r="AHR220" s="2" t="s">
        <v>22</v>
      </c>
      <c r="AHS220" s="53" t="s">
        <v>334</v>
      </c>
      <c r="AHT220" s="2" t="s">
        <v>513</v>
      </c>
      <c r="AHU220" s="2" t="s">
        <v>25</v>
      </c>
      <c r="AHV220" s="2" t="s">
        <v>393</v>
      </c>
      <c r="AHW220" s="7">
        <v>-74.044305502618698</v>
      </c>
      <c r="AHX220" s="7">
        <v>4.6804459478222702</v>
      </c>
      <c r="AHY220" s="2" t="s">
        <v>357</v>
      </c>
      <c r="AHZ220" s="2" t="s">
        <v>63</v>
      </c>
      <c r="AIA220" s="2" t="s">
        <v>83</v>
      </c>
      <c r="AIB220" s="2" t="s">
        <v>63</v>
      </c>
      <c r="AIC220" s="24">
        <v>434</v>
      </c>
      <c r="AID220" s="5">
        <v>46174</v>
      </c>
      <c r="AIE220" s="5">
        <v>46174</v>
      </c>
      <c r="AIF220" s="30">
        <f t="shared" ref="AIF220" si="83">AIE220-AID220</f>
        <v>0</v>
      </c>
      <c r="AIG220" s="5" t="s">
        <v>317</v>
      </c>
      <c r="AIH220" s="2" t="s">
        <v>22</v>
      </c>
      <c r="AII220" s="53" t="s">
        <v>334</v>
      </c>
      <c r="AIJ220" s="2" t="s">
        <v>513</v>
      </c>
      <c r="AIK220" s="2" t="s">
        <v>25</v>
      </c>
      <c r="AIL220" s="2" t="s">
        <v>393</v>
      </c>
      <c r="AIM220" s="7">
        <v>-74.044305502618698</v>
      </c>
      <c r="AIN220" s="7">
        <v>4.6804459478222702</v>
      </c>
      <c r="AIO220" s="2" t="s">
        <v>357</v>
      </c>
      <c r="AIP220" s="2" t="s">
        <v>63</v>
      </c>
      <c r="AIQ220" s="2" t="s">
        <v>83</v>
      </c>
      <c r="AIR220" s="2" t="s">
        <v>63</v>
      </c>
      <c r="AIS220" s="24">
        <v>434</v>
      </c>
      <c r="AIT220" s="5">
        <v>46174</v>
      </c>
      <c r="AIU220" s="5">
        <v>46174</v>
      </c>
      <c r="AIV220" s="30">
        <f t="shared" ref="AIV220" si="84">AIU220-AIT220</f>
        <v>0</v>
      </c>
      <c r="AIW220" s="5" t="s">
        <v>317</v>
      </c>
      <c r="AIX220" s="2" t="s">
        <v>22</v>
      </c>
      <c r="AIY220" s="53" t="s">
        <v>334</v>
      </c>
      <c r="AIZ220" s="2" t="s">
        <v>513</v>
      </c>
      <c r="AJA220" s="2" t="s">
        <v>25</v>
      </c>
      <c r="AJB220" s="2" t="s">
        <v>393</v>
      </c>
      <c r="AJC220" s="7">
        <v>-74.044305502618698</v>
      </c>
      <c r="AJD220" s="7">
        <v>4.6804459478222702</v>
      </c>
      <c r="AJE220" s="2" t="s">
        <v>357</v>
      </c>
      <c r="AJF220" s="2" t="s">
        <v>63</v>
      </c>
      <c r="AJG220" s="2" t="s">
        <v>83</v>
      </c>
      <c r="AJH220" s="2" t="s">
        <v>63</v>
      </c>
      <c r="AJI220" s="24">
        <v>434</v>
      </c>
      <c r="AJJ220" s="5">
        <v>46174</v>
      </c>
      <c r="AJK220" s="5">
        <v>46174</v>
      </c>
      <c r="AJL220" s="30">
        <f t="shared" ref="AJL220" si="85">AJK220-AJJ220</f>
        <v>0</v>
      </c>
      <c r="AJM220" s="5" t="s">
        <v>317</v>
      </c>
      <c r="AJN220" s="2" t="s">
        <v>22</v>
      </c>
      <c r="AJO220" s="53" t="s">
        <v>334</v>
      </c>
      <c r="AJP220" s="2" t="s">
        <v>513</v>
      </c>
      <c r="AJQ220" s="2" t="s">
        <v>25</v>
      </c>
      <c r="AJR220" s="2" t="s">
        <v>393</v>
      </c>
      <c r="AJS220" s="7">
        <v>-74.044305502618698</v>
      </c>
      <c r="AJT220" s="7">
        <v>4.6804459478222702</v>
      </c>
      <c r="AJU220" s="2" t="s">
        <v>357</v>
      </c>
      <c r="AJV220" s="2" t="s">
        <v>63</v>
      </c>
      <c r="AJW220" s="2" t="s">
        <v>83</v>
      </c>
      <c r="AJX220" s="2" t="s">
        <v>63</v>
      </c>
      <c r="AJY220" s="24">
        <v>434</v>
      </c>
      <c r="AJZ220" s="5">
        <v>46174</v>
      </c>
      <c r="AKA220" s="5">
        <v>46174</v>
      </c>
      <c r="AKB220" s="30">
        <f t="shared" ref="AKB220" si="86">AKA220-AJZ220</f>
        <v>0</v>
      </c>
      <c r="AKC220" s="5" t="s">
        <v>317</v>
      </c>
      <c r="AKD220" s="2" t="s">
        <v>22</v>
      </c>
      <c r="AKE220" s="53" t="s">
        <v>334</v>
      </c>
      <c r="AKF220" s="2" t="s">
        <v>513</v>
      </c>
      <c r="AKG220" s="2" t="s">
        <v>25</v>
      </c>
      <c r="AKH220" s="2" t="s">
        <v>393</v>
      </c>
      <c r="AKI220" s="7">
        <v>-74.044305502618698</v>
      </c>
      <c r="AKJ220" s="7">
        <v>4.6804459478222702</v>
      </c>
      <c r="AKK220" s="2" t="s">
        <v>357</v>
      </c>
      <c r="AKL220" s="2" t="s">
        <v>63</v>
      </c>
      <c r="AKM220" s="2" t="s">
        <v>83</v>
      </c>
      <c r="AKN220" s="2" t="s">
        <v>63</v>
      </c>
      <c r="AKO220" s="24">
        <v>434</v>
      </c>
      <c r="AKP220" s="5">
        <v>46174</v>
      </c>
      <c r="AKQ220" s="5">
        <v>46174</v>
      </c>
      <c r="AKR220" s="30">
        <f t="shared" ref="AKR220" si="87">AKQ220-AKP220</f>
        <v>0</v>
      </c>
      <c r="AKS220" s="5" t="s">
        <v>317</v>
      </c>
      <c r="AKT220" s="2" t="s">
        <v>22</v>
      </c>
      <c r="AKU220" s="53" t="s">
        <v>334</v>
      </c>
      <c r="AKV220" s="2" t="s">
        <v>513</v>
      </c>
      <c r="AKW220" s="2" t="s">
        <v>25</v>
      </c>
      <c r="AKX220" s="2" t="s">
        <v>393</v>
      </c>
      <c r="AKY220" s="7">
        <v>-74.044305502618698</v>
      </c>
      <c r="AKZ220" s="7">
        <v>4.6804459478222702</v>
      </c>
      <c r="ALA220" s="2" t="s">
        <v>357</v>
      </c>
      <c r="ALB220" s="2" t="s">
        <v>63</v>
      </c>
      <c r="ALC220" s="2" t="s">
        <v>83</v>
      </c>
      <c r="ALD220" s="2" t="s">
        <v>63</v>
      </c>
      <c r="ALE220" s="24">
        <v>434</v>
      </c>
      <c r="ALF220" s="5">
        <v>46174</v>
      </c>
      <c r="ALG220" s="5">
        <v>46174</v>
      </c>
      <c r="ALH220" s="30">
        <f t="shared" ref="ALH220" si="88">ALG220-ALF220</f>
        <v>0</v>
      </c>
      <c r="ALI220" s="5" t="s">
        <v>317</v>
      </c>
      <c r="ALJ220" s="2" t="s">
        <v>22</v>
      </c>
      <c r="ALK220" s="53" t="s">
        <v>334</v>
      </c>
      <c r="ALL220" s="2" t="s">
        <v>513</v>
      </c>
      <c r="ALM220" s="2" t="s">
        <v>25</v>
      </c>
      <c r="ALN220" s="2" t="s">
        <v>393</v>
      </c>
      <c r="ALO220" s="7">
        <v>-74.044305502618698</v>
      </c>
      <c r="ALP220" s="7">
        <v>4.6804459478222702</v>
      </c>
      <c r="ALQ220" s="2" t="s">
        <v>357</v>
      </c>
      <c r="ALR220" s="2" t="s">
        <v>63</v>
      </c>
      <c r="ALS220" s="2" t="s">
        <v>83</v>
      </c>
      <c r="ALT220" s="2" t="s">
        <v>63</v>
      </c>
      <c r="ALU220" s="24">
        <v>434</v>
      </c>
      <c r="ALV220" s="5">
        <v>46174</v>
      </c>
      <c r="ALW220" s="5">
        <v>46174</v>
      </c>
      <c r="ALX220" s="30">
        <f t="shared" ref="ALX220" si="89">ALW220-ALV220</f>
        <v>0</v>
      </c>
      <c r="ALY220" s="5" t="s">
        <v>317</v>
      </c>
      <c r="ALZ220" s="2" t="s">
        <v>22</v>
      </c>
      <c r="AMA220" s="53" t="s">
        <v>334</v>
      </c>
      <c r="AMB220" s="2" t="s">
        <v>513</v>
      </c>
      <c r="AMC220" s="2" t="s">
        <v>25</v>
      </c>
      <c r="AMD220" s="2" t="s">
        <v>393</v>
      </c>
      <c r="AME220" s="7">
        <v>-74.044305502618698</v>
      </c>
      <c r="AMF220" s="7">
        <v>4.6804459478222702</v>
      </c>
      <c r="AMG220" s="2" t="s">
        <v>357</v>
      </c>
      <c r="AMH220" s="2" t="s">
        <v>63</v>
      </c>
      <c r="AMI220" s="2" t="s">
        <v>83</v>
      </c>
      <c r="AMJ220" s="2" t="s">
        <v>63</v>
      </c>
      <c r="AMK220" s="24">
        <v>434</v>
      </c>
      <c r="AML220" s="5">
        <v>46174</v>
      </c>
      <c r="AMM220" s="5">
        <v>46174</v>
      </c>
      <c r="AMN220" s="30">
        <f t="shared" ref="AMN220" si="90">AMM220-AML220</f>
        <v>0</v>
      </c>
      <c r="AMO220" s="5" t="s">
        <v>317</v>
      </c>
      <c r="AMP220" s="2" t="s">
        <v>22</v>
      </c>
      <c r="AMQ220" s="53" t="s">
        <v>334</v>
      </c>
      <c r="AMR220" s="2" t="s">
        <v>513</v>
      </c>
      <c r="AMS220" s="2" t="s">
        <v>25</v>
      </c>
      <c r="AMT220" s="2" t="s">
        <v>393</v>
      </c>
      <c r="AMU220" s="7">
        <v>-74.044305502618698</v>
      </c>
      <c r="AMV220" s="7">
        <v>4.6804459478222702</v>
      </c>
      <c r="AMW220" s="2" t="s">
        <v>357</v>
      </c>
      <c r="AMX220" s="2" t="s">
        <v>63</v>
      </c>
      <c r="AMY220" s="2" t="s">
        <v>83</v>
      </c>
      <c r="AMZ220" s="2" t="s">
        <v>63</v>
      </c>
      <c r="ANA220" s="24">
        <v>434</v>
      </c>
      <c r="ANB220" s="5">
        <v>46174</v>
      </c>
      <c r="ANC220" s="5">
        <v>46174</v>
      </c>
      <c r="AND220" s="30">
        <f t="shared" ref="AND220" si="91">ANC220-ANB220</f>
        <v>0</v>
      </c>
      <c r="ANE220" s="5" t="s">
        <v>317</v>
      </c>
      <c r="ANF220" s="2" t="s">
        <v>22</v>
      </c>
      <c r="ANG220" s="53" t="s">
        <v>334</v>
      </c>
      <c r="ANH220" s="2" t="s">
        <v>513</v>
      </c>
      <c r="ANI220" s="2" t="s">
        <v>25</v>
      </c>
      <c r="ANJ220" s="2" t="s">
        <v>393</v>
      </c>
      <c r="ANK220" s="7">
        <v>-74.044305502618698</v>
      </c>
      <c r="ANL220" s="7">
        <v>4.6804459478222702</v>
      </c>
      <c r="ANM220" s="2" t="s">
        <v>357</v>
      </c>
      <c r="ANN220" s="2" t="s">
        <v>63</v>
      </c>
      <c r="ANO220" s="2" t="s">
        <v>83</v>
      </c>
      <c r="ANP220" s="2" t="s">
        <v>63</v>
      </c>
      <c r="ANQ220" s="24">
        <v>434</v>
      </c>
      <c r="ANR220" s="5">
        <v>46174</v>
      </c>
      <c r="ANS220" s="5">
        <v>46174</v>
      </c>
      <c r="ANT220" s="30">
        <f t="shared" ref="ANT220" si="92">ANS220-ANR220</f>
        <v>0</v>
      </c>
      <c r="ANU220" s="5" t="s">
        <v>317</v>
      </c>
      <c r="ANV220" s="2" t="s">
        <v>22</v>
      </c>
      <c r="ANW220" s="53" t="s">
        <v>334</v>
      </c>
      <c r="ANX220" s="2" t="s">
        <v>513</v>
      </c>
      <c r="ANY220" s="2" t="s">
        <v>25</v>
      </c>
      <c r="ANZ220" s="2" t="s">
        <v>393</v>
      </c>
      <c r="AOA220" s="7">
        <v>-74.044305502618698</v>
      </c>
      <c r="AOB220" s="7">
        <v>4.6804459478222702</v>
      </c>
      <c r="AOC220" s="2" t="s">
        <v>357</v>
      </c>
      <c r="AOD220" s="2" t="s">
        <v>63</v>
      </c>
      <c r="AOE220" s="2" t="s">
        <v>83</v>
      </c>
      <c r="AOF220" s="2" t="s">
        <v>63</v>
      </c>
      <c r="AOG220" s="24">
        <v>434</v>
      </c>
      <c r="AOH220" s="5">
        <v>46174</v>
      </c>
      <c r="AOI220" s="5">
        <v>46174</v>
      </c>
      <c r="AOJ220" s="30">
        <f t="shared" ref="AOJ220" si="93">AOI220-AOH220</f>
        <v>0</v>
      </c>
      <c r="AOK220" s="5" t="s">
        <v>317</v>
      </c>
      <c r="AOL220" s="2" t="s">
        <v>22</v>
      </c>
      <c r="AOM220" s="53" t="s">
        <v>334</v>
      </c>
      <c r="AON220" s="2" t="s">
        <v>513</v>
      </c>
      <c r="AOO220" s="2" t="s">
        <v>25</v>
      </c>
      <c r="AOP220" s="2" t="s">
        <v>393</v>
      </c>
      <c r="AOQ220" s="7">
        <v>-74.044305502618698</v>
      </c>
      <c r="AOR220" s="7">
        <v>4.6804459478222702</v>
      </c>
      <c r="AOS220" s="2" t="s">
        <v>357</v>
      </c>
      <c r="AOT220" s="2" t="s">
        <v>63</v>
      </c>
      <c r="AOU220" s="2" t="s">
        <v>83</v>
      </c>
      <c r="AOV220" s="2" t="s">
        <v>63</v>
      </c>
      <c r="AOW220" s="24">
        <v>434</v>
      </c>
      <c r="AOX220" s="5">
        <v>46174</v>
      </c>
      <c r="AOY220" s="5">
        <v>46174</v>
      </c>
      <c r="AOZ220" s="30">
        <f t="shared" ref="AOZ220" si="94">AOY220-AOX220</f>
        <v>0</v>
      </c>
      <c r="APA220" s="5" t="s">
        <v>317</v>
      </c>
      <c r="APB220" s="2" t="s">
        <v>22</v>
      </c>
      <c r="APC220" s="53" t="s">
        <v>334</v>
      </c>
      <c r="APD220" s="2" t="s">
        <v>513</v>
      </c>
      <c r="APE220" s="2" t="s">
        <v>25</v>
      </c>
      <c r="APF220" s="2" t="s">
        <v>393</v>
      </c>
      <c r="APG220" s="7">
        <v>-74.044305502618698</v>
      </c>
      <c r="APH220" s="7">
        <v>4.6804459478222702</v>
      </c>
      <c r="API220" s="2" t="s">
        <v>357</v>
      </c>
      <c r="APJ220" s="2" t="s">
        <v>63</v>
      </c>
      <c r="APK220" s="2" t="s">
        <v>83</v>
      </c>
      <c r="APL220" s="2" t="s">
        <v>63</v>
      </c>
      <c r="APM220" s="24">
        <v>434</v>
      </c>
      <c r="APN220" s="5">
        <v>46174</v>
      </c>
      <c r="APO220" s="5">
        <v>46174</v>
      </c>
      <c r="APP220" s="30">
        <f t="shared" ref="APP220" si="95">APO220-APN220</f>
        <v>0</v>
      </c>
      <c r="APQ220" s="5" t="s">
        <v>317</v>
      </c>
      <c r="APR220" s="2" t="s">
        <v>22</v>
      </c>
      <c r="APS220" s="53" t="s">
        <v>334</v>
      </c>
      <c r="APT220" s="2" t="s">
        <v>513</v>
      </c>
      <c r="APU220" s="2" t="s">
        <v>25</v>
      </c>
      <c r="APV220" s="2" t="s">
        <v>393</v>
      </c>
      <c r="APW220" s="7">
        <v>-74.044305502618698</v>
      </c>
      <c r="APX220" s="7">
        <v>4.6804459478222702</v>
      </c>
      <c r="APY220" s="2" t="s">
        <v>357</v>
      </c>
      <c r="APZ220" s="2" t="s">
        <v>63</v>
      </c>
      <c r="AQA220" s="2" t="s">
        <v>83</v>
      </c>
      <c r="AQB220" s="2" t="s">
        <v>63</v>
      </c>
      <c r="AQC220" s="24">
        <v>434</v>
      </c>
      <c r="AQD220" s="5">
        <v>46174</v>
      </c>
      <c r="AQE220" s="5">
        <v>46174</v>
      </c>
      <c r="AQF220" s="30">
        <f t="shared" ref="AQF220" si="96">AQE220-AQD220</f>
        <v>0</v>
      </c>
      <c r="AQG220" s="5" t="s">
        <v>317</v>
      </c>
      <c r="AQH220" s="2" t="s">
        <v>22</v>
      </c>
      <c r="AQI220" s="53" t="s">
        <v>334</v>
      </c>
      <c r="AQJ220" s="2" t="s">
        <v>513</v>
      </c>
      <c r="AQK220" s="2" t="s">
        <v>25</v>
      </c>
      <c r="AQL220" s="2" t="s">
        <v>393</v>
      </c>
      <c r="AQM220" s="7">
        <v>-74.044305502618698</v>
      </c>
      <c r="AQN220" s="7">
        <v>4.6804459478222702</v>
      </c>
      <c r="AQO220" s="2" t="s">
        <v>357</v>
      </c>
      <c r="AQP220" s="2" t="s">
        <v>63</v>
      </c>
      <c r="AQQ220" s="2" t="s">
        <v>83</v>
      </c>
      <c r="AQR220" s="2" t="s">
        <v>63</v>
      </c>
      <c r="AQS220" s="24">
        <v>434</v>
      </c>
      <c r="AQT220" s="5">
        <v>46174</v>
      </c>
      <c r="AQU220" s="5">
        <v>46174</v>
      </c>
      <c r="AQV220" s="30">
        <f t="shared" ref="AQV220" si="97">AQU220-AQT220</f>
        <v>0</v>
      </c>
      <c r="AQW220" s="5" t="s">
        <v>317</v>
      </c>
      <c r="AQX220" s="2" t="s">
        <v>22</v>
      </c>
      <c r="AQY220" s="53" t="s">
        <v>334</v>
      </c>
      <c r="AQZ220" s="2" t="s">
        <v>513</v>
      </c>
      <c r="ARA220" s="2" t="s">
        <v>25</v>
      </c>
      <c r="ARB220" s="2" t="s">
        <v>393</v>
      </c>
      <c r="ARC220" s="7">
        <v>-74.044305502618698</v>
      </c>
      <c r="ARD220" s="7">
        <v>4.6804459478222702</v>
      </c>
      <c r="ARE220" s="2" t="s">
        <v>357</v>
      </c>
      <c r="ARF220" s="2" t="s">
        <v>63</v>
      </c>
      <c r="ARG220" s="2" t="s">
        <v>83</v>
      </c>
      <c r="ARH220" s="2" t="s">
        <v>63</v>
      </c>
      <c r="ARI220" s="24">
        <v>434</v>
      </c>
      <c r="ARJ220" s="5">
        <v>46174</v>
      </c>
      <c r="ARK220" s="5">
        <v>46174</v>
      </c>
      <c r="ARL220" s="30">
        <f t="shared" ref="ARL220" si="98">ARK220-ARJ220</f>
        <v>0</v>
      </c>
      <c r="ARM220" s="5" t="s">
        <v>317</v>
      </c>
      <c r="ARN220" s="2" t="s">
        <v>22</v>
      </c>
      <c r="ARO220" s="53" t="s">
        <v>334</v>
      </c>
      <c r="ARP220" s="2" t="s">
        <v>513</v>
      </c>
      <c r="ARQ220" s="2" t="s">
        <v>25</v>
      </c>
      <c r="ARR220" s="2" t="s">
        <v>393</v>
      </c>
      <c r="ARS220" s="7">
        <v>-74.044305502618698</v>
      </c>
      <c r="ART220" s="7">
        <v>4.6804459478222702</v>
      </c>
      <c r="ARU220" s="2" t="s">
        <v>357</v>
      </c>
      <c r="ARV220" s="2" t="s">
        <v>63</v>
      </c>
      <c r="ARW220" s="2" t="s">
        <v>83</v>
      </c>
      <c r="ARX220" s="2" t="s">
        <v>63</v>
      </c>
      <c r="ARY220" s="24">
        <v>434</v>
      </c>
      <c r="ARZ220" s="5">
        <v>46174</v>
      </c>
      <c r="ASA220" s="5">
        <v>46174</v>
      </c>
      <c r="ASB220" s="30">
        <f t="shared" ref="ASB220" si="99">ASA220-ARZ220</f>
        <v>0</v>
      </c>
      <c r="ASC220" s="5" t="s">
        <v>317</v>
      </c>
      <c r="ASD220" s="2" t="s">
        <v>22</v>
      </c>
      <c r="ASE220" s="53" t="s">
        <v>334</v>
      </c>
      <c r="ASF220" s="2" t="s">
        <v>513</v>
      </c>
      <c r="ASG220" s="2" t="s">
        <v>25</v>
      </c>
      <c r="ASH220" s="2" t="s">
        <v>393</v>
      </c>
      <c r="ASI220" s="7">
        <v>-74.044305502618698</v>
      </c>
      <c r="ASJ220" s="7">
        <v>4.6804459478222702</v>
      </c>
      <c r="ASK220" s="2" t="s">
        <v>357</v>
      </c>
      <c r="ASL220" s="2" t="s">
        <v>63</v>
      </c>
      <c r="ASM220" s="2" t="s">
        <v>83</v>
      </c>
      <c r="ASN220" s="2" t="s">
        <v>63</v>
      </c>
      <c r="ASO220" s="24">
        <v>434</v>
      </c>
      <c r="ASP220" s="5">
        <v>46174</v>
      </c>
      <c r="ASQ220" s="5">
        <v>46174</v>
      </c>
      <c r="ASR220" s="30">
        <f t="shared" ref="ASR220" si="100">ASQ220-ASP220</f>
        <v>0</v>
      </c>
      <c r="ASS220" s="5" t="s">
        <v>317</v>
      </c>
      <c r="AST220" s="2" t="s">
        <v>22</v>
      </c>
      <c r="ASU220" s="53" t="s">
        <v>334</v>
      </c>
      <c r="ASV220" s="2" t="s">
        <v>513</v>
      </c>
      <c r="ASW220" s="2" t="s">
        <v>25</v>
      </c>
      <c r="ASX220" s="2" t="s">
        <v>393</v>
      </c>
      <c r="ASY220" s="7">
        <v>-74.044305502618698</v>
      </c>
      <c r="ASZ220" s="7">
        <v>4.6804459478222702</v>
      </c>
      <c r="ATA220" s="2" t="s">
        <v>357</v>
      </c>
      <c r="ATB220" s="2" t="s">
        <v>63</v>
      </c>
      <c r="ATC220" s="2" t="s">
        <v>83</v>
      </c>
      <c r="ATD220" s="2" t="s">
        <v>63</v>
      </c>
      <c r="ATE220" s="24">
        <v>434</v>
      </c>
      <c r="ATF220" s="5">
        <v>46174</v>
      </c>
      <c r="ATG220" s="5">
        <v>46174</v>
      </c>
      <c r="ATH220" s="30">
        <f t="shared" ref="ATH220" si="101">ATG220-ATF220</f>
        <v>0</v>
      </c>
      <c r="ATI220" s="5" t="s">
        <v>317</v>
      </c>
      <c r="ATJ220" s="2" t="s">
        <v>22</v>
      </c>
      <c r="ATK220" s="53" t="s">
        <v>334</v>
      </c>
      <c r="ATL220" s="2" t="s">
        <v>513</v>
      </c>
      <c r="ATM220" s="2" t="s">
        <v>25</v>
      </c>
      <c r="ATN220" s="2" t="s">
        <v>393</v>
      </c>
      <c r="ATO220" s="7">
        <v>-74.044305502618698</v>
      </c>
      <c r="ATP220" s="7">
        <v>4.6804459478222702</v>
      </c>
      <c r="ATQ220" s="2" t="s">
        <v>357</v>
      </c>
      <c r="ATR220" s="2" t="s">
        <v>63</v>
      </c>
      <c r="ATS220" s="2" t="s">
        <v>83</v>
      </c>
      <c r="ATT220" s="2" t="s">
        <v>63</v>
      </c>
      <c r="ATU220" s="24">
        <v>434</v>
      </c>
      <c r="ATV220" s="5">
        <v>46174</v>
      </c>
      <c r="ATW220" s="5">
        <v>46174</v>
      </c>
      <c r="ATX220" s="30">
        <f t="shared" ref="ATX220" si="102">ATW220-ATV220</f>
        <v>0</v>
      </c>
      <c r="ATY220" s="5" t="s">
        <v>317</v>
      </c>
      <c r="ATZ220" s="2" t="s">
        <v>22</v>
      </c>
      <c r="AUA220" s="53" t="s">
        <v>334</v>
      </c>
      <c r="AUB220" s="2" t="s">
        <v>513</v>
      </c>
      <c r="AUC220" s="2" t="s">
        <v>25</v>
      </c>
      <c r="AUD220" s="2" t="s">
        <v>393</v>
      </c>
      <c r="AUE220" s="7">
        <v>-74.044305502618698</v>
      </c>
      <c r="AUF220" s="7">
        <v>4.6804459478222702</v>
      </c>
      <c r="AUG220" s="2" t="s">
        <v>357</v>
      </c>
      <c r="AUH220" s="2" t="s">
        <v>63</v>
      </c>
      <c r="AUI220" s="2" t="s">
        <v>83</v>
      </c>
      <c r="AUJ220" s="2" t="s">
        <v>63</v>
      </c>
      <c r="AUK220" s="24">
        <v>434</v>
      </c>
      <c r="AUL220" s="5">
        <v>46174</v>
      </c>
      <c r="AUM220" s="5">
        <v>46174</v>
      </c>
      <c r="AUN220" s="30">
        <f t="shared" ref="AUN220" si="103">AUM220-AUL220</f>
        <v>0</v>
      </c>
      <c r="AUO220" s="5" t="s">
        <v>317</v>
      </c>
      <c r="AUP220" s="2" t="s">
        <v>22</v>
      </c>
      <c r="AUQ220" s="53" t="s">
        <v>334</v>
      </c>
      <c r="AUR220" s="2" t="s">
        <v>513</v>
      </c>
      <c r="AUS220" s="2" t="s">
        <v>25</v>
      </c>
      <c r="AUT220" s="2" t="s">
        <v>393</v>
      </c>
      <c r="AUU220" s="7">
        <v>-74.044305502618698</v>
      </c>
      <c r="AUV220" s="7">
        <v>4.6804459478222702</v>
      </c>
      <c r="AUW220" s="2" t="s">
        <v>357</v>
      </c>
      <c r="AUX220" s="2" t="s">
        <v>63</v>
      </c>
      <c r="AUY220" s="2" t="s">
        <v>83</v>
      </c>
      <c r="AUZ220" s="2" t="s">
        <v>63</v>
      </c>
      <c r="AVA220" s="24">
        <v>434</v>
      </c>
      <c r="AVB220" s="5">
        <v>46174</v>
      </c>
      <c r="AVC220" s="5">
        <v>46174</v>
      </c>
      <c r="AVD220" s="30">
        <f t="shared" ref="AVD220" si="104">AVC220-AVB220</f>
        <v>0</v>
      </c>
      <c r="AVE220" s="5" t="s">
        <v>317</v>
      </c>
      <c r="AVF220" s="2" t="s">
        <v>22</v>
      </c>
      <c r="AVG220" s="53" t="s">
        <v>334</v>
      </c>
      <c r="AVH220" s="2" t="s">
        <v>513</v>
      </c>
      <c r="AVI220" s="2" t="s">
        <v>25</v>
      </c>
      <c r="AVJ220" s="2" t="s">
        <v>393</v>
      </c>
      <c r="AVK220" s="7">
        <v>-74.044305502618698</v>
      </c>
      <c r="AVL220" s="7">
        <v>4.6804459478222702</v>
      </c>
      <c r="AVM220" s="2" t="s">
        <v>357</v>
      </c>
      <c r="AVN220" s="2" t="s">
        <v>63</v>
      </c>
      <c r="AVO220" s="2" t="s">
        <v>83</v>
      </c>
      <c r="AVP220" s="2" t="s">
        <v>63</v>
      </c>
      <c r="AVQ220" s="24">
        <v>434</v>
      </c>
      <c r="AVR220" s="5">
        <v>46174</v>
      </c>
      <c r="AVS220" s="5">
        <v>46174</v>
      </c>
      <c r="AVT220" s="30">
        <f t="shared" ref="AVT220" si="105">AVS220-AVR220</f>
        <v>0</v>
      </c>
      <c r="AVU220" s="5" t="s">
        <v>317</v>
      </c>
      <c r="AVV220" s="2" t="s">
        <v>22</v>
      </c>
      <c r="AVW220" s="53" t="s">
        <v>334</v>
      </c>
      <c r="AVX220" s="2" t="s">
        <v>513</v>
      </c>
      <c r="AVY220" s="2" t="s">
        <v>25</v>
      </c>
      <c r="AVZ220" s="2" t="s">
        <v>393</v>
      </c>
      <c r="AWA220" s="7">
        <v>-74.044305502618698</v>
      </c>
      <c r="AWB220" s="7">
        <v>4.6804459478222702</v>
      </c>
      <c r="AWC220" s="2" t="s">
        <v>357</v>
      </c>
      <c r="AWD220" s="2" t="s">
        <v>63</v>
      </c>
      <c r="AWE220" s="2" t="s">
        <v>83</v>
      </c>
      <c r="AWF220" s="2" t="s">
        <v>63</v>
      </c>
      <c r="AWG220" s="24">
        <v>434</v>
      </c>
      <c r="AWH220" s="5">
        <v>46174</v>
      </c>
      <c r="AWI220" s="5">
        <v>46174</v>
      </c>
      <c r="AWJ220" s="30">
        <f t="shared" ref="AWJ220" si="106">AWI220-AWH220</f>
        <v>0</v>
      </c>
      <c r="AWK220" s="5" t="s">
        <v>317</v>
      </c>
      <c r="AWL220" s="2" t="s">
        <v>22</v>
      </c>
      <c r="AWM220" s="53" t="s">
        <v>334</v>
      </c>
      <c r="AWN220" s="2" t="s">
        <v>513</v>
      </c>
      <c r="AWO220" s="2" t="s">
        <v>25</v>
      </c>
      <c r="AWP220" s="2" t="s">
        <v>393</v>
      </c>
      <c r="AWQ220" s="7">
        <v>-74.044305502618698</v>
      </c>
      <c r="AWR220" s="7">
        <v>4.6804459478222702</v>
      </c>
      <c r="AWS220" s="2" t="s">
        <v>357</v>
      </c>
      <c r="AWT220" s="2" t="s">
        <v>63</v>
      </c>
      <c r="AWU220" s="2" t="s">
        <v>83</v>
      </c>
      <c r="AWV220" s="2" t="s">
        <v>63</v>
      </c>
      <c r="AWW220" s="24">
        <v>434</v>
      </c>
      <c r="AWX220" s="5">
        <v>46174</v>
      </c>
      <c r="AWY220" s="5">
        <v>46174</v>
      </c>
      <c r="AWZ220" s="30">
        <f t="shared" ref="AWZ220" si="107">AWY220-AWX220</f>
        <v>0</v>
      </c>
      <c r="AXA220" s="5" t="s">
        <v>317</v>
      </c>
      <c r="AXB220" s="2" t="s">
        <v>22</v>
      </c>
      <c r="AXC220" s="53" t="s">
        <v>334</v>
      </c>
      <c r="AXD220" s="2" t="s">
        <v>513</v>
      </c>
      <c r="AXE220" s="2" t="s">
        <v>25</v>
      </c>
      <c r="AXF220" s="2" t="s">
        <v>393</v>
      </c>
      <c r="AXG220" s="7">
        <v>-74.044305502618698</v>
      </c>
      <c r="AXH220" s="7">
        <v>4.6804459478222702</v>
      </c>
      <c r="AXI220" s="2" t="s">
        <v>357</v>
      </c>
      <c r="AXJ220" s="2" t="s">
        <v>63</v>
      </c>
      <c r="AXK220" s="2" t="s">
        <v>83</v>
      </c>
      <c r="AXL220" s="2" t="s">
        <v>63</v>
      </c>
      <c r="AXM220" s="24">
        <v>434</v>
      </c>
      <c r="AXN220" s="5">
        <v>46174</v>
      </c>
      <c r="AXO220" s="5">
        <v>46174</v>
      </c>
      <c r="AXP220" s="30">
        <f t="shared" ref="AXP220" si="108">AXO220-AXN220</f>
        <v>0</v>
      </c>
      <c r="AXQ220" s="5" t="s">
        <v>317</v>
      </c>
      <c r="AXR220" s="2" t="s">
        <v>22</v>
      </c>
      <c r="AXS220" s="53" t="s">
        <v>334</v>
      </c>
      <c r="AXT220" s="2" t="s">
        <v>513</v>
      </c>
      <c r="AXU220" s="2" t="s">
        <v>25</v>
      </c>
      <c r="AXV220" s="2" t="s">
        <v>393</v>
      </c>
      <c r="AXW220" s="7">
        <v>-74.044305502618698</v>
      </c>
      <c r="AXX220" s="7">
        <v>4.6804459478222702</v>
      </c>
      <c r="AXY220" s="2" t="s">
        <v>357</v>
      </c>
      <c r="AXZ220" s="2" t="s">
        <v>63</v>
      </c>
      <c r="AYA220" s="2" t="s">
        <v>83</v>
      </c>
      <c r="AYB220" s="2" t="s">
        <v>63</v>
      </c>
      <c r="AYC220" s="24">
        <v>434</v>
      </c>
      <c r="AYD220" s="5">
        <v>46174</v>
      </c>
      <c r="AYE220" s="5">
        <v>46174</v>
      </c>
      <c r="AYF220" s="30">
        <f t="shared" ref="AYF220" si="109">AYE220-AYD220</f>
        <v>0</v>
      </c>
      <c r="AYG220" s="5" t="s">
        <v>317</v>
      </c>
      <c r="AYH220" s="2" t="s">
        <v>22</v>
      </c>
      <c r="AYI220" s="53" t="s">
        <v>334</v>
      </c>
      <c r="AYJ220" s="2" t="s">
        <v>513</v>
      </c>
      <c r="AYK220" s="2" t="s">
        <v>25</v>
      </c>
      <c r="AYL220" s="2" t="s">
        <v>393</v>
      </c>
      <c r="AYM220" s="7">
        <v>-74.044305502618698</v>
      </c>
      <c r="AYN220" s="7">
        <v>4.6804459478222702</v>
      </c>
      <c r="AYO220" s="2" t="s">
        <v>357</v>
      </c>
      <c r="AYP220" s="2" t="s">
        <v>63</v>
      </c>
      <c r="AYQ220" s="2" t="s">
        <v>83</v>
      </c>
      <c r="AYR220" s="2" t="s">
        <v>63</v>
      </c>
      <c r="AYS220" s="24">
        <v>434</v>
      </c>
      <c r="AYT220" s="5">
        <v>46174</v>
      </c>
      <c r="AYU220" s="5">
        <v>46174</v>
      </c>
      <c r="AYV220" s="30">
        <f t="shared" ref="AYV220" si="110">AYU220-AYT220</f>
        <v>0</v>
      </c>
      <c r="AYW220" s="5" t="s">
        <v>317</v>
      </c>
      <c r="AYX220" s="2" t="s">
        <v>22</v>
      </c>
      <c r="AYY220" s="53" t="s">
        <v>334</v>
      </c>
      <c r="AYZ220" s="2" t="s">
        <v>513</v>
      </c>
      <c r="AZA220" s="2" t="s">
        <v>25</v>
      </c>
      <c r="AZB220" s="2" t="s">
        <v>393</v>
      </c>
      <c r="AZC220" s="7">
        <v>-74.044305502618698</v>
      </c>
      <c r="AZD220" s="7">
        <v>4.6804459478222702</v>
      </c>
      <c r="AZE220" s="2" t="s">
        <v>357</v>
      </c>
      <c r="AZF220" s="2" t="s">
        <v>63</v>
      </c>
      <c r="AZG220" s="2" t="s">
        <v>83</v>
      </c>
      <c r="AZH220" s="2" t="s">
        <v>63</v>
      </c>
      <c r="AZI220" s="24">
        <v>434</v>
      </c>
      <c r="AZJ220" s="5">
        <v>46174</v>
      </c>
      <c r="AZK220" s="5">
        <v>46174</v>
      </c>
      <c r="AZL220" s="30">
        <f t="shared" ref="AZL220" si="111">AZK220-AZJ220</f>
        <v>0</v>
      </c>
      <c r="AZM220" s="5" t="s">
        <v>317</v>
      </c>
      <c r="AZN220" s="2" t="s">
        <v>22</v>
      </c>
      <c r="AZO220" s="53" t="s">
        <v>334</v>
      </c>
      <c r="AZP220" s="2" t="s">
        <v>513</v>
      </c>
      <c r="AZQ220" s="2" t="s">
        <v>25</v>
      </c>
      <c r="AZR220" s="2" t="s">
        <v>393</v>
      </c>
      <c r="AZS220" s="7">
        <v>-74.044305502618698</v>
      </c>
      <c r="AZT220" s="7">
        <v>4.6804459478222702</v>
      </c>
      <c r="AZU220" s="2" t="s">
        <v>357</v>
      </c>
      <c r="AZV220" s="2" t="s">
        <v>63</v>
      </c>
      <c r="AZW220" s="2" t="s">
        <v>83</v>
      </c>
      <c r="AZX220" s="2" t="s">
        <v>63</v>
      </c>
      <c r="AZY220" s="24">
        <v>434</v>
      </c>
      <c r="AZZ220" s="5">
        <v>46174</v>
      </c>
      <c r="BAA220" s="5">
        <v>46174</v>
      </c>
      <c r="BAB220" s="30">
        <f t="shared" ref="BAB220" si="112">BAA220-AZZ220</f>
        <v>0</v>
      </c>
      <c r="BAC220" s="5" t="s">
        <v>317</v>
      </c>
      <c r="BAD220" s="2" t="s">
        <v>22</v>
      </c>
      <c r="BAE220" s="53" t="s">
        <v>334</v>
      </c>
      <c r="BAF220" s="2" t="s">
        <v>513</v>
      </c>
      <c r="BAG220" s="2" t="s">
        <v>25</v>
      </c>
      <c r="BAH220" s="2" t="s">
        <v>393</v>
      </c>
      <c r="BAI220" s="7">
        <v>-74.044305502618698</v>
      </c>
      <c r="BAJ220" s="7">
        <v>4.6804459478222702</v>
      </c>
      <c r="BAK220" s="2" t="s">
        <v>357</v>
      </c>
      <c r="BAL220" s="2" t="s">
        <v>63</v>
      </c>
      <c r="BAM220" s="2" t="s">
        <v>83</v>
      </c>
      <c r="BAN220" s="2" t="s">
        <v>63</v>
      </c>
      <c r="BAO220" s="24">
        <v>434</v>
      </c>
      <c r="BAP220" s="5">
        <v>46174</v>
      </c>
      <c r="BAQ220" s="5">
        <v>46174</v>
      </c>
      <c r="BAR220" s="30">
        <f t="shared" ref="BAR220" si="113">BAQ220-BAP220</f>
        <v>0</v>
      </c>
      <c r="BAS220" s="5" t="s">
        <v>317</v>
      </c>
      <c r="BAT220" s="2" t="s">
        <v>22</v>
      </c>
      <c r="BAU220" s="53" t="s">
        <v>334</v>
      </c>
      <c r="BAV220" s="2" t="s">
        <v>513</v>
      </c>
      <c r="BAW220" s="2" t="s">
        <v>25</v>
      </c>
      <c r="BAX220" s="2" t="s">
        <v>393</v>
      </c>
      <c r="BAY220" s="7">
        <v>-74.044305502618698</v>
      </c>
      <c r="BAZ220" s="7">
        <v>4.6804459478222702</v>
      </c>
      <c r="BBA220" s="2" t="s">
        <v>357</v>
      </c>
      <c r="BBB220" s="2" t="s">
        <v>63</v>
      </c>
      <c r="BBC220" s="2" t="s">
        <v>83</v>
      </c>
      <c r="BBD220" s="2" t="s">
        <v>63</v>
      </c>
      <c r="BBE220" s="24">
        <v>434</v>
      </c>
      <c r="BBF220" s="5">
        <v>46174</v>
      </c>
      <c r="BBG220" s="5">
        <v>46174</v>
      </c>
      <c r="BBH220" s="30">
        <f t="shared" ref="BBH220" si="114">BBG220-BBF220</f>
        <v>0</v>
      </c>
      <c r="BBI220" s="5" t="s">
        <v>317</v>
      </c>
      <c r="BBJ220" s="2" t="s">
        <v>22</v>
      </c>
      <c r="BBK220" s="53" t="s">
        <v>334</v>
      </c>
      <c r="BBL220" s="2" t="s">
        <v>513</v>
      </c>
      <c r="BBM220" s="2" t="s">
        <v>25</v>
      </c>
      <c r="BBN220" s="2" t="s">
        <v>393</v>
      </c>
      <c r="BBO220" s="7">
        <v>-74.044305502618698</v>
      </c>
      <c r="BBP220" s="7">
        <v>4.6804459478222702</v>
      </c>
      <c r="BBQ220" s="2" t="s">
        <v>357</v>
      </c>
      <c r="BBR220" s="2" t="s">
        <v>63</v>
      </c>
      <c r="BBS220" s="2" t="s">
        <v>83</v>
      </c>
      <c r="BBT220" s="2" t="s">
        <v>63</v>
      </c>
      <c r="BBU220" s="24">
        <v>434</v>
      </c>
      <c r="BBV220" s="5">
        <v>46174</v>
      </c>
      <c r="BBW220" s="5">
        <v>46174</v>
      </c>
      <c r="BBX220" s="30">
        <f t="shared" ref="BBX220" si="115">BBW220-BBV220</f>
        <v>0</v>
      </c>
      <c r="BBY220" s="5" t="s">
        <v>317</v>
      </c>
      <c r="BBZ220" s="2" t="s">
        <v>22</v>
      </c>
      <c r="BCA220" s="53" t="s">
        <v>334</v>
      </c>
      <c r="BCB220" s="2" t="s">
        <v>513</v>
      </c>
      <c r="BCC220" s="2" t="s">
        <v>25</v>
      </c>
      <c r="BCD220" s="2" t="s">
        <v>393</v>
      </c>
      <c r="BCE220" s="7">
        <v>-74.044305502618698</v>
      </c>
      <c r="BCF220" s="7">
        <v>4.6804459478222702</v>
      </c>
      <c r="BCG220" s="2" t="s">
        <v>357</v>
      </c>
      <c r="BCH220" s="2" t="s">
        <v>63</v>
      </c>
      <c r="BCI220" s="2" t="s">
        <v>83</v>
      </c>
      <c r="BCJ220" s="2" t="s">
        <v>63</v>
      </c>
      <c r="BCK220" s="24">
        <v>434</v>
      </c>
      <c r="BCL220" s="5">
        <v>46174</v>
      </c>
      <c r="BCM220" s="5">
        <v>46174</v>
      </c>
      <c r="BCN220" s="30">
        <f t="shared" ref="BCN220" si="116">BCM220-BCL220</f>
        <v>0</v>
      </c>
      <c r="BCO220" s="5" t="s">
        <v>317</v>
      </c>
      <c r="BCP220" s="2" t="s">
        <v>22</v>
      </c>
      <c r="BCQ220" s="53" t="s">
        <v>334</v>
      </c>
      <c r="BCR220" s="2" t="s">
        <v>513</v>
      </c>
      <c r="BCS220" s="2" t="s">
        <v>25</v>
      </c>
      <c r="BCT220" s="2" t="s">
        <v>393</v>
      </c>
      <c r="BCU220" s="7">
        <v>-74.044305502618698</v>
      </c>
      <c r="BCV220" s="7">
        <v>4.6804459478222702</v>
      </c>
      <c r="BCW220" s="2" t="s">
        <v>357</v>
      </c>
      <c r="BCX220" s="2" t="s">
        <v>63</v>
      </c>
      <c r="BCY220" s="2" t="s">
        <v>83</v>
      </c>
      <c r="BCZ220" s="2" t="s">
        <v>63</v>
      </c>
      <c r="BDA220" s="24">
        <v>434</v>
      </c>
      <c r="BDB220" s="5">
        <v>46174</v>
      </c>
      <c r="BDC220" s="5">
        <v>46174</v>
      </c>
      <c r="BDD220" s="30">
        <f t="shared" ref="BDD220" si="117">BDC220-BDB220</f>
        <v>0</v>
      </c>
      <c r="BDE220" s="5" t="s">
        <v>317</v>
      </c>
      <c r="BDF220" s="2" t="s">
        <v>22</v>
      </c>
      <c r="BDG220" s="53" t="s">
        <v>334</v>
      </c>
      <c r="BDH220" s="2" t="s">
        <v>513</v>
      </c>
      <c r="BDI220" s="2" t="s">
        <v>25</v>
      </c>
      <c r="BDJ220" s="2" t="s">
        <v>393</v>
      </c>
      <c r="BDK220" s="7">
        <v>-74.044305502618698</v>
      </c>
      <c r="BDL220" s="7">
        <v>4.6804459478222702</v>
      </c>
      <c r="BDM220" s="2" t="s">
        <v>357</v>
      </c>
      <c r="BDN220" s="2" t="s">
        <v>63</v>
      </c>
      <c r="BDO220" s="2" t="s">
        <v>83</v>
      </c>
      <c r="BDP220" s="2" t="s">
        <v>63</v>
      </c>
      <c r="BDQ220" s="24">
        <v>434</v>
      </c>
      <c r="BDR220" s="5">
        <v>46174</v>
      </c>
      <c r="BDS220" s="5">
        <v>46174</v>
      </c>
      <c r="BDT220" s="30">
        <f t="shared" ref="BDT220" si="118">BDS220-BDR220</f>
        <v>0</v>
      </c>
      <c r="BDU220" s="5" t="s">
        <v>317</v>
      </c>
      <c r="BDV220" s="2" t="s">
        <v>22</v>
      </c>
      <c r="BDW220" s="53" t="s">
        <v>334</v>
      </c>
      <c r="BDX220" s="2" t="s">
        <v>513</v>
      </c>
      <c r="BDY220" s="2" t="s">
        <v>25</v>
      </c>
      <c r="BDZ220" s="2" t="s">
        <v>393</v>
      </c>
      <c r="BEA220" s="7">
        <v>-74.044305502618698</v>
      </c>
      <c r="BEB220" s="7">
        <v>4.6804459478222702</v>
      </c>
      <c r="BEC220" s="2" t="s">
        <v>357</v>
      </c>
      <c r="BED220" s="2" t="s">
        <v>63</v>
      </c>
      <c r="BEE220" s="2" t="s">
        <v>83</v>
      </c>
      <c r="BEF220" s="2" t="s">
        <v>63</v>
      </c>
      <c r="BEG220" s="24">
        <v>434</v>
      </c>
      <c r="BEH220" s="5">
        <v>46174</v>
      </c>
      <c r="BEI220" s="5">
        <v>46174</v>
      </c>
      <c r="BEJ220" s="30">
        <f t="shared" ref="BEJ220" si="119">BEI220-BEH220</f>
        <v>0</v>
      </c>
      <c r="BEK220" s="5" t="s">
        <v>317</v>
      </c>
      <c r="BEL220" s="2" t="s">
        <v>22</v>
      </c>
      <c r="BEM220" s="53" t="s">
        <v>334</v>
      </c>
      <c r="BEN220" s="2" t="s">
        <v>513</v>
      </c>
      <c r="BEO220" s="2" t="s">
        <v>25</v>
      </c>
      <c r="BEP220" s="2" t="s">
        <v>393</v>
      </c>
      <c r="BEQ220" s="7">
        <v>-74.044305502618698</v>
      </c>
      <c r="BER220" s="7">
        <v>4.6804459478222702</v>
      </c>
      <c r="BES220" s="2" t="s">
        <v>357</v>
      </c>
      <c r="BET220" s="2" t="s">
        <v>63</v>
      </c>
      <c r="BEU220" s="2" t="s">
        <v>83</v>
      </c>
      <c r="BEV220" s="2" t="s">
        <v>63</v>
      </c>
      <c r="BEW220" s="24">
        <v>434</v>
      </c>
      <c r="BEX220" s="5">
        <v>46174</v>
      </c>
      <c r="BEY220" s="5">
        <v>46174</v>
      </c>
      <c r="BEZ220" s="30">
        <f t="shared" ref="BEZ220" si="120">BEY220-BEX220</f>
        <v>0</v>
      </c>
      <c r="BFA220" s="5" t="s">
        <v>317</v>
      </c>
      <c r="BFB220" s="2" t="s">
        <v>22</v>
      </c>
      <c r="BFC220" s="53" t="s">
        <v>334</v>
      </c>
      <c r="BFD220" s="2" t="s">
        <v>513</v>
      </c>
      <c r="BFE220" s="2" t="s">
        <v>25</v>
      </c>
      <c r="BFF220" s="2" t="s">
        <v>393</v>
      </c>
      <c r="BFG220" s="7">
        <v>-74.044305502618698</v>
      </c>
      <c r="BFH220" s="7">
        <v>4.6804459478222702</v>
      </c>
      <c r="BFI220" s="2" t="s">
        <v>357</v>
      </c>
      <c r="BFJ220" s="2" t="s">
        <v>63</v>
      </c>
      <c r="BFK220" s="2" t="s">
        <v>83</v>
      </c>
      <c r="BFL220" s="2" t="s">
        <v>63</v>
      </c>
      <c r="BFM220" s="24">
        <v>434</v>
      </c>
      <c r="BFN220" s="5">
        <v>46174</v>
      </c>
      <c r="BFO220" s="5">
        <v>46174</v>
      </c>
      <c r="BFP220" s="30">
        <f t="shared" ref="BFP220" si="121">BFO220-BFN220</f>
        <v>0</v>
      </c>
      <c r="BFQ220" s="5" t="s">
        <v>317</v>
      </c>
      <c r="BFR220" s="2" t="s">
        <v>22</v>
      </c>
      <c r="BFS220" s="53" t="s">
        <v>334</v>
      </c>
      <c r="BFT220" s="2" t="s">
        <v>513</v>
      </c>
      <c r="BFU220" s="2" t="s">
        <v>25</v>
      </c>
      <c r="BFV220" s="2" t="s">
        <v>393</v>
      </c>
      <c r="BFW220" s="7">
        <v>-74.044305502618698</v>
      </c>
      <c r="BFX220" s="7">
        <v>4.6804459478222702</v>
      </c>
      <c r="BFY220" s="2" t="s">
        <v>357</v>
      </c>
      <c r="BFZ220" s="2" t="s">
        <v>63</v>
      </c>
      <c r="BGA220" s="2" t="s">
        <v>83</v>
      </c>
      <c r="BGB220" s="2" t="s">
        <v>63</v>
      </c>
      <c r="BGC220" s="24">
        <v>434</v>
      </c>
      <c r="BGD220" s="5">
        <v>46174</v>
      </c>
      <c r="BGE220" s="5">
        <v>46174</v>
      </c>
      <c r="BGF220" s="30">
        <f t="shared" ref="BGF220" si="122">BGE220-BGD220</f>
        <v>0</v>
      </c>
      <c r="BGG220" s="5" t="s">
        <v>317</v>
      </c>
      <c r="BGH220" s="2" t="s">
        <v>22</v>
      </c>
      <c r="BGI220" s="53" t="s">
        <v>334</v>
      </c>
      <c r="BGJ220" s="2" t="s">
        <v>513</v>
      </c>
      <c r="BGK220" s="2" t="s">
        <v>25</v>
      </c>
      <c r="BGL220" s="2" t="s">
        <v>393</v>
      </c>
      <c r="BGM220" s="7">
        <v>-74.044305502618698</v>
      </c>
      <c r="BGN220" s="7">
        <v>4.6804459478222702</v>
      </c>
      <c r="BGO220" s="2" t="s">
        <v>357</v>
      </c>
      <c r="BGP220" s="2" t="s">
        <v>63</v>
      </c>
      <c r="BGQ220" s="2" t="s">
        <v>83</v>
      </c>
      <c r="BGR220" s="2" t="s">
        <v>63</v>
      </c>
      <c r="BGS220" s="24">
        <v>434</v>
      </c>
      <c r="BGT220" s="5">
        <v>46174</v>
      </c>
      <c r="BGU220" s="5">
        <v>46174</v>
      </c>
      <c r="BGV220" s="30">
        <f t="shared" ref="BGV220" si="123">BGU220-BGT220</f>
        <v>0</v>
      </c>
      <c r="BGW220" s="5" t="s">
        <v>317</v>
      </c>
      <c r="BGX220" s="2" t="s">
        <v>22</v>
      </c>
      <c r="BGY220" s="53" t="s">
        <v>334</v>
      </c>
      <c r="BGZ220" s="2" t="s">
        <v>513</v>
      </c>
      <c r="BHA220" s="2" t="s">
        <v>25</v>
      </c>
      <c r="BHB220" s="2" t="s">
        <v>393</v>
      </c>
      <c r="BHC220" s="7">
        <v>-74.044305502618698</v>
      </c>
      <c r="BHD220" s="7">
        <v>4.6804459478222702</v>
      </c>
      <c r="BHE220" s="2" t="s">
        <v>357</v>
      </c>
      <c r="BHF220" s="2" t="s">
        <v>63</v>
      </c>
      <c r="BHG220" s="2" t="s">
        <v>83</v>
      </c>
      <c r="BHH220" s="2" t="s">
        <v>63</v>
      </c>
      <c r="BHI220" s="24">
        <v>434</v>
      </c>
      <c r="BHJ220" s="5">
        <v>46174</v>
      </c>
      <c r="BHK220" s="5">
        <v>46174</v>
      </c>
      <c r="BHL220" s="30">
        <f t="shared" ref="BHL220" si="124">BHK220-BHJ220</f>
        <v>0</v>
      </c>
      <c r="BHM220" s="5" t="s">
        <v>317</v>
      </c>
      <c r="BHN220" s="2" t="s">
        <v>22</v>
      </c>
      <c r="BHO220" s="53" t="s">
        <v>334</v>
      </c>
      <c r="BHP220" s="2" t="s">
        <v>513</v>
      </c>
      <c r="BHQ220" s="2" t="s">
        <v>25</v>
      </c>
      <c r="BHR220" s="2" t="s">
        <v>393</v>
      </c>
      <c r="BHS220" s="7">
        <v>-74.044305502618698</v>
      </c>
      <c r="BHT220" s="7">
        <v>4.6804459478222702</v>
      </c>
      <c r="BHU220" s="2" t="s">
        <v>357</v>
      </c>
      <c r="BHV220" s="2" t="s">
        <v>63</v>
      </c>
      <c r="BHW220" s="2" t="s">
        <v>83</v>
      </c>
      <c r="BHX220" s="2" t="s">
        <v>63</v>
      </c>
      <c r="BHY220" s="24">
        <v>434</v>
      </c>
      <c r="BHZ220" s="5">
        <v>46174</v>
      </c>
      <c r="BIA220" s="5">
        <v>46174</v>
      </c>
      <c r="BIB220" s="30">
        <f t="shared" ref="BIB220" si="125">BIA220-BHZ220</f>
        <v>0</v>
      </c>
      <c r="BIC220" s="5" t="s">
        <v>317</v>
      </c>
      <c r="BID220" s="2" t="s">
        <v>22</v>
      </c>
      <c r="BIE220" s="53" t="s">
        <v>334</v>
      </c>
      <c r="BIF220" s="2" t="s">
        <v>513</v>
      </c>
      <c r="BIG220" s="2" t="s">
        <v>25</v>
      </c>
      <c r="BIH220" s="2" t="s">
        <v>393</v>
      </c>
      <c r="BII220" s="7">
        <v>-74.044305502618698</v>
      </c>
      <c r="BIJ220" s="7">
        <v>4.6804459478222702</v>
      </c>
      <c r="BIK220" s="2" t="s">
        <v>357</v>
      </c>
      <c r="BIL220" s="2" t="s">
        <v>63</v>
      </c>
      <c r="BIM220" s="2" t="s">
        <v>83</v>
      </c>
      <c r="BIN220" s="2" t="s">
        <v>63</v>
      </c>
      <c r="BIO220" s="24">
        <v>434</v>
      </c>
      <c r="BIP220" s="5">
        <v>46174</v>
      </c>
      <c r="BIQ220" s="5">
        <v>46174</v>
      </c>
      <c r="BIR220" s="30">
        <f t="shared" ref="BIR220" si="126">BIQ220-BIP220</f>
        <v>0</v>
      </c>
      <c r="BIS220" s="5" t="s">
        <v>317</v>
      </c>
      <c r="BIT220" s="2" t="s">
        <v>22</v>
      </c>
      <c r="BIU220" s="53" t="s">
        <v>334</v>
      </c>
      <c r="BIV220" s="2" t="s">
        <v>513</v>
      </c>
      <c r="BIW220" s="2" t="s">
        <v>25</v>
      </c>
      <c r="BIX220" s="2" t="s">
        <v>393</v>
      </c>
      <c r="BIY220" s="7">
        <v>-74.044305502618698</v>
      </c>
      <c r="BIZ220" s="7">
        <v>4.6804459478222702</v>
      </c>
      <c r="BJA220" s="2" t="s">
        <v>357</v>
      </c>
      <c r="BJB220" s="2" t="s">
        <v>63</v>
      </c>
      <c r="BJC220" s="2" t="s">
        <v>83</v>
      </c>
      <c r="BJD220" s="2" t="s">
        <v>63</v>
      </c>
      <c r="BJE220" s="24">
        <v>434</v>
      </c>
      <c r="BJF220" s="5">
        <v>46174</v>
      </c>
      <c r="BJG220" s="5">
        <v>46174</v>
      </c>
      <c r="BJH220" s="30">
        <f t="shared" ref="BJH220" si="127">BJG220-BJF220</f>
        <v>0</v>
      </c>
      <c r="BJI220" s="5" t="s">
        <v>317</v>
      </c>
      <c r="BJJ220" s="2" t="s">
        <v>22</v>
      </c>
      <c r="BJK220" s="53" t="s">
        <v>334</v>
      </c>
      <c r="BJL220" s="2" t="s">
        <v>513</v>
      </c>
      <c r="BJM220" s="2" t="s">
        <v>25</v>
      </c>
      <c r="BJN220" s="2" t="s">
        <v>393</v>
      </c>
      <c r="BJO220" s="7">
        <v>-74.044305502618698</v>
      </c>
      <c r="BJP220" s="7">
        <v>4.6804459478222702</v>
      </c>
      <c r="BJQ220" s="2" t="s">
        <v>357</v>
      </c>
      <c r="BJR220" s="2" t="s">
        <v>63</v>
      </c>
      <c r="BJS220" s="2" t="s">
        <v>83</v>
      </c>
      <c r="BJT220" s="2" t="s">
        <v>63</v>
      </c>
      <c r="BJU220" s="24">
        <v>434</v>
      </c>
      <c r="BJV220" s="5">
        <v>46174</v>
      </c>
      <c r="BJW220" s="5">
        <v>46174</v>
      </c>
      <c r="BJX220" s="30">
        <f t="shared" ref="BJX220" si="128">BJW220-BJV220</f>
        <v>0</v>
      </c>
      <c r="BJY220" s="5" t="s">
        <v>317</v>
      </c>
      <c r="BJZ220" s="2" t="s">
        <v>22</v>
      </c>
      <c r="BKA220" s="53" t="s">
        <v>334</v>
      </c>
      <c r="BKB220" s="2" t="s">
        <v>513</v>
      </c>
      <c r="BKC220" s="2" t="s">
        <v>25</v>
      </c>
      <c r="BKD220" s="2" t="s">
        <v>393</v>
      </c>
      <c r="BKE220" s="7">
        <v>-74.044305502618698</v>
      </c>
      <c r="BKF220" s="7">
        <v>4.6804459478222702</v>
      </c>
      <c r="BKG220" s="2" t="s">
        <v>357</v>
      </c>
      <c r="BKH220" s="2" t="s">
        <v>63</v>
      </c>
      <c r="BKI220" s="2" t="s">
        <v>83</v>
      </c>
      <c r="BKJ220" s="2" t="s">
        <v>63</v>
      </c>
      <c r="BKK220" s="24">
        <v>434</v>
      </c>
      <c r="BKL220" s="5">
        <v>46174</v>
      </c>
      <c r="BKM220" s="5">
        <v>46174</v>
      </c>
      <c r="BKN220" s="30">
        <f t="shared" ref="BKN220" si="129">BKM220-BKL220</f>
        <v>0</v>
      </c>
      <c r="BKO220" s="5" t="s">
        <v>317</v>
      </c>
      <c r="BKP220" s="2" t="s">
        <v>22</v>
      </c>
      <c r="BKQ220" s="53" t="s">
        <v>334</v>
      </c>
      <c r="BKR220" s="2" t="s">
        <v>513</v>
      </c>
      <c r="BKS220" s="2" t="s">
        <v>25</v>
      </c>
      <c r="BKT220" s="2" t="s">
        <v>393</v>
      </c>
      <c r="BKU220" s="7">
        <v>-74.044305502618698</v>
      </c>
      <c r="BKV220" s="7">
        <v>4.6804459478222702</v>
      </c>
      <c r="BKW220" s="2" t="s">
        <v>357</v>
      </c>
      <c r="BKX220" s="2" t="s">
        <v>63</v>
      </c>
      <c r="BKY220" s="2" t="s">
        <v>83</v>
      </c>
      <c r="BKZ220" s="2" t="s">
        <v>63</v>
      </c>
      <c r="BLA220" s="24">
        <v>434</v>
      </c>
      <c r="BLB220" s="5">
        <v>46174</v>
      </c>
      <c r="BLC220" s="5">
        <v>46174</v>
      </c>
      <c r="BLD220" s="30">
        <f t="shared" ref="BLD220" si="130">BLC220-BLB220</f>
        <v>0</v>
      </c>
      <c r="BLE220" s="5" t="s">
        <v>317</v>
      </c>
      <c r="BLF220" s="2" t="s">
        <v>22</v>
      </c>
      <c r="BLG220" s="53" t="s">
        <v>334</v>
      </c>
      <c r="BLH220" s="2" t="s">
        <v>513</v>
      </c>
      <c r="BLI220" s="2" t="s">
        <v>25</v>
      </c>
      <c r="BLJ220" s="2" t="s">
        <v>393</v>
      </c>
      <c r="BLK220" s="7">
        <v>-74.044305502618698</v>
      </c>
      <c r="BLL220" s="7">
        <v>4.6804459478222702</v>
      </c>
      <c r="BLM220" s="2" t="s">
        <v>357</v>
      </c>
      <c r="BLN220" s="2" t="s">
        <v>63</v>
      </c>
      <c r="BLO220" s="2" t="s">
        <v>83</v>
      </c>
      <c r="BLP220" s="2" t="s">
        <v>63</v>
      </c>
      <c r="BLQ220" s="24">
        <v>434</v>
      </c>
      <c r="BLR220" s="5">
        <v>46174</v>
      </c>
      <c r="BLS220" s="5">
        <v>46174</v>
      </c>
      <c r="BLT220" s="30">
        <f t="shared" ref="BLT220" si="131">BLS220-BLR220</f>
        <v>0</v>
      </c>
      <c r="BLU220" s="5" t="s">
        <v>317</v>
      </c>
      <c r="BLV220" s="2" t="s">
        <v>22</v>
      </c>
      <c r="BLW220" s="53" t="s">
        <v>334</v>
      </c>
      <c r="BLX220" s="2" t="s">
        <v>513</v>
      </c>
      <c r="BLY220" s="2" t="s">
        <v>25</v>
      </c>
      <c r="BLZ220" s="2" t="s">
        <v>393</v>
      </c>
      <c r="BMA220" s="7">
        <v>-74.044305502618698</v>
      </c>
      <c r="BMB220" s="7">
        <v>4.6804459478222702</v>
      </c>
      <c r="BMC220" s="2" t="s">
        <v>357</v>
      </c>
      <c r="BMD220" s="2" t="s">
        <v>63</v>
      </c>
      <c r="BME220" s="2" t="s">
        <v>83</v>
      </c>
      <c r="BMF220" s="2" t="s">
        <v>63</v>
      </c>
      <c r="BMG220" s="24">
        <v>434</v>
      </c>
      <c r="BMH220" s="5">
        <v>46174</v>
      </c>
      <c r="BMI220" s="5">
        <v>46174</v>
      </c>
      <c r="BMJ220" s="30">
        <f t="shared" ref="BMJ220" si="132">BMI220-BMH220</f>
        <v>0</v>
      </c>
      <c r="BMK220" s="5" t="s">
        <v>317</v>
      </c>
      <c r="BML220" s="2" t="s">
        <v>22</v>
      </c>
      <c r="BMM220" s="53" t="s">
        <v>334</v>
      </c>
      <c r="BMN220" s="2" t="s">
        <v>513</v>
      </c>
      <c r="BMO220" s="2" t="s">
        <v>25</v>
      </c>
      <c r="BMP220" s="2" t="s">
        <v>393</v>
      </c>
      <c r="BMQ220" s="7">
        <v>-74.044305502618698</v>
      </c>
      <c r="BMR220" s="7">
        <v>4.6804459478222702</v>
      </c>
      <c r="BMS220" s="2" t="s">
        <v>357</v>
      </c>
      <c r="BMT220" s="2" t="s">
        <v>63</v>
      </c>
      <c r="BMU220" s="2" t="s">
        <v>83</v>
      </c>
      <c r="BMV220" s="2" t="s">
        <v>63</v>
      </c>
      <c r="BMW220" s="24">
        <v>434</v>
      </c>
      <c r="BMX220" s="5">
        <v>46174</v>
      </c>
      <c r="BMY220" s="5">
        <v>46174</v>
      </c>
      <c r="BMZ220" s="30">
        <f t="shared" ref="BMZ220" si="133">BMY220-BMX220</f>
        <v>0</v>
      </c>
      <c r="BNA220" s="5" t="s">
        <v>317</v>
      </c>
      <c r="BNB220" s="2" t="s">
        <v>22</v>
      </c>
      <c r="BNC220" s="53" t="s">
        <v>334</v>
      </c>
      <c r="BND220" s="2" t="s">
        <v>513</v>
      </c>
      <c r="BNE220" s="2" t="s">
        <v>25</v>
      </c>
      <c r="BNF220" s="2" t="s">
        <v>393</v>
      </c>
      <c r="BNG220" s="7">
        <v>-74.044305502618698</v>
      </c>
      <c r="BNH220" s="7">
        <v>4.6804459478222702</v>
      </c>
      <c r="BNI220" s="2" t="s">
        <v>357</v>
      </c>
      <c r="BNJ220" s="2" t="s">
        <v>63</v>
      </c>
      <c r="BNK220" s="2" t="s">
        <v>83</v>
      </c>
      <c r="BNL220" s="2" t="s">
        <v>63</v>
      </c>
      <c r="BNM220" s="24">
        <v>434</v>
      </c>
      <c r="BNN220" s="5">
        <v>46174</v>
      </c>
      <c r="BNO220" s="5">
        <v>46174</v>
      </c>
      <c r="BNP220" s="30">
        <f t="shared" ref="BNP220" si="134">BNO220-BNN220</f>
        <v>0</v>
      </c>
      <c r="BNQ220" s="5" t="s">
        <v>317</v>
      </c>
      <c r="BNR220" s="2" t="s">
        <v>22</v>
      </c>
      <c r="BNS220" s="53" t="s">
        <v>334</v>
      </c>
      <c r="BNT220" s="2" t="s">
        <v>513</v>
      </c>
      <c r="BNU220" s="2" t="s">
        <v>25</v>
      </c>
      <c r="BNV220" s="2" t="s">
        <v>393</v>
      </c>
      <c r="BNW220" s="7">
        <v>-74.044305502618698</v>
      </c>
      <c r="BNX220" s="7">
        <v>4.6804459478222702</v>
      </c>
      <c r="BNY220" s="2" t="s">
        <v>357</v>
      </c>
      <c r="BNZ220" s="2" t="s">
        <v>63</v>
      </c>
      <c r="BOA220" s="2" t="s">
        <v>83</v>
      </c>
      <c r="BOB220" s="2" t="s">
        <v>63</v>
      </c>
      <c r="BOC220" s="24">
        <v>434</v>
      </c>
      <c r="BOD220" s="5">
        <v>46174</v>
      </c>
      <c r="BOE220" s="5">
        <v>46174</v>
      </c>
      <c r="BOF220" s="30">
        <f t="shared" ref="BOF220" si="135">BOE220-BOD220</f>
        <v>0</v>
      </c>
      <c r="BOG220" s="5" t="s">
        <v>317</v>
      </c>
      <c r="BOH220" s="2" t="s">
        <v>22</v>
      </c>
      <c r="BOI220" s="53" t="s">
        <v>334</v>
      </c>
      <c r="BOJ220" s="2" t="s">
        <v>513</v>
      </c>
      <c r="BOK220" s="2" t="s">
        <v>25</v>
      </c>
      <c r="BOL220" s="2" t="s">
        <v>393</v>
      </c>
      <c r="BOM220" s="7">
        <v>-74.044305502618698</v>
      </c>
      <c r="BON220" s="7">
        <v>4.6804459478222702</v>
      </c>
      <c r="BOO220" s="2" t="s">
        <v>357</v>
      </c>
      <c r="BOP220" s="2" t="s">
        <v>63</v>
      </c>
      <c r="BOQ220" s="2" t="s">
        <v>83</v>
      </c>
      <c r="BOR220" s="2" t="s">
        <v>63</v>
      </c>
      <c r="BOS220" s="24">
        <v>434</v>
      </c>
      <c r="BOT220" s="5">
        <v>46174</v>
      </c>
      <c r="BOU220" s="5">
        <v>46174</v>
      </c>
      <c r="BOV220" s="30">
        <f t="shared" ref="BOV220" si="136">BOU220-BOT220</f>
        <v>0</v>
      </c>
      <c r="BOW220" s="5" t="s">
        <v>317</v>
      </c>
      <c r="BOX220" s="2" t="s">
        <v>22</v>
      </c>
      <c r="BOY220" s="53" t="s">
        <v>334</v>
      </c>
      <c r="BOZ220" s="2" t="s">
        <v>513</v>
      </c>
      <c r="BPA220" s="2" t="s">
        <v>25</v>
      </c>
      <c r="BPB220" s="2" t="s">
        <v>393</v>
      </c>
      <c r="BPC220" s="7">
        <v>-74.044305502618698</v>
      </c>
      <c r="BPD220" s="7">
        <v>4.6804459478222702</v>
      </c>
      <c r="BPE220" s="2" t="s">
        <v>357</v>
      </c>
      <c r="BPF220" s="2" t="s">
        <v>63</v>
      </c>
      <c r="BPG220" s="2" t="s">
        <v>83</v>
      </c>
      <c r="BPH220" s="2" t="s">
        <v>63</v>
      </c>
      <c r="BPI220" s="24">
        <v>434</v>
      </c>
      <c r="BPJ220" s="5">
        <v>46174</v>
      </c>
      <c r="BPK220" s="5">
        <v>46174</v>
      </c>
      <c r="BPL220" s="30">
        <f t="shared" ref="BPL220" si="137">BPK220-BPJ220</f>
        <v>0</v>
      </c>
      <c r="BPM220" s="5" t="s">
        <v>317</v>
      </c>
      <c r="BPN220" s="2" t="s">
        <v>22</v>
      </c>
      <c r="BPO220" s="53" t="s">
        <v>334</v>
      </c>
      <c r="BPP220" s="2" t="s">
        <v>513</v>
      </c>
      <c r="BPQ220" s="2" t="s">
        <v>25</v>
      </c>
      <c r="BPR220" s="2" t="s">
        <v>393</v>
      </c>
      <c r="BPS220" s="7">
        <v>-74.044305502618698</v>
      </c>
      <c r="BPT220" s="7">
        <v>4.6804459478222702</v>
      </c>
      <c r="BPU220" s="2" t="s">
        <v>357</v>
      </c>
      <c r="BPV220" s="2" t="s">
        <v>63</v>
      </c>
      <c r="BPW220" s="2" t="s">
        <v>83</v>
      </c>
      <c r="BPX220" s="2" t="s">
        <v>63</v>
      </c>
      <c r="BPY220" s="24">
        <v>434</v>
      </c>
      <c r="BPZ220" s="5">
        <v>46174</v>
      </c>
      <c r="BQA220" s="5">
        <v>46174</v>
      </c>
      <c r="BQB220" s="30">
        <f t="shared" ref="BQB220" si="138">BQA220-BPZ220</f>
        <v>0</v>
      </c>
      <c r="BQC220" s="5" t="s">
        <v>317</v>
      </c>
      <c r="BQD220" s="2" t="s">
        <v>22</v>
      </c>
      <c r="BQE220" s="53" t="s">
        <v>334</v>
      </c>
      <c r="BQF220" s="2" t="s">
        <v>513</v>
      </c>
      <c r="BQG220" s="2" t="s">
        <v>25</v>
      </c>
      <c r="BQH220" s="2" t="s">
        <v>393</v>
      </c>
      <c r="BQI220" s="7">
        <v>-74.044305502618698</v>
      </c>
      <c r="BQJ220" s="7">
        <v>4.6804459478222702</v>
      </c>
      <c r="BQK220" s="2" t="s">
        <v>357</v>
      </c>
      <c r="BQL220" s="2" t="s">
        <v>63</v>
      </c>
      <c r="BQM220" s="2" t="s">
        <v>83</v>
      </c>
      <c r="BQN220" s="2" t="s">
        <v>63</v>
      </c>
      <c r="BQO220" s="24">
        <v>434</v>
      </c>
      <c r="BQP220" s="5">
        <v>46174</v>
      </c>
      <c r="BQQ220" s="5">
        <v>46174</v>
      </c>
      <c r="BQR220" s="30">
        <f t="shared" ref="BQR220" si="139">BQQ220-BQP220</f>
        <v>0</v>
      </c>
      <c r="BQS220" s="5" t="s">
        <v>317</v>
      </c>
      <c r="BQT220" s="2" t="s">
        <v>22</v>
      </c>
      <c r="BQU220" s="53" t="s">
        <v>334</v>
      </c>
      <c r="BQV220" s="2" t="s">
        <v>513</v>
      </c>
      <c r="BQW220" s="2" t="s">
        <v>25</v>
      </c>
      <c r="BQX220" s="2" t="s">
        <v>393</v>
      </c>
      <c r="BQY220" s="7">
        <v>-74.044305502618698</v>
      </c>
      <c r="BQZ220" s="7">
        <v>4.6804459478222702</v>
      </c>
      <c r="BRA220" s="2" t="s">
        <v>357</v>
      </c>
      <c r="BRB220" s="2" t="s">
        <v>63</v>
      </c>
      <c r="BRC220" s="2" t="s">
        <v>83</v>
      </c>
      <c r="BRD220" s="2" t="s">
        <v>63</v>
      </c>
      <c r="BRE220" s="24">
        <v>434</v>
      </c>
      <c r="BRF220" s="5">
        <v>46174</v>
      </c>
      <c r="BRG220" s="5">
        <v>46174</v>
      </c>
      <c r="BRH220" s="30">
        <f t="shared" ref="BRH220" si="140">BRG220-BRF220</f>
        <v>0</v>
      </c>
      <c r="BRI220" s="5" t="s">
        <v>317</v>
      </c>
      <c r="BRJ220" s="2" t="s">
        <v>22</v>
      </c>
      <c r="BRK220" s="53" t="s">
        <v>334</v>
      </c>
      <c r="BRL220" s="2" t="s">
        <v>513</v>
      </c>
      <c r="BRM220" s="2" t="s">
        <v>25</v>
      </c>
      <c r="BRN220" s="2" t="s">
        <v>393</v>
      </c>
      <c r="BRO220" s="7">
        <v>-74.044305502618698</v>
      </c>
      <c r="BRP220" s="7">
        <v>4.6804459478222702</v>
      </c>
      <c r="BRQ220" s="2" t="s">
        <v>357</v>
      </c>
      <c r="BRR220" s="2" t="s">
        <v>63</v>
      </c>
      <c r="BRS220" s="2" t="s">
        <v>83</v>
      </c>
      <c r="BRT220" s="2" t="s">
        <v>63</v>
      </c>
      <c r="BRU220" s="24">
        <v>434</v>
      </c>
      <c r="BRV220" s="5">
        <v>46174</v>
      </c>
      <c r="BRW220" s="5">
        <v>46174</v>
      </c>
      <c r="BRX220" s="30">
        <f t="shared" ref="BRX220" si="141">BRW220-BRV220</f>
        <v>0</v>
      </c>
      <c r="BRY220" s="5" t="s">
        <v>317</v>
      </c>
      <c r="BRZ220" s="2" t="s">
        <v>22</v>
      </c>
      <c r="BSA220" s="53" t="s">
        <v>334</v>
      </c>
      <c r="BSB220" s="2" t="s">
        <v>513</v>
      </c>
      <c r="BSC220" s="2" t="s">
        <v>25</v>
      </c>
      <c r="BSD220" s="2" t="s">
        <v>393</v>
      </c>
      <c r="BSE220" s="7">
        <v>-74.044305502618698</v>
      </c>
      <c r="BSF220" s="7">
        <v>4.6804459478222702</v>
      </c>
      <c r="BSG220" s="2" t="s">
        <v>357</v>
      </c>
      <c r="BSH220" s="2" t="s">
        <v>63</v>
      </c>
      <c r="BSI220" s="2" t="s">
        <v>83</v>
      </c>
      <c r="BSJ220" s="2" t="s">
        <v>63</v>
      </c>
      <c r="BSK220" s="24">
        <v>434</v>
      </c>
      <c r="BSL220" s="5">
        <v>46174</v>
      </c>
      <c r="BSM220" s="5">
        <v>46174</v>
      </c>
      <c r="BSN220" s="30">
        <f t="shared" ref="BSN220" si="142">BSM220-BSL220</f>
        <v>0</v>
      </c>
      <c r="BSO220" s="5" t="s">
        <v>317</v>
      </c>
      <c r="BSP220" s="2" t="s">
        <v>22</v>
      </c>
      <c r="BSQ220" s="53" t="s">
        <v>334</v>
      </c>
      <c r="BSR220" s="2" t="s">
        <v>513</v>
      </c>
      <c r="BSS220" s="2" t="s">
        <v>25</v>
      </c>
      <c r="BST220" s="2" t="s">
        <v>393</v>
      </c>
      <c r="BSU220" s="7">
        <v>-74.044305502618698</v>
      </c>
      <c r="BSV220" s="7">
        <v>4.6804459478222702</v>
      </c>
      <c r="BSW220" s="2" t="s">
        <v>357</v>
      </c>
      <c r="BSX220" s="2" t="s">
        <v>63</v>
      </c>
      <c r="BSY220" s="2" t="s">
        <v>83</v>
      </c>
      <c r="BSZ220" s="2" t="s">
        <v>63</v>
      </c>
      <c r="BTA220" s="24">
        <v>434</v>
      </c>
      <c r="BTB220" s="5">
        <v>46174</v>
      </c>
      <c r="BTC220" s="5">
        <v>46174</v>
      </c>
      <c r="BTD220" s="30">
        <f t="shared" ref="BTD220" si="143">BTC220-BTB220</f>
        <v>0</v>
      </c>
      <c r="BTE220" s="5" t="s">
        <v>317</v>
      </c>
      <c r="BTF220" s="2" t="s">
        <v>22</v>
      </c>
      <c r="BTG220" s="53" t="s">
        <v>334</v>
      </c>
      <c r="BTH220" s="2" t="s">
        <v>513</v>
      </c>
      <c r="BTI220" s="2" t="s">
        <v>25</v>
      </c>
      <c r="BTJ220" s="2" t="s">
        <v>393</v>
      </c>
      <c r="BTK220" s="7">
        <v>-74.044305502618698</v>
      </c>
      <c r="BTL220" s="7">
        <v>4.6804459478222702</v>
      </c>
      <c r="BTM220" s="2" t="s">
        <v>357</v>
      </c>
      <c r="BTN220" s="2" t="s">
        <v>63</v>
      </c>
      <c r="BTO220" s="2" t="s">
        <v>83</v>
      </c>
      <c r="BTP220" s="2" t="s">
        <v>63</v>
      </c>
      <c r="BTQ220" s="24">
        <v>434</v>
      </c>
      <c r="BTR220" s="5">
        <v>46174</v>
      </c>
      <c r="BTS220" s="5">
        <v>46174</v>
      </c>
      <c r="BTT220" s="30">
        <f t="shared" ref="BTT220" si="144">BTS220-BTR220</f>
        <v>0</v>
      </c>
      <c r="BTU220" s="5" t="s">
        <v>317</v>
      </c>
      <c r="BTV220" s="2" t="s">
        <v>22</v>
      </c>
      <c r="BTW220" s="53" t="s">
        <v>334</v>
      </c>
      <c r="BTX220" s="2" t="s">
        <v>513</v>
      </c>
      <c r="BTY220" s="2" t="s">
        <v>25</v>
      </c>
      <c r="BTZ220" s="2" t="s">
        <v>393</v>
      </c>
      <c r="BUA220" s="7">
        <v>-74.044305502618698</v>
      </c>
      <c r="BUB220" s="7">
        <v>4.6804459478222702</v>
      </c>
      <c r="BUC220" s="2" t="s">
        <v>357</v>
      </c>
      <c r="BUD220" s="2" t="s">
        <v>63</v>
      </c>
      <c r="BUE220" s="2" t="s">
        <v>83</v>
      </c>
      <c r="BUF220" s="2" t="s">
        <v>63</v>
      </c>
      <c r="BUG220" s="24">
        <v>434</v>
      </c>
      <c r="BUH220" s="5">
        <v>46174</v>
      </c>
      <c r="BUI220" s="5">
        <v>46174</v>
      </c>
      <c r="BUJ220" s="30">
        <f t="shared" ref="BUJ220" si="145">BUI220-BUH220</f>
        <v>0</v>
      </c>
      <c r="BUK220" s="5" t="s">
        <v>317</v>
      </c>
      <c r="BUL220" s="2" t="s">
        <v>22</v>
      </c>
      <c r="BUM220" s="53" t="s">
        <v>334</v>
      </c>
      <c r="BUN220" s="2" t="s">
        <v>513</v>
      </c>
      <c r="BUO220" s="2" t="s">
        <v>25</v>
      </c>
      <c r="BUP220" s="2" t="s">
        <v>393</v>
      </c>
      <c r="BUQ220" s="7">
        <v>-74.044305502618698</v>
      </c>
      <c r="BUR220" s="7">
        <v>4.6804459478222702</v>
      </c>
      <c r="BUS220" s="2" t="s">
        <v>357</v>
      </c>
      <c r="BUT220" s="2" t="s">
        <v>63</v>
      </c>
      <c r="BUU220" s="2" t="s">
        <v>83</v>
      </c>
      <c r="BUV220" s="2" t="s">
        <v>63</v>
      </c>
      <c r="BUW220" s="24">
        <v>434</v>
      </c>
      <c r="BUX220" s="5">
        <v>46174</v>
      </c>
      <c r="BUY220" s="5">
        <v>46174</v>
      </c>
      <c r="BUZ220" s="30">
        <f t="shared" ref="BUZ220" si="146">BUY220-BUX220</f>
        <v>0</v>
      </c>
      <c r="BVA220" s="5" t="s">
        <v>317</v>
      </c>
      <c r="BVB220" s="2" t="s">
        <v>22</v>
      </c>
      <c r="BVC220" s="53" t="s">
        <v>334</v>
      </c>
      <c r="BVD220" s="2" t="s">
        <v>513</v>
      </c>
      <c r="BVE220" s="2" t="s">
        <v>25</v>
      </c>
      <c r="BVF220" s="2" t="s">
        <v>393</v>
      </c>
      <c r="BVG220" s="7">
        <v>-74.044305502618698</v>
      </c>
      <c r="BVH220" s="7">
        <v>4.6804459478222702</v>
      </c>
      <c r="BVI220" s="2" t="s">
        <v>357</v>
      </c>
      <c r="BVJ220" s="2" t="s">
        <v>63</v>
      </c>
      <c r="BVK220" s="2" t="s">
        <v>83</v>
      </c>
      <c r="BVL220" s="2" t="s">
        <v>63</v>
      </c>
      <c r="BVM220" s="24">
        <v>434</v>
      </c>
      <c r="BVN220" s="5">
        <v>46174</v>
      </c>
      <c r="BVO220" s="5">
        <v>46174</v>
      </c>
      <c r="BVP220" s="30">
        <f t="shared" ref="BVP220" si="147">BVO220-BVN220</f>
        <v>0</v>
      </c>
      <c r="BVQ220" s="5" t="s">
        <v>317</v>
      </c>
      <c r="BVR220" s="2" t="s">
        <v>22</v>
      </c>
      <c r="BVS220" s="53" t="s">
        <v>334</v>
      </c>
      <c r="BVT220" s="2" t="s">
        <v>513</v>
      </c>
      <c r="BVU220" s="2" t="s">
        <v>25</v>
      </c>
      <c r="BVV220" s="2" t="s">
        <v>393</v>
      </c>
      <c r="BVW220" s="7">
        <v>-74.044305502618698</v>
      </c>
      <c r="BVX220" s="7">
        <v>4.6804459478222702</v>
      </c>
      <c r="BVY220" s="2" t="s">
        <v>357</v>
      </c>
      <c r="BVZ220" s="2" t="s">
        <v>63</v>
      </c>
      <c r="BWA220" s="2" t="s">
        <v>83</v>
      </c>
      <c r="BWB220" s="2" t="s">
        <v>63</v>
      </c>
      <c r="BWC220" s="24">
        <v>434</v>
      </c>
      <c r="BWD220" s="5">
        <v>46174</v>
      </c>
      <c r="BWE220" s="5">
        <v>46174</v>
      </c>
      <c r="BWF220" s="30">
        <f t="shared" ref="BWF220" si="148">BWE220-BWD220</f>
        <v>0</v>
      </c>
      <c r="BWG220" s="5" t="s">
        <v>317</v>
      </c>
      <c r="BWH220" s="2" t="s">
        <v>22</v>
      </c>
      <c r="BWI220" s="53" t="s">
        <v>334</v>
      </c>
      <c r="BWJ220" s="2" t="s">
        <v>513</v>
      </c>
      <c r="BWK220" s="2" t="s">
        <v>25</v>
      </c>
      <c r="BWL220" s="2" t="s">
        <v>393</v>
      </c>
      <c r="BWM220" s="7">
        <v>-74.044305502618698</v>
      </c>
      <c r="BWN220" s="7">
        <v>4.6804459478222702</v>
      </c>
      <c r="BWO220" s="2" t="s">
        <v>357</v>
      </c>
      <c r="BWP220" s="2" t="s">
        <v>63</v>
      </c>
      <c r="BWQ220" s="2" t="s">
        <v>83</v>
      </c>
      <c r="BWR220" s="2" t="s">
        <v>63</v>
      </c>
      <c r="BWS220" s="24">
        <v>434</v>
      </c>
      <c r="BWT220" s="5">
        <v>46174</v>
      </c>
      <c r="BWU220" s="5">
        <v>46174</v>
      </c>
      <c r="BWV220" s="30">
        <f t="shared" ref="BWV220" si="149">BWU220-BWT220</f>
        <v>0</v>
      </c>
      <c r="BWW220" s="5" t="s">
        <v>317</v>
      </c>
      <c r="BWX220" s="2" t="s">
        <v>22</v>
      </c>
      <c r="BWY220" s="53" t="s">
        <v>334</v>
      </c>
      <c r="BWZ220" s="2" t="s">
        <v>513</v>
      </c>
      <c r="BXA220" s="2" t="s">
        <v>25</v>
      </c>
      <c r="BXB220" s="2" t="s">
        <v>393</v>
      </c>
      <c r="BXC220" s="7">
        <v>-74.044305502618698</v>
      </c>
      <c r="BXD220" s="7">
        <v>4.6804459478222702</v>
      </c>
      <c r="BXE220" s="2" t="s">
        <v>357</v>
      </c>
      <c r="BXF220" s="2" t="s">
        <v>63</v>
      </c>
      <c r="BXG220" s="2" t="s">
        <v>83</v>
      </c>
      <c r="BXH220" s="2" t="s">
        <v>63</v>
      </c>
      <c r="BXI220" s="24">
        <v>434</v>
      </c>
      <c r="BXJ220" s="5">
        <v>46174</v>
      </c>
      <c r="BXK220" s="5">
        <v>46174</v>
      </c>
      <c r="BXL220" s="30">
        <f t="shared" ref="BXL220" si="150">BXK220-BXJ220</f>
        <v>0</v>
      </c>
      <c r="BXM220" s="5" t="s">
        <v>317</v>
      </c>
      <c r="BXN220" s="2" t="s">
        <v>22</v>
      </c>
      <c r="BXO220" s="53" t="s">
        <v>334</v>
      </c>
      <c r="BXP220" s="2" t="s">
        <v>513</v>
      </c>
      <c r="BXQ220" s="2" t="s">
        <v>25</v>
      </c>
      <c r="BXR220" s="2" t="s">
        <v>393</v>
      </c>
      <c r="BXS220" s="7">
        <v>-74.044305502618698</v>
      </c>
      <c r="BXT220" s="7">
        <v>4.6804459478222702</v>
      </c>
      <c r="BXU220" s="2" t="s">
        <v>357</v>
      </c>
      <c r="BXV220" s="2" t="s">
        <v>63</v>
      </c>
      <c r="BXW220" s="2" t="s">
        <v>83</v>
      </c>
      <c r="BXX220" s="2" t="s">
        <v>63</v>
      </c>
      <c r="BXY220" s="24">
        <v>434</v>
      </c>
      <c r="BXZ220" s="5">
        <v>46174</v>
      </c>
      <c r="BYA220" s="5">
        <v>46174</v>
      </c>
      <c r="BYB220" s="30">
        <f t="shared" ref="BYB220" si="151">BYA220-BXZ220</f>
        <v>0</v>
      </c>
      <c r="BYC220" s="5" t="s">
        <v>317</v>
      </c>
      <c r="BYD220" s="2" t="s">
        <v>22</v>
      </c>
      <c r="BYE220" s="53" t="s">
        <v>334</v>
      </c>
      <c r="BYF220" s="2" t="s">
        <v>513</v>
      </c>
      <c r="BYG220" s="2" t="s">
        <v>25</v>
      </c>
      <c r="BYH220" s="2" t="s">
        <v>393</v>
      </c>
      <c r="BYI220" s="7">
        <v>-74.044305502618698</v>
      </c>
      <c r="BYJ220" s="7">
        <v>4.6804459478222702</v>
      </c>
      <c r="BYK220" s="2" t="s">
        <v>357</v>
      </c>
      <c r="BYL220" s="2" t="s">
        <v>63</v>
      </c>
      <c r="BYM220" s="2" t="s">
        <v>83</v>
      </c>
      <c r="BYN220" s="2" t="s">
        <v>63</v>
      </c>
      <c r="BYO220" s="24">
        <v>434</v>
      </c>
      <c r="BYP220" s="5">
        <v>46174</v>
      </c>
      <c r="BYQ220" s="5">
        <v>46174</v>
      </c>
      <c r="BYR220" s="30">
        <f t="shared" ref="BYR220" si="152">BYQ220-BYP220</f>
        <v>0</v>
      </c>
      <c r="BYS220" s="5" t="s">
        <v>317</v>
      </c>
      <c r="BYT220" s="2" t="s">
        <v>22</v>
      </c>
      <c r="BYU220" s="53" t="s">
        <v>334</v>
      </c>
      <c r="BYV220" s="2" t="s">
        <v>513</v>
      </c>
      <c r="BYW220" s="2" t="s">
        <v>25</v>
      </c>
      <c r="BYX220" s="2" t="s">
        <v>393</v>
      </c>
      <c r="BYY220" s="7">
        <v>-74.044305502618698</v>
      </c>
      <c r="BYZ220" s="7">
        <v>4.6804459478222702</v>
      </c>
      <c r="BZA220" s="2" t="s">
        <v>357</v>
      </c>
      <c r="BZB220" s="2" t="s">
        <v>63</v>
      </c>
      <c r="BZC220" s="2" t="s">
        <v>83</v>
      </c>
      <c r="BZD220" s="2" t="s">
        <v>63</v>
      </c>
      <c r="BZE220" s="24">
        <v>434</v>
      </c>
      <c r="BZF220" s="5">
        <v>46174</v>
      </c>
      <c r="BZG220" s="5">
        <v>46174</v>
      </c>
      <c r="BZH220" s="30">
        <f t="shared" ref="BZH220" si="153">BZG220-BZF220</f>
        <v>0</v>
      </c>
      <c r="BZI220" s="5" t="s">
        <v>317</v>
      </c>
      <c r="BZJ220" s="2" t="s">
        <v>22</v>
      </c>
      <c r="BZK220" s="53" t="s">
        <v>334</v>
      </c>
      <c r="BZL220" s="2" t="s">
        <v>513</v>
      </c>
      <c r="BZM220" s="2" t="s">
        <v>25</v>
      </c>
      <c r="BZN220" s="2" t="s">
        <v>393</v>
      </c>
      <c r="BZO220" s="7">
        <v>-74.044305502618698</v>
      </c>
      <c r="BZP220" s="7">
        <v>4.6804459478222702</v>
      </c>
      <c r="BZQ220" s="2" t="s">
        <v>357</v>
      </c>
      <c r="BZR220" s="2" t="s">
        <v>63</v>
      </c>
      <c r="BZS220" s="2" t="s">
        <v>83</v>
      </c>
      <c r="BZT220" s="2" t="s">
        <v>63</v>
      </c>
      <c r="BZU220" s="24">
        <v>434</v>
      </c>
      <c r="BZV220" s="5">
        <v>46174</v>
      </c>
      <c r="BZW220" s="5">
        <v>46174</v>
      </c>
      <c r="BZX220" s="30">
        <f t="shared" ref="BZX220" si="154">BZW220-BZV220</f>
        <v>0</v>
      </c>
      <c r="BZY220" s="5" t="s">
        <v>317</v>
      </c>
      <c r="BZZ220" s="2" t="s">
        <v>22</v>
      </c>
      <c r="CAA220" s="53" t="s">
        <v>334</v>
      </c>
      <c r="CAB220" s="2" t="s">
        <v>513</v>
      </c>
      <c r="CAC220" s="2" t="s">
        <v>25</v>
      </c>
      <c r="CAD220" s="2" t="s">
        <v>393</v>
      </c>
      <c r="CAE220" s="7">
        <v>-74.044305502618698</v>
      </c>
      <c r="CAF220" s="7">
        <v>4.6804459478222702</v>
      </c>
      <c r="CAG220" s="2" t="s">
        <v>357</v>
      </c>
      <c r="CAH220" s="2" t="s">
        <v>63</v>
      </c>
      <c r="CAI220" s="2" t="s">
        <v>83</v>
      </c>
      <c r="CAJ220" s="2" t="s">
        <v>63</v>
      </c>
      <c r="CAK220" s="24">
        <v>434</v>
      </c>
      <c r="CAL220" s="5">
        <v>46174</v>
      </c>
      <c r="CAM220" s="5">
        <v>46174</v>
      </c>
      <c r="CAN220" s="30">
        <f t="shared" ref="CAN220" si="155">CAM220-CAL220</f>
        <v>0</v>
      </c>
      <c r="CAO220" s="5" t="s">
        <v>317</v>
      </c>
      <c r="CAP220" s="2" t="s">
        <v>22</v>
      </c>
      <c r="CAQ220" s="53" t="s">
        <v>334</v>
      </c>
      <c r="CAR220" s="2" t="s">
        <v>513</v>
      </c>
      <c r="CAS220" s="2" t="s">
        <v>25</v>
      </c>
      <c r="CAT220" s="2" t="s">
        <v>393</v>
      </c>
      <c r="CAU220" s="7">
        <v>-74.044305502618698</v>
      </c>
      <c r="CAV220" s="7">
        <v>4.6804459478222702</v>
      </c>
      <c r="CAW220" s="2" t="s">
        <v>357</v>
      </c>
      <c r="CAX220" s="2" t="s">
        <v>63</v>
      </c>
      <c r="CAY220" s="2" t="s">
        <v>83</v>
      </c>
      <c r="CAZ220" s="2" t="s">
        <v>63</v>
      </c>
      <c r="CBA220" s="24">
        <v>434</v>
      </c>
      <c r="CBB220" s="5">
        <v>46174</v>
      </c>
      <c r="CBC220" s="5">
        <v>46174</v>
      </c>
      <c r="CBD220" s="30">
        <f t="shared" ref="CBD220" si="156">CBC220-CBB220</f>
        <v>0</v>
      </c>
      <c r="CBE220" s="5" t="s">
        <v>317</v>
      </c>
      <c r="CBF220" s="2" t="s">
        <v>22</v>
      </c>
      <c r="CBG220" s="53" t="s">
        <v>334</v>
      </c>
      <c r="CBH220" s="2" t="s">
        <v>513</v>
      </c>
      <c r="CBI220" s="2" t="s">
        <v>25</v>
      </c>
      <c r="CBJ220" s="2" t="s">
        <v>393</v>
      </c>
      <c r="CBK220" s="7">
        <v>-74.044305502618698</v>
      </c>
      <c r="CBL220" s="7">
        <v>4.6804459478222702</v>
      </c>
      <c r="CBM220" s="2" t="s">
        <v>357</v>
      </c>
      <c r="CBN220" s="2" t="s">
        <v>63</v>
      </c>
      <c r="CBO220" s="2" t="s">
        <v>83</v>
      </c>
      <c r="CBP220" s="2" t="s">
        <v>63</v>
      </c>
      <c r="CBQ220" s="24">
        <v>434</v>
      </c>
      <c r="CBR220" s="5">
        <v>46174</v>
      </c>
      <c r="CBS220" s="5">
        <v>46174</v>
      </c>
      <c r="CBT220" s="30">
        <f t="shared" ref="CBT220" si="157">CBS220-CBR220</f>
        <v>0</v>
      </c>
      <c r="CBU220" s="5" t="s">
        <v>317</v>
      </c>
      <c r="CBV220" s="2" t="s">
        <v>22</v>
      </c>
      <c r="CBW220" s="53" t="s">
        <v>334</v>
      </c>
      <c r="CBX220" s="2" t="s">
        <v>513</v>
      </c>
      <c r="CBY220" s="2" t="s">
        <v>25</v>
      </c>
      <c r="CBZ220" s="2" t="s">
        <v>393</v>
      </c>
      <c r="CCA220" s="7">
        <v>-74.044305502618698</v>
      </c>
      <c r="CCB220" s="7">
        <v>4.6804459478222702</v>
      </c>
      <c r="CCC220" s="2" t="s">
        <v>357</v>
      </c>
      <c r="CCD220" s="2" t="s">
        <v>63</v>
      </c>
      <c r="CCE220" s="2" t="s">
        <v>83</v>
      </c>
      <c r="CCF220" s="2" t="s">
        <v>63</v>
      </c>
      <c r="CCG220" s="24">
        <v>434</v>
      </c>
      <c r="CCH220" s="5">
        <v>46174</v>
      </c>
      <c r="CCI220" s="5">
        <v>46174</v>
      </c>
      <c r="CCJ220" s="30">
        <f t="shared" ref="CCJ220" si="158">CCI220-CCH220</f>
        <v>0</v>
      </c>
      <c r="CCK220" s="5" t="s">
        <v>317</v>
      </c>
      <c r="CCL220" s="2" t="s">
        <v>22</v>
      </c>
      <c r="CCM220" s="53" t="s">
        <v>334</v>
      </c>
      <c r="CCN220" s="2" t="s">
        <v>513</v>
      </c>
      <c r="CCO220" s="2" t="s">
        <v>25</v>
      </c>
      <c r="CCP220" s="2" t="s">
        <v>393</v>
      </c>
      <c r="CCQ220" s="7">
        <v>-74.044305502618698</v>
      </c>
      <c r="CCR220" s="7">
        <v>4.6804459478222702</v>
      </c>
      <c r="CCS220" s="2" t="s">
        <v>357</v>
      </c>
      <c r="CCT220" s="2" t="s">
        <v>63</v>
      </c>
      <c r="CCU220" s="2" t="s">
        <v>83</v>
      </c>
      <c r="CCV220" s="2" t="s">
        <v>63</v>
      </c>
      <c r="CCW220" s="24">
        <v>434</v>
      </c>
      <c r="CCX220" s="5">
        <v>46174</v>
      </c>
      <c r="CCY220" s="5">
        <v>46174</v>
      </c>
      <c r="CCZ220" s="30">
        <f t="shared" ref="CCZ220" si="159">CCY220-CCX220</f>
        <v>0</v>
      </c>
      <c r="CDA220" s="5" t="s">
        <v>317</v>
      </c>
      <c r="CDB220" s="2" t="s">
        <v>22</v>
      </c>
      <c r="CDC220" s="53" t="s">
        <v>334</v>
      </c>
      <c r="CDD220" s="2" t="s">
        <v>513</v>
      </c>
      <c r="CDE220" s="2" t="s">
        <v>25</v>
      </c>
      <c r="CDF220" s="2" t="s">
        <v>393</v>
      </c>
      <c r="CDG220" s="7">
        <v>-74.044305502618698</v>
      </c>
      <c r="CDH220" s="7">
        <v>4.6804459478222702</v>
      </c>
      <c r="CDI220" s="2" t="s">
        <v>357</v>
      </c>
      <c r="CDJ220" s="2" t="s">
        <v>63</v>
      </c>
      <c r="CDK220" s="2" t="s">
        <v>83</v>
      </c>
      <c r="CDL220" s="2" t="s">
        <v>63</v>
      </c>
      <c r="CDM220" s="24">
        <v>434</v>
      </c>
      <c r="CDN220" s="5">
        <v>46174</v>
      </c>
      <c r="CDO220" s="5">
        <v>46174</v>
      </c>
      <c r="CDP220" s="30">
        <f t="shared" ref="CDP220" si="160">CDO220-CDN220</f>
        <v>0</v>
      </c>
      <c r="CDQ220" s="5" t="s">
        <v>317</v>
      </c>
      <c r="CDR220" s="2" t="s">
        <v>22</v>
      </c>
      <c r="CDS220" s="53" t="s">
        <v>334</v>
      </c>
      <c r="CDT220" s="2" t="s">
        <v>513</v>
      </c>
      <c r="CDU220" s="2" t="s">
        <v>25</v>
      </c>
      <c r="CDV220" s="2" t="s">
        <v>393</v>
      </c>
      <c r="CDW220" s="7">
        <v>-74.044305502618698</v>
      </c>
      <c r="CDX220" s="7">
        <v>4.6804459478222702</v>
      </c>
      <c r="CDY220" s="2" t="s">
        <v>357</v>
      </c>
      <c r="CDZ220" s="2" t="s">
        <v>63</v>
      </c>
      <c r="CEA220" s="2" t="s">
        <v>83</v>
      </c>
      <c r="CEB220" s="2" t="s">
        <v>63</v>
      </c>
      <c r="CEC220" s="24">
        <v>434</v>
      </c>
      <c r="CED220" s="5">
        <v>46174</v>
      </c>
      <c r="CEE220" s="5">
        <v>46174</v>
      </c>
      <c r="CEF220" s="30">
        <f t="shared" ref="CEF220" si="161">CEE220-CED220</f>
        <v>0</v>
      </c>
      <c r="CEG220" s="5" t="s">
        <v>317</v>
      </c>
      <c r="CEH220" s="2" t="s">
        <v>22</v>
      </c>
      <c r="CEI220" s="53" t="s">
        <v>334</v>
      </c>
      <c r="CEJ220" s="2" t="s">
        <v>513</v>
      </c>
      <c r="CEK220" s="2" t="s">
        <v>25</v>
      </c>
      <c r="CEL220" s="2" t="s">
        <v>393</v>
      </c>
      <c r="CEM220" s="7">
        <v>-74.044305502618698</v>
      </c>
      <c r="CEN220" s="7">
        <v>4.6804459478222702</v>
      </c>
      <c r="CEO220" s="2" t="s">
        <v>357</v>
      </c>
      <c r="CEP220" s="2" t="s">
        <v>63</v>
      </c>
      <c r="CEQ220" s="2" t="s">
        <v>83</v>
      </c>
      <c r="CER220" s="2" t="s">
        <v>63</v>
      </c>
      <c r="CES220" s="24">
        <v>434</v>
      </c>
      <c r="CET220" s="5">
        <v>46174</v>
      </c>
      <c r="CEU220" s="5">
        <v>46174</v>
      </c>
      <c r="CEV220" s="30">
        <f t="shared" ref="CEV220" si="162">CEU220-CET220</f>
        <v>0</v>
      </c>
      <c r="CEW220" s="5" t="s">
        <v>317</v>
      </c>
      <c r="CEX220" s="2" t="s">
        <v>22</v>
      </c>
      <c r="CEY220" s="53" t="s">
        <v>334</v>
      </c>
      <c r="CEZ220" s="2" t="s">
        <v>513</v>
      </c>
      <c r="CFA220" s="2" t="s">
        <v>25</v>
      </c>
      <c r="CFB220" s="2" t="s">
        <v>393</v>
      </c>
      <c r="CFC220" s="7">
        <v>-74.044305502618698</v>
      </c>
      <c r="CFD220" s="7">
        <v>4.6804459478222702</v>
      </c>
      <c r="CFE220" s="2" t="s">
        <v>357</v>
      </c>
      <c r="CFF220" s="2" t="s">
        <v>63</v>
      </c>
      <c r="CFG220" s="2" t="s">
        <v>83</v>
      </c>
      <c r="CFH220" s="2" t="s">
        <v>63</v>
      </c>
      <c r="CFI220" s="24">
        <v>434</v>
      </c>
      <c r="CFJ220" s="5">
        <v>46174</v>
      </c>
      <c r="CFK220" s="5">
        <v>46174</v>
      </c>
      <c r="CFL220" s="30">
        <f t="shared" ref="CFL220" si="163">CFK220-CFJ220</f>
        <v>0</v>
      </c>
      <c r="CFM220" s="5" t="s">
        <v>317</v>
      </c>
      <c r="CFN220" s="2" t="s">
        <v>22</v>
      </c>
      <c r="CFO220" s="53" t="s">
        <v>334</v>
      </c>
      <c r="CFP220" s="2" t="s">
        <v>513</v>
      </c>
      <c r="CFQ220" s="2" t="s">
        <v>25</v>
      </c>
      <c r="CFR220" s="2" t="s">
        <v>393</v>
      </c>
      <c r="CFS220" s="7">
        <v>-74.044305502618698</v>
      </c>
      <c r="CFT220" s="7">
        <v>4.6804459478222702</v>
      </c>
      <c r="CFU220" s="2" t="s">
        <v>357</v>
      </c>
      <c r="CFV220" s="2" t="s">
        <v>63</v>
      </c>
      <c r="CFW220" s="2" t="s">
        <v>83</v>
      </c>
      <c r="CFX220" s="2" t="s">
        <v>63</v>
      </c>
      <c r="CFY220" s="24">
        <v>434</v>
      </c>
      <c r="CFZ220" s="5">
        <v>46174</v>
      </c>
      <c r="CGA220" s="5">
        <v>46174</v>
      </c>
      <c r="CGB220" s="30">
        <f t="shared" ref="CGB220" si="164">CGA220-CFZ220</f>
        <v>0</v>
      </c>
      <c r="CGC220" s="5" t="s">
        <v>317</v>
      </c>
      <c r="CGD220" s="2" t="s">
        <v>22</v>
      </c>
      <c r="CGE220" s="53" t="s">
        <v>334</v>
      </c>
      <c r="CGF220" s="2" t="s">
        <v>513</v>
      </c>
      <c r="CGG220" s="2" t="s">
        <v>25</v>
      </c>
      <c r="CGH220" s="2" t="s">
        <v>393</v>
      </c>
      <c r="CGI220" s="7">
        <v>-74.044305502618698</v>
      </c>
      <c r="CGJ220" s="7">
        <v>4.6804459478222702</v>
      </c>
      <c r="CGK220" s="2" t="s">
        <v>357</v>
      </c>
      <c r="CGL220" s="2" t="s">
        <v>63</v>
      </c>
      <c r="CGM220" s="2" t="s">
        <v>83</v>
      </c>
      <c r="CGN220" s="2" t="s">
        <v>63</v>
      </c>
      <c r="CGO220" s="24">
        <v>434</v>
      </c>
      <c r="CGP220" s="5">
        <v>46174</v>
      </c>
      <c r="CGQ220" s="5">
        <v>46174</v>
      </c>
      <c r="CGR220" s="30">
        <f t="shared" ref="CGR220" si="165">CGQ220-CGP220</f>
        <v>0</v>
      </c>
      <c r="CGS220" s="5" t="s">
        <v>317</v>
      </c>
      <c r="CGT220" s="2" t="s">
        <v>22</v>
      </c>
      <c r="CGU220" s="53" t="s">
        <v>334</v>
      </c>
      <c r="CGV220" s="2" t="s">
        <v>513</v>
      </c>
      <c r="CGW220" s="2" t="s">
        <v>25</v>
      </c>
      <c r="CGX220" s="2" t="s">
        <v>393</v>
      </c>
      <c r="CGY220" s="7">
        <v>-74.044305502618698</v>
      </c>
      <c r="CGZ220" s="7">
        <v>4.6804459478222702</v>
      </c>
      <c r="CHA220" s="2" t="s">
        <v>357</v>
      </c>
      <c r="CHB220" s="2" t="s">
        <v>63</v>
      </c>
      <c r="CHC220" s="2" t="s">
        <v>83</v>
      </c>
      <c r="CHD220" s="2" t="s">
        <v>63</v>
      </c>
      <c r="CHE220" s="24">
        <v>434</v>
      </c>
      <c r="CHF220" s="5">
        <v>46174</v>
      </c>
      <c r="CHG220" s="5">
        <v>46174</v>
      </c>
      <c r="CHH220" s="30">
        <f t="shared" ref="CHH220" si="166">CHG220-CHF220</f>
        <v>0</v>
      </c>
      <c r="CHI220" s="5" t="s">
        <v>317</v>
      </c>
      <c r="CHJ220" s="2" t="s">
        <v>22</v>
      </c>
      <c r="CHK220" s="53" t="s">
        <v>334</v>
      </c>
      <c r="CHL220" s="2" t="s">
        <v>513</v>
      </c>
      <c r="CHM220" s="2" t="s">
        <v>25</v>
      </c>
      <c r="CHN220" s="2" t="s">
        <v>393</v>
      </c>
      <c r="CHO220" s="7">
        <v>-74.044305502618698</v>
      </c>
      <c r="CHP220" s="7">
        <v>4.6804459478222702</v>
      </c>
      <c r="CHQ220" s="2" t="s">
        <v>357</v>
      </c>
      <c r="CHR220" s="2" t="s">
        <v>63</v>
      </c>
      <c r="CHS220" s="2" t="s">
        <v>83</v>
      </c>
      <c r="CHT220" s="2" t="s">
        <v>63</v>
      </c>
      <c r="CHU220" s="24">
        <v>434</v>
      </c>
      <c r="CHV220" s="5">
        <v>46174</v>
      </c>
      <c r="CHW220" s="5">
        <v>46174</v>
      </c>
      <c r="CHX220" s="30">
        <f t="shared" ref="CHX220" si="167">CHW220-CHV220</f>
        <v>0</v>
      </c>
      <c r="CHY220" s="5" t="s">
        <v>317</v>
      </c>
      <c r="CHZ220" s="2" t="s">
        <v>22</v>
      </c>
      <c r="CIA220" s="53" t="s">
        <v>334</v>
      </c>
      <c r="CIB220" s="2" t="s">
        <v>513</v>
      </c>
      <c r="CIC220" s="2" t="s">
        <v>25</v>
      </c>
      <c r="CID220" s="2" t="s">
        <v>393</v>
      </c>
      <c r="CIE220" s="7">
        <v>-74.044305502618698</v>
      </c>
      <c r="CIF220" s="7">
        <v>4.6804459478222702</v>
      </c>
      <c r="CIG220" s="2" t="s">
        <v>357</v>
      </c>
      <c r="CIH220" s="2" t="s">
        <v>63</v>
      </c>
      <c r="CII220" s="2" t="s">
        <v>83</v>
      </c>
      <c r="CIJ220" s="2" t="s">
        <v>63</v>
      </c>
      <c r="CIK220" s="24">
        <v>434</v>
      </c>
      <c r="CIL220" s="5">
        <v>46174</v>
      </c>
      <c r="CIM220" s="5">
        <v>46174</v>
      </c>
      <c r="CIN220" s="30">
        <f t="shared" ref="CIN220" si="168">CIM220-CIL220</f>
        <v>0</v>
      </c>
      <c r="CIO220" s="5" t="s">
        <v>317</v>
      </c>
      <c r="CIP220" s="2" t="s">
        <v>22</v>
      </c>
      <c r="CIQ220" s="53" t="s">
        <v>334</v>
      </c>
      <c r="CIR220" s="2" t="s">
        <v>513</v>
      </c>
      <c r="CIS220" s="2" t="s">
        <v>25</v>
      </c>
      <c r="CIT220" s="2" t="s">
        <v>393</v>
      </c>
      <c r="CIU220" s="7">
        <v>-74.044305502618698</v>
      </c>
      <c r="CIV220" s="7">
        <v>4.6804459478222702</v>
      </c>
      <c r="CIW220" s="2" t="s">
        <v>357</v>
      </c>
      <c r="CIX220" s="2" t="s">
        <v>63</v>
      </c>
      <c r="CIY220" s="2" t="s">
        <v>83</v>
      </c>
      <c r="CIZ220" s="2" t="s">
        <v>63</v>
      </c>
      <c r="CJA220" s="24">
        <v>434</v>
      </c>
      <c r="CJB220" s="5">
        <v>46174</v>
      </c>
      <c r="CJC220" s="5">
        <v>46174</v>
      </c>
      <c r="CJD220" s="30">
        <f t="shared" ref="CJD220" si="169">CJC220-CJB220</f>
        <v>0</v>
      </c>
      <c r="CJE220" s="5" t="s">
        <v>317</v>
      </c>
      <c r="CJF220" s="2" t="s">
        <v>22</v>
      </c>
      <c r="CJG220" s="53" t="s">
        <v>334</v>
      </c>
      <c r="CJH220" s="2" t="s">
        <v>513</v>
      </c>
      <c r="CJI220" s="2" t="s">
        <v>25</v>
      </c>
      <c r="CJJ220" s="2" t="s">
        <v>393</v>
      </c>
      <c r="CJK220" s="7">
        <v>-74.044305502618698</v>
      </c>
      <c r="CJL220" s="7">
        <v>4.6804459478222702</v>
      </c>
      <c r="CJM220" s="2" t="s">
        <v>357</v>
      </c>
      <c r="CJN220" s="2" t="s">
        <v>63</v>
      </c>
      <c r="CJO220" s="2" t="s">
        <v>83</v>
      </c>
      <c r="CJP220" s="2" t="s">
        <v>63</v>
      </c>
      <c r="CJQ220" s="24">
        <v>434</v>
      </c>
      <c r="CJR220" s="5">
        <v>46174</v>
      </c>
      <c r="CJS220" s="5">
        <v>46174</v>
      </c>
      <c r="CJT220" s="30">
        <f t="shared" ref="CJT220" si="170">CJS220-CJR220</f>
        <v>0</v>
      </c>
      <c r="CJU220" s="5" t="s">
        <v>317</v>
      </c>
      <c r="CJV220" s="2" t="s">
        <v>22</v>
      </c>
      <c r="CJW220" s="53" t="s">
        <v>334</v>
      </c>
      <c r="CJX220" s="2" t="s">
        <v>513</v>
      </c>
      <c r="CJY220" s="2" t="s">
        <v>25</v>
      </c>
      <c r="CJZ220" s="2" t="s">
        <v>393</v>
      </c>
      <c r="CKA220" s="7">
        <v>-74.044305502618698</v>
      </c>
      <c r="CKB220" s="7">
        <v>4.6804459478222702</v>
      </c>
      <c r="CKC220" s="2" t="s">
        <v>357</v>
      </c>
      <c r="CKD220" s="2" t="s">
        <v>63</v>
      </c>
      <c r="CKE220" s="2" t="s">
        <v>83</v>
      </c>
      <c r="CKF220" s="2" t="s">
        <v>63</v>
      </c>
      <c r="CKG220" s="24">
        <v>434</v>
      </c>
      <c r="CKH220" s="5">
        <v>46174</v>
      </c>
      <c r="CKI220" s="5">
        <v>46174</v>
      </c>
      <c r="CKJ220" s="30">
        <f t="shared" ref="CKJ220" si="171">CKI220-CKH220</f>
        <v>0</v>
      </c>
      <c r="CKK220" s="5" t="s">
        <v>317</v>
      </c>
      <c r="CKL220" s="2" t="s">
        <v>22</v>
      </c>
      <c r="CKM220" s="53" t="s">
        <v>334</v>
      </c>
      <c r="CKN220" s="2" t="s">
        <v>513</v>
      </c>
      <c r="CKO220" s="2" t="s">
        <v>25</v>
      </c>
      <c r="CKP220" s="2" t="s">
        <v>393</v>
      </c>
      <c r="CKQ220" s="7">
        <v>-74.044305502618698</v>
      </c>
      <c r="CKR220" s="7">
        <v>4.6804459478222702</v>
      </c>
      <c r="CKS220" s="2" t="s">
        <v>357</v>
      </c>
      <c r="CKT220" s="2" t="s">
        <v>63</v>
      </c>
      <c r="CKU220" s="2" t="s">
        <v>83</v>
      </c>
      <c r="CKV220" s="2" t="s">
        <v>63</v>
      </c>
      <c r="CKW220" s="24">
        <v>434</v>
      </c>
      <c r="CKX220" s="5">
        <v>46174</v>
      </c>
      <c r="CKY220" s="5">
        <v>46174</v>
      </c>
      <c r="CKZ220" s="30">
        <f t="shared" ref="CKZ220" si="172">CKY220-CKX220</f>
        <v>0</v>
      </c>
      <c r="CLA220" s="5" t="s">
        <v>317</v>
      </c>
      <c r="CLB220" s="2" t="s">
        <v>22</v>
      </c>
      <c r="CLC220" s="53" t="s">
        <v>334</v>
      </c>
      <c r="CLD220" s="2" t="s">
        <v>513</v>
      </c>
      <c r="CLE220" s="2" t="s">
        <v>25</v>
      </c>
      <c r="CLF220" s="2" t="s">
        <v>393</v>
      </c>
      <c r="CLG220" s="7">
        <v>-74.044305502618698</v>
      </c>
      <c r="CLH220" s="7">
        <v>4.6804459478222702</v>
      </c>
      <c r="CLI220" s="2" t="s">
        <v>357</v>
      </c>
      <c r="CLJ220" s="2" t="s">
        <v>63</v>
      </c>
      <c r="CLK220" s="2" t="s">
        <v>83</v>
      </c>
      <c r="CLL220" s="2" t="s">
        <v>63</v>
      </c>
      <c r="CLM220" s="24">
        <v>434</v>
      </c>
      <c r="CLN220" s="5">
        <v>46174</v>
      </c>
      <c r="CLO220" s="5">
        <v>46174</v>
      </c>
      <c r="CLP220" s="30">
        <f t="shared" ref="CLP220" si="173">CLO220-CLN220</f>
        <v>0</v>
      </c>
      <c r="CLQ220" s="5" t="s">
        <v>317</v>
      </c>
      <c r="CLR220" s="2" t="s">
        <v>22</v>
      </c>
      <c r="CLS220" s="53" t="s">
        <v>334</v>
      </c>
      <c r="CLT220" s="2" t="s">
        <v>513</v>
      </c>
      <c r="CLU220" s="2" t="s">
        <v>25</v>
      </c>
      <c r="CLV220" s="2" t="s">
        <v>393</v>
      </c>
      <c r="CLW220" s="7">
        <v>-74.044305502618698</v>
      </c>
      <c r="CLX220" s="7">
        <v>4.6804459478222702</v>
      </c>
      <c r="CLY220" s="2" t="s">
        <v>357</v>
      </c>
      <c r="CLZ220" s="2" t="s">
        <v>63</v>
      </c>
      <c r="CMA220" s="2" t="s">
        <v>83</v>
      </c>
      <c r="CMB220" s="2" t="s">
        <v>63</v>
      </c>
      <c r="CMC220" s="24">
        <v>434</v>
      </c>
      <c r="CMD220" s="5">
        <v>46174</v>
      </c>
      <c r="CME220" s="5">
        <v>46174</v>
      </c>
      <c r="CMF220" s="30">
        <f t="shared" ref="CMF220" si="174">CME220-CMD220</f>
        <v>0</v>
      </c>
      <c r="CMG220" s="5" t="s">
        <v>317</v>
      </c>
      <c r="CMH220" s="2" t="s">
        <v>22</v>
      </c>
      <c r="CMI220" s="53" t="s">
        <v>334</v>
      </c>
      <c r="CMJ220" s="2" t="s">
        <v>513</v>
      </c>
      <c r="CMK220" s="2" t="s">
        <v>25</v>
      </c>
      <c r="CML220" s="2" t="s">
        <v>393</v>
      </c>
      <c r="CMM220" s="7">
        <v>-74.044305502618698</v>
      </c>
      <c r="CMN220" s="7">
        <v>4.6804459478222702</v>
      </c>
      <c r="CMO220" s="2" t="s">
        <v>357</v>
      </c>
      <c r="CMP220" s="2" t="s">
        <v>63</v>
      </c>
      <c r="CMQ220" s="2" t="s">
        <v>83</v>
      </c>
      <c r="CMR220" s="2" t="s">
        <v>63</v>
      </c>
      <c r="CMS220" s="24">
        <v>434</v>
      </c>
      <c r="CMT220" s="5">
        <v>46174</v>
      </c>
      <c r="CMU220" s="5">
        <v>46174</v>
      </c>
      <c r="CMV220" s="30">
        <f t="shared" ref="CMV220" si="175">CMU220-CMT220</f>
        <v>0</v>
      </c>
      <c r="CMW220" s="5" t="s">
        <v>317</v>
      </c>
      <c r="CMX220" s="2" t="s">
        <v>22</v>
      </c>
      <c r="CMY220" s="53" t="s">
        <v>334</v>
      </c>
      <c r="CMZ220" s="2" t="s">
        <v>513</v>
      </c>
      <c r="CNA220" s="2" t="s">
        <v>25</v>
      </c>
      <c r="CNB220" s="2" t="s">
        <v>393</v>
      </c>
      <c r="CNC220" s="7">
        <v>-74.044305502618698</v>
      </c>
      <c r="CND220" s="7">
        <v>4.6804459478222702</v>
      </c>
      <c r="CNE220" s="2" t="s">
        <v>357</v>
      </c>
      <c r="CNF220" s="2" t="s">
        <v>63</v>
      </c>
      <c r="CNG220" s="2" t="s">
        <v>83</v>
      </c>
      <c r="CNH220" s="2" t="s">
        <v>63</v>
      </c>
      <c r="CNI220" s="24">
        <v>434</v>
      </c>
      <c r="CNJ220" s="5">
        <v>46174</v>
      </c>
      <c r="CNK220" s="5">
        <v>46174</v>
      </c>
      <c r="CNL220" s="30">
        <f t="shared" ref="CNL220" si="176">CNK220-CNJ220</f>
        <v>0</v>
      </c>
      <c r="CNM220" s="5" t="s">
        <v>317</v>
      </c>
      <c r="CNN220" s="2" t="s">
        <v>22</v>
      </c>
      <c r="CNO220" s="53" t="s">
        <v>334</v>
      </c>
      <c r="CNP220" s="2" t="s">
        <v>513</v>
      </c>
      <c r="CNQ220" s="2" t="s">
        <v>25</v>
      </c>
      <c r="CNR220" s="2" t="s">
        <v>393</v>
      </c>
      <c r="CNS220" s="7">
        <v>-74.044305502618698</v>
      </c>
      <c r="CNT220" s="7">
        <v>4.6804459478222702</v>
      </c>
      <c r="CNU220" s="2" t="s">
        <v>357</v>
      </c>
      <c r="CNV220" s="2" t="s">
        <v>63</v>
      </c>
      <c r="CNW220" s="2" t="s">
        <v>83</v>
      </c>
      <c r="CNX220" s="2" t="s">
        <v>63</v>
      </c>
      <c r="CNY220" s="24">
        <v>434</v>
      </c>
      <c r="CNZ220" s="5">
        <v>46174</v>
      </c>
      <c r="COA220" s="5">
        <v>46174</v>
      </c>
      <c r="COB220" s="30">
        <f t="shared" ref="COB220" si="177">COA220-CNZ220</f>
        <v>0</v>
      </c>
      <c r="COC220" s="5" t="s">
        <v>317</v>
      </c>
      <c r="COD220" s="2" t="s">
        <v>22</v>
      </c>
      <c r="COE220" s="53" t="s">
        <v>334</v>
      </c>
      <c r="COF220" s="2" t="s">
        <v>513</v>
      </c>
      <c r="COG220" s="2" t="s">
        <v>25</v>
      </c>
      <c r="COH220" s="2" t="s">
        <v>393</v>
      </c>
      <c r="COI220" s="7">
        <v>-74.044305502618698</v>
      </c>
      <c r="COJ220" s="7">
        <v>4.6804459478222702</v>
      </c>
      <c r="COK220" s="2" t="s">
        <v>357</v>
      </c>
      <c r="COL220" s="2" t="s">
        <v>63</v>
      </c>
      <c r="COM220" s="2" t="s">
        <v>83</v>
      </c>
      <c r="CON220" s="2" t="s">
        <v>63</v>
      </c>
      <c r="COO220" s="24">
        <v>434</v>
      </c>
      <c r="COP220" s="5">
        <v>46174</v>
      </c>
      <c r="COQ220" s="5">
        <v>46174</v>
      </c>
      <c r="COR220" s="30">
        <f t="shared" ref="COR220" si="178">COQ220-COP220</f>
        <v>0</v>
      </c>
      <c r="COS220" s="5" t="s">
        <v>317</v>
      </c>
      <c r="COT220" s="2" t="s">
        <v>22</v>
      </c>
      <c r="COU220" s="53" t="s">
        <v>334</v>
      </c>
      <c r="COV220" s="2" t="s">
        <v>513</v>
      </c>
      <c r="COW220" s="2" t="s">
        <v>25</v>
      </c>
      <c r="COX220" s="2" t="s">
        <v>393</v>
      </c>
      <c r="COY220" s="7">
        <v>-74.044305502618698</v>
      </c>
      <c r="COZ220" s="7">
        <v>4.6804459478222702</v>
      </c>
      <c r="CPA220" s="2" t="s">
        <v>357</v>
      </c>
      <c r="CPB220" s="2" t="s">
        <v>63</v>
      </c>
      <c r="CPC220" s="2" t="s">
        <v>83</v>
      </c>
      <c r="CPD220" s="2" t="s">
        <v>63</v>
      </c>
      <c r="CPE220" s="24">
        <v>434</v>
      </c>
      <c r="CPF220" s="5">
        <v>46174</v>
      </c>
      <c r="CPG220" s="5">
        <v>46174</v>
      </c>
      <c r="CPH220" s="30">
        <f t="shared" ref="CPH220" si="179">CPG220-CPF220</f>
        <v>0</v>
      </c>
      <c r="CPI220" s="5" t="s">
        <v>317</v>
      </c>
      <c r="CPJ220" s="2" t="s">
        <v>22</v>
      </c>
      <c r="CPK220" s="53" t="s">
        <v>334</v>
      </c>
      <c r="CPL220" s="2" t="s">
        <v>513</v>
      </c>
      <c r="CPM220" s="2" t="s">
        <v>25</v>
      </c>
      <c r="CPN220" s="2" t="s">
        <v>393</v>
      </c>
      <c r="CPO220" s="7">
        <v>-74.044305502618698</v>
      </c>
      <c r="CPP220" s="7">
        <v>4.6804459478222702</v>
      </c>
      <c r="CPQ220" s="2" t="s">
        <v>357</v>
      </c>
      <c r="CPR220" s="2" t="s">
        <v>63</v>
      </c>
      <c r="CPS220" s="2" t="s">
        <v>83</v>
      </c>
      <c r="CPT220" s="2" t="s">
        <v>63</v>
      </c>
      <c r="CPU220" s="24">
        <v>434</v>
      </c>
      <c r="CPV220" s="5">
        <v>46174</v>
      </c>
      <c r="CPW220" s="5">
        <v>46174</v>
      </c>
      <c r="CPX220" s="30">
        <f t="shared" ref="CPX220" si="180">CPW220-CPV220</f>
        <v>0</v>
      </c>
      <c r="CPY220" s="5" t="s">
        <v>317</v>
      </c>
      <c r="CPZ220" s="2" t="s">
        <v>22</v>
      </c>
      <c r="CQA220" s="53" t="s">
        <v>334</v>
      </c>
      <c r="CQB220" s="2" t="s">
        <v>513</v>
      </c>
      <c r="CQC220" s="2" t="s">
        <v>25</v>
      </c>
      <c r="CQD220" s="2" t="s">
        <v>393</v>
      </c>
      <c r="CQE220" s="7">
        <v>-74.044305502618698</v>
      </c>
      <c r="CQF220" s="7">
        <v>4.6804459478222702</v>
      </c>
      <c r="CQG220" s="2" t="s">
        <v>357</v>
      </c>
      <c r="CQH220" s="2" t="s">
        <v>63</v>
      </c>
      <c r="CQI220" s="2" t="s">
        <v>83</v>
      </c>
      <c r="CQJ220" s="2" t="s">
        <v>63</v>
      </c>
      <c r="CQK220" s="24">
        <v>434</v>
      </c>
      <c r="CQL220" s="5">
        <v>46174</v>
      </c>
      <c r="CQM220" s="5">
        <v>46174</v>
      </c>
      <c r="CQN220" s="30">
        <f t="shared" ref="CQN220" si="181">CQM220-CQL220</f>
        <v>0</v>
      </c>
      <c r="CQO220" s="5" t="s">
        <v>317</v>
      </c>
      <c r="CQP220" s="2" t="s">
        <v>22</v>
      </c>
      <c r="CQQ220" s="53" t="s">
        <v>334</v>
      </c>
      <c r="CQR220" s="2" t="s">
        <v>513</v>
      </c>
      <c r="CQS220" s="2" t="s">
        <v>25</v>
      </c>
      <c r="CQT220" s="2" t="s">
        <v>393</v>
      </c>
      <c r="CQU220" s="7">
        <v>-74.044305502618698</v>
      </c>
      <c r="CQV220" s="7">
        <v>4.6804459478222702</v>
      </c>
      <c r="CQW220" s="2" t="s">
        <v>357</v>
      </c>
      <c r="CQX220" s="2" t="s">
        <v>63</v>
      </c>
      <c r="CQY220" s="2" t="s">
        <v>83</v>
      </c>
      <c r="CQZ220" s="2" t="s">
        <v>63</v>
      </c>
      <c r="CRA220" s="24">
        <v>434</v>
      </c>
      <c r="CRB220" s="5">
        <v>46174</v>
      </c>
      <c r="CRC220" s="5">
        <v>46174</v>
      </c>
      <c r="CRD220" s="30">
        <f t="shared" ref="CRD220" si="182">CRC220-CRB220</f>
        <v>0</v>
      </c>
      <c r="CRE220" s="5" t="s">
        <v>317</v>
      </c>
      <c r="CRF220" s="2" t="s">
        <v>22</v>
      </c>
      <c r="CRG220" s="53" t="s">
        <v>334</v>
      </c>
      <c r="CRH220" s="2" t="s">
        <v>513</v>
      </c>
      <c r="CRI220" s="2" t="s">
        <v>25</v>
      </c>
      <c r="CRJ220" s="2" t="s">
        <v>393</v>
      </c>
      <c r="CRK220" s="7">
        <v>-74.044305502618698</v>
      </c>
      <c r="CRL220" s="7">
        <v>4.6804459478222702</v>
      </c>
      <c r="CRM220" s="2" t="s">
        <v>357</v>
      </c>
      <c r="CRN220" s="2" t="s">
        <v>63</v>
      </c>
      <c r="CRO220" s="2" t="s">
        <v>83</v>
      </c>
      <c r="CRP220" s="2" t="s">
        <v>63</v>
      </c>
      <c r="CRQ220" s="24">
        <v>434</v>
      </c>
      <c r="CRR220" s="5">
        <v>46174</v>
      </c>
      <c r="CRS220" s="5">
        <v>46174</v>
      </c>
      <c r="CRT220" s="30">
        <f t="shared" ref="CRT220" si="183">CRS220-CRR220</f>
        <v>0</v>
      </c>
      <c r="CRU220" s="5" t="s">
        <v>317</v>
      </c>
      <c r="CRV220" s="2" t="s">
        <v>22</v>
      </c>
      <c r="CRW220" s="53" t="s">
        <v>334</v>
      </c>
      <c r="CRX220" s="2" t="s">
        <v>513</v>
      </c>
      <c r="CRY220" s="2" t="s">
        <v>25</v>
      </c>
      <c r="CRZ220" s="2" t="s">
        <v>393</v>
      </c>
      <c r="CSA220" s="7">
        <v>-74.044305502618698</v>
      </c>
      <c r="CSB220" s="7">
        <v>4.6804459478222702</v>
      </c>
      <c r="CSC220" s="2" t="s">
        <v>357</v>
      </c>
      <c r="CSD220" s="2" t="s">
        <v>63</v>
      </c>
      <c r="CSE220" s="2" t="s">
        <v>83</v>
      </c>
      <c r="CSF220" s="2" t="s">
        <v>63</v>
      </c>
      <c r="CSG220" s="24">
        <v>434</v>
      </c>
      <c r="CSH220" s="5">
        <v>46174</v>
      </c>
      <c r="CSI220" s="5">
        <v>46174</v>
      </c>
      <c r="CSJ220" s="30">
        <f t="shared" ref="CSJ220" si="184">CSI220-CSH220</f>
        <v>0</v>
      </c>
      <c r="CSK220" s="5" t="s">
        <v>317</v>
      </c>
      <c r="CSL220" s="2" t="s">
        <v>22</v>
      </c>
      <c r="CSM220" s="53" t="s">
        <v>334</v>
      </c>
      <c r="CSN220" s="2" t="s">
        <v>513</v>
      </c>
      <c r="CSO220" s="2" t="s">
        <v>25</v>
      </c>
      <c r="CSP220" s="2" t="s">
        <v>393</v>
      </c>
      <c r="CSQ220" s="7">
        <v>-74.044305502618698</v>
      </c>
      <c r="CSR220" s="7">
        <v>4.6804459478222702</v>
      </c>
      <c r="CSS220" s="2" t="s">
        <v>357</v>
      </c>
      <c r="CST220" s="2" t="s">
        <v>63</v>
      </c>
      <c r="CSU220" s="2" t="s">
        <v>83</v>
      </c>
      <c r="CSV220" s="2" t="s">
        <v>63</v>
      </c>
      <c r="CSW220" s="24">
        <v>434</v>
      </c>
      <c r="CSX220" s="5">
        <v>46174</v>
      </c>
      <c r="CSY220" s="5">
        <v>46174</v>
      </c>
      <c r="CSZ220" s="30">
        <f t="shared" ref="CSZ220" si="185">CSY220-CSX220</f>
        <v>0</v>
      </c>
      <c r="CTA220" s="5" t="s">
        <v>317</v>
      </c>
      <c r="CTB220" s="2" t="s">
        <v>22</v>
      </c>
      <c r="CTC220" s="53" t="s">
        <v>334</v>
      </c>
      <c r="CTD220" s="2" t="s">
        <v>513</v>
      </c>
      <c r="CTE220" s="2" t="s">
        <v>25</v>
      </c>
      <c r="CTF220" s="2" t="s">
        <v>393</v>
      </c>
      <c r="CTG220" s="7">
        <v>-74.044305502618698</v>
      </c>
      <c r="CTH220" s="7">
        <v>4.6804459478222702</v>
      </c>
      <c r="CTI220" s="2" t="s">
        <v>357</v>
      </c>
      <c r="CTJ220" s="2" t="s">
        <v>63</v>
      </c>
      <c r="CTK220" s="2" t="s">
        <v>83</v>
      </c>
      <c r="CTL220" s="2" t="s">
        <v>63</v>
      </c>
      <c r="CTM220" s="24">
        <v>434</v>
      </c>
      <c r="CTN220" s="5">
        <v>46174</v>
      </c>
      <c r="CTO220" s="5">
        <v>46174</v>
      </c>
      <c r="CTP220" s="30">
        <f t="shared" ref="CTP220" si="186">CTO220-CTN220</f>
        <v>0</v>
      </c>
      <c r="CTQ220" s="5" t="s">
        <v>317</v>
      </c>
      <c r="CTR220" s="2" t="s">
        <v>22</v>
      </c>
      <c r="CTS220" s="53" t="s">
        <v>334</v>
      </c>
      <c r="CTT220" s="2" t="s">
        <v>513</v>
      </c>
      <c r="CTU220" s="2" t="s">
        <v>25</v>
      </c>
      <c r="CTV220" s="2" t="s">
        <v>393</v>
      </c>
      <c r="CTW220" s="7">
        <v>-74.044305502618698</v>
      </c>
      <c r="CTX220" s="7">
        <v>4.6804459478222702</v>
      </c>
      <c r="CTY220" s="2" t="s">
        <v>357</v>
      </c>
      <c r="CTZ220" s="2" t="s">
        <v>63</v>
      </c>
      <c r="CUA220" s="2" t="s">
        <v>83</v>
      </c>
      <c r="CUB220" s="2" t="s">
        <v>63</v>
      </c>
      <c r="CUC220" s="24">
        <v>434</v>
      </c>
      <c r="CUD220" s="5">
        <v>46174</v>
      </c>
      <c r="CUE220" s="5">
        <v>46174</v>
      </c>
      <c r="CUF220" s="30">
        <f t="shared" ref="CUF220" si="187">CUE220-CUD220</f>
        <v>0</v>
      </c>
      <c r="CUG220" s="5" t="s">
        <v>317</v>
      </c>
      <c r="CUH220" s="2" t="s">
        <v>22</v>
      </c>
      <c r="CUI220" s="53" t="s">
        <v>334</v>
      </c>
      <c r="CUJ220" s="2" t="s">
        <v>513</v>
      </c>
      <c r="CUK220" s="2" t="s">
        <v>25</v>
      </c>
      <c r="CUL220" s="2" t="s">
        <v>393</v>
      </c>
      <c r="CUM220" s="7">
        <v>-74.044305502618698</v>
      </c>
      <c r="CUN220" s="7">
        <v>4.6804459478222702</v>
      </c>
      <c r="CUO220" s="2" t="s">
        <v>357</v>
      </c>
      <c r="CUP220" s="2" t="s">
        <v>63</v>
      </c>
      <c r="CUQ220" s="2" t="s">
        <v>83</v>
      </c>
      <c r="CUR220" s="2" t="s">
        <v>63</v>
      </c>
      <c r="CUS220" s="24">
        <v>434</v>
      </c>
      <c r="CUT220" s="5">
        <v>46174</v>
      </c>
      <c r="CUU220" s="5">
        <v>46174</v>
      </c>
      <c r="CUV220" s="30">
        <f t="shared" ref="CUV220" si="188">CUU220-CUT220</f>
        <v>0</v>
      </c>
      <c r="CUW220" s="5" t="s">
        <v>317</v>
      </c>
      <c r="CUX220" s="2" t="s">
        <v>22</v>
      </c>
      <c r="CUY220" s="53" t="s">
        <v>334</v>
      </c>
      <c r="CUZ220" s="2" t="s">
        <v>513</v>
      </c>
      <c r="CVA220" s="2" t="s">
        <v>25</v>
      </c>
      <c r="CVB220" s="2" t="s">
        <v>393</v>
      </c>
      <c r="CVC220" s="7">
        <v>-74.044305502618698</v>
      </c>
      <c r="CVD220" s="7">
        <v>4.6804459478222702</v>
      </c>
      <c r="CVE220" s="2" t="s">
        <v>357</v>
      </c>
      <c r="CVF220" s="2" t="s">
        <v>63</v>
      </c>
      <c r="CVG220" s="2" t="s">
        <v>83</v>
      </c>
      <c r="CVH220" s="2" t="s">
        <v>63</v>
      </c>
      <c r="CVI220" s="24">
        <v>434</v>
      </c>
      <c r="CVJ220" s="5">
        <v>46174</v>
      </c>
      <c r="CVK220" s="5">
        <v>46174</v>
      </c>
      <c r="CVL220" s="30">
        <f t="shared" ref="CVL220" si="189">CVK220-CVJ220</f>
        <v>0</v>
      </c>
      <c r="CVM220" s="5" t="s">
        <v>317</v>
      </c>
      <c r="CVN220" s="2" t="s">
        <v>22</v>
      </c>
      <c r="CVO220" s="53" t="s">
        <v>334</v>
      </c>
      <c r="CVP220" s="2" t="s">
        <v>513</v>
      </c>
      <c r="CVQ220" s="2" t="s">
        <v>25</v>
      </c>
      <c r="CVR220" s="2" t="s">
        <v>393</v>
      </c>
      <c r="CVS220" s="7">
        <v>-74.044305502618698</v>
      </c>
      <c r="CVT220" s="7">
        <v>4.6804459478222702</v>
      </c>
      <c r="CVU220" s="2" t="s">
        <v>357</v>
      </c>
      <c r="CVV220" s="2" t="s">
        <v>63</v>
      </c>
      <c r="CVW220" s="2" t="s">
        <v>83</v>
      </c>
      <c r="CVX220" s="2" t="s">
        <v>63</v>
      </c>
      <c r="CVY220" s="24">
        <v>434</v>
      </c>
      <c r="CVZ220" s="5">
        <v>46174</v>
      </c>
      <c r="CWA220" s="5">
        <v>46174</v>
      </c>
      <c r="CWB220" s="30">
        <f t="shared" ref="CWB220" si="190">CWA220-CVZ220</f>
        <v>0</v>
      </c>
      <c r="CWC220" s="5" t="s">
        <v>317</v>
      </c>
      <c r="CWD220" s="2" t="s">
        <v>22</v>
      </c>
      <c r="CWE220" s="53" t="s">
        <v>334</v>
      </c>
      <c r="CWF220" s="2" t="s">
        <v>513</v>
      </c>
      <c r="CWG220" s="2" t="s">
        <v>25</v>
      </c>
      <c r="CWH220" s="2" t="s">
        <v>393</v>
      </c>
      <c r="CWI220" s="7">
        <v>-74.044305502618698</v>
      </c>
      <c r="CWJ220" s="7">
        <v>4.6804459478222702</v>
      </c>
      <c r="CWK220" s="2" t="s">
        <v>357</v>
      </c>
      <c r="CWL220" s="2" t="s">
        <v>63</v>
      </c>
      <c r="CWM220" s="2" t="s">
        <v>83</v>
      </c>
      <c r="CWN220" s="2" t="s">
        <v>63</v>
      </c>
      <c r="CWO220" s="24">
        <v>434</v>
      </c>
      <c r="CWP220" s="5">
        <v>46174</v>
      </c>
      <c r="CWQ220" s="5">
        <v>46174</v>
      </c>
      <c r="CWR220" s="30">
        <f t="shared" ref="CWR220" si="191">CWQ220-CWP220</f>
        <v>0</v>
      </c>
      <c r="CWS220" s="5" t="s">
        <v>317</v>
      </c>
      <c r="CWT220" s="2" t="s">
        <v>22</v>
      </c>
      <c r="CWU220" s="53" t="s">
        <v>334</v>
      </c>
      <c r="CWV220" s="2" t="s">
        <v>513</v>
      </c>
      <c r="CWW220" s="2" t="s">
        <v>25</v>
      </c>
      <c r="CWX220" s="2" t="s">
        <v>393</v>
      </c>
      <c r="CWY220" s="7">
        <v>-74.044305502618698</v>
      </c>
      <c r="CWZ220" s="7">
        <v>4.6804459478222702</v>
      </c>
      <c r="CXA220" s="2" t="s">
        <v>357</v>
      </c>
      <c r="CXB220" s="2" t="s">
        <v>63</v>
      </c>
      <c r="CXC220" s="2" t="s">
        <v>83</v>
      </c>
      <c r="CXD220" s="2" t="s">
        <v>63</v>
      </c>
      <c r="CXE220" s="24">
        <v>434</v>
      </c>
      <c r="CXF220" s="5">
        <v>46174</v>
      </c>
      <c r="CXG220" s="5">
        <v>46174</v>
      </c>
      <c r="CXH220" s="30">
        <f t="shared" ref="CXH220" si="192">CXG220-CXF220</f>
        <v>0</v>
      </c>
      <c r="CXI220" s="5" t="s">
        <v>317</v>
      </c>
      <c r="CXJ220" s="2" t="s">
        <v>22</v>
      </c>
      <c r="CXK220" s="53" t="s">
        <v>334</v>
      </c>
      <c r="CXL220" s="2" t="s">
        <v>513</v>
      </c>
      <c r="CXM220" s="2" t="s">
        <v>25</v>
      </c>
      <c r="CXN220" s="2" t="s">
        <v>393</v>
      </c>
      <c r="CXO220" s="7">
        <v>-74.044305502618698</v>
      </c>
      <c r="CXP220" s="7">
        <v>4.6804459478222702</v>
      </c>
      <c r="CXQ220" s="2" t="s">
        <v>357</v>
      </c>
      <c r="CXR220" s="2" t="s">
        <v>63</v>
      </c>
      <c r="CXS220" s="2" t="s">
        <v>83</v>
      </c>
      <c r="CXT220" s="2" t="s">
        <v>63</v>
      </c>
      <c r="CXU220" s="24">
        <v>434</v>
      </c>
      <c r="CXV220" s="5">
        <v>46174</v>
      </c>
      <c r="CXW220" s="5">
        <v>46174</v>
      </c>
      <c r="CXX220" s="30">
        <f t="shared" ref="CXX220" si="193">CXW220-CXV220</f>
        <v>0</v>
      </c>
      <c r="CXY220" s="5" t="s">
        <v>317</v>
      </c>
      <c r="CXZ220" s="2" t="s">
        <v>22</v>
      </c>
      <c r="CYA220" s="53" t="s">
        <v>334</v>
      </c>
      <c r="CYB220" s="2" t="s">
        <v>513</v>
      </c>
      <c r="CYC220" s="2" t="s">
        <v>25</v>
      </c>
      <c r="CYD220" s="2" t="s">
        <v>393</v>
      </c>
      <c r="CYE220" s="7">
        <v>-74.044305502618698</v>
      </c>
      <c r="CYF220" s="7">
        <v>4.6804459478222702</v>
      </c>
      <c r="CYG220" s="2" t="s">
        <v>357</v>
      </c>
      <c r="CYH220" s="2" t="s">
        <v>63</v>
      </c>
      <c r="CYI220" s="2" t="s">
        <v>83</v>
      </c>
      <c r="CYJ220" s="2" t="s">
        <v>63</v>
      </c>
      <c r="CYK220" s="24">
        <v>434</v>
      </c>
      <c r="CYL220" s="5">
        <v>46174</v>
      </c>
      <c r="CYM220" s="5">
        <v>46174</v>
      </c>
      <c r="CYN220" s="30">
        <f t="shared" ref="CYN220" si="194">CYM220-CYL220</f>
        <v>0</v>
      </c>
      <c r="CYO220" s="5" t="s">
        <v>317</v>
      </c>
      <c r="CYP220" s="2" t="s">
        <v>22</v>
      </c>
      <c r="CYQ220" s="53" t="s">
        <v>334</v>
      </c>
      <c r="CYR220" s="2" t="s">
        <v>513</v>
      </c>
      <c r="CYS220" s="2" t="s">
        <v>25</v>
      </c>
      <c r="CYT220" s="2" t="s">
        <v>393</v>
      </c>
      <c r="CYU220" s="7">
        <v>-74.044305502618698</v>
      </c>
      <c r="CYV220" s="7">
        <v>4.6804459478222702</v>
      </c>
      <c r="CYW220" s="2" t="s">
        <v>357</v>
      </c>
      <c r="CYX220" s="2" t="s">
        <v>63</v>
      </c>
      <c r="CYY220" s="2" t="s">
        <v>83</v>
      </c>
      <c r="CYZ220" s="2" t="s">
        <v>63</v>
      </c>
      <c r="CZA220" s="24">
        <v>434</v>
      </c>
      <c r="CZB220" s="5">
        <v>46174</v>
      </c>
      <c r="CZC220" s="5">
        <v>46174</v>
      </c>
      <c r="CZD220" s="30">
        <f t="shared" ref="CZD220" si="195">CZC220-CZB220</f>
        <v>0</v>
      </c>
      <c r="CZE220" s="5" t="s">
        <v>317</v>
      </c>
      <c r="CZF220" s="2" t="s">
        <v>22</v>
      </c>
      <c r="CZG220" s="53" t="s">
        <v>334</v>
      </c>
      <c r="CZH220" s="2" t="s">
        <v>513</v>
      </c>
      <c r="CZI220" s="2" t="s">
        <v>25</v>
      </c>
      <c r="CZJ220" s="2" t="s">
        <v>393</v>
      </c>
      <c r="CZK220" s="7">
        <v>-74.044305502618698</v>
      </c>
      <c r="CZL220" s="7">
        <v>4.6804459478222702</v>
      </c>
      <c r="CZM220" s="2" t="s">
        <v>357</v>
      </c>
      <c r="CZN220" s="2" t="s">
        <v>63</v>
      </c>
      <c r="CZO220" s="2" t="s">
        <v>83</v>
      </c>
      <c r="CZP220" s="2" t="s">
        <v>63</v>
      </c>
      <c r="CZQ220" s="24">
        <v>434</v>
      </c>
      <c r="CZR220" s="5">
        <v>46174</v>
      </c>
      <c r="CZS220" s="5">
        <v>46174</v>
      </c>
      <c r="CZT220" s="30">
        <f t="shared" ref="CZT220" si="196">CZS220-CZR220</f>
        <v>0</v>
      </c>
      <c r="CZU220" s="5" t="s">
        <v>317</v>
      </c>
      <c r="CZV220" s="2" t="s">
        <v>22</v>
      </c>
      <c r="CZW220" s="53" t="s">
        <v>334</v>
      </c>
      <c r="CZX220" s="2" t="s">
        <v>513</v>
      </c>
      <c r="CZY220" s="2" t="s">
        <v>25</v>
      </c>
      <c r="CZZ220" s="2" t="s">
        <v>393</v>
      </c>
      <c r="DAA220" s="7">
        <v>-74.044305502618698</v>
      </c>
      <c r="DAB220" s="7">
        <v>4.6804459478222702</v>
      </c>
      <c r="DAC220" s="2" t="s">
        <v>357</v>
      </c>
      <c r="DAD220" s="2" t="s">
        <v>63</v>
      </c>
      <c r="DAE220" s="2" t="s">
        <v>83</v>
      </c>
      <c r="DAF220" s="2" t="s">
        <v>63</v>
      </c>
      <c r="DAG220" s="24">
        <v>434</v>
      </c>
      <c r="DAH220" s="5">
        <v>46174</v>
      </c>
      <c r="DAI220" s="5">
        <v>46174</v>
      </c>
      <c r="DAJ220" s="30">
        <f t="shared" ref="DAJ220" si="197">DAI220-DAH220</f>
        <v>0</v>
      </c>
      <c r="DAK220" s="5" t="s">
        <v>317</v>
      </c>
      <c r="DAL220" s="2" t="s">
        <v>22</v>
      </c>
      <c r="DAM220" s="53" t="s">
        <v>334</v>
      </c>
      <c r="DAN220" s="2" t="s">
        <v>513</v>
      </c>
      <c r="DAO220" s="2" t="s">
        <v>25</v>
      </c>
      <c r="DAP220" s="2" t="s">
        <v>393</v>
      </c>
      <c r="DAQ220" s="7">
        <v>-74.044305502618698</v>
      </c>
      <c r="DAR220" s="7">
        <v>4.6804459478222702</v>
      </c>
      <c r="DAS220" s="2" t="s">
        <v>357</v>
      </c>
      <c r="DAT220" s="2" t="s">
        <v>63</v>
      </c>
      <c r="DAU220" s="2" t="s">
        <v>83</v>
      </c>
      <c r="DAV220" s="2" t="s">
        <v>63</v>
      </c>
      <c r="DAW220" s="24">
        <v>434</v>
      </c>
      <c r="DAX220" s="5">
        <v>46174</v>
      </c>
      <c r="DAY220" s="5">
        <v>46174</v>
      </c>
      <c r="DAZ220" s="30">
        <f t="shared" ref="DAZ220" si="198">DAY220-DAX220</f>
        <v>0</v>
      </c>
      <c r="DBA220" s="5" t="s">
        <v>317</v>
      </c>
      <c r="DBB220" s="2" t="s">
        <v>22</v>
      </c>
      <c r="DBC220" s="53" t="s">
        <v>334</v>
      </c>
      <c r="DBD220" s="2" t="s">
        <v>513</v>
      </c>
      <c r="DBE220" s="2" t="s">
        <v>25</v>
      </c>
      <c r="DBF220" s="2" t="s">
        <v>393</v>
      </c>
      <c r="DBG220" s="7">
        <v>-74.044305502618698</v>
      </c>
      <c r="DBH220" s="7">
        <v>4.6804459478222702</v>
      </c>
      <c r="DBI220" s="2" t="s">
        <v>357</v>
      </c>
      <c r="DBJ220" s="2" t="s">
        <v>63</v>
      </c>
      <c r="DBK220" s="2" t="s">
        <v>83</v>
      </c>
      <c r="DBL220" s="2" t="s">
        <v>63</v>
      </c>
      <c r="DBM220" s="24">
        <v>434</v>
      </c>
      <c r="DBN220" s="5">
        <v>46174</v>
      </c>
      <c r="DBO220" s="5">
        <v>46174</v>
      </c>
      <c r="DBP220" s="30">
        <f t="shared" ref="DBP220" si="199">DBO220-DBN220</f>
        <v>0</v>
      </c>
      <c r="DBQ220" s="5" t="s">
        <v>317</v>
      </c>
      <c r="DBR220" s="2" t="s">
        <v>22</v>
      </c>
      <c r="DBS220" s="53" t="s">
        <v>334</v>
      </c>
      <c r="DBT220" s="2" t="s">
        <v>513</v>
      </c>
      <c r="DBU220" s="2" t="s">
        <v>25</v>
      </c>
      <c r="DBV220" s="2" t="s">
        <v>393</v>
      </c>
      <c r="DBW220" s="7">
        <v>-74.044305502618698</v>
      </c>
      <c r="DBX220" s="7">
        <v>4.6804459478222702</v>
      </c>
      <c r="DBY220" s="2" t="s">
        <v>357</v>
      </c>
      <c r="DBZ220" s="2" t="s">
        <v>63</v>
      </c>
      <c r="DCA220" s="2" t="s">
        <v>83</v>
      </c>
      <c r="DCB220" s="2" t="s">
        <v>63</v>
      </c>
      <c r="DCC220" s="24">
        <v>434</v>
      </c>
      <c r="DCD220" s="5">
        <v>46174</v>
      </c>
      <c r="DCE220" s="5">
        <v>46174</v>
      </c>
      <c r="DCF220" s="30">
        <f t="shared" ref="DCF220" si="200">DCE220-DCD220</f>
        <v>0</v>
      </c>
      <c r="DCG220" s="5" t="s">
        <v>317</v>
      </c>
      <c r="DCH220" s="2" t="s">
        <v>22</v>
      </c>
      <c r="DCI220" s="53" t="s">
        <v>334</v>
      </c>
      <c r="DCJ220" s="2" t="s">
        <v>513</v>
      </c>
      <c r="DCK220" s="2" t="s">
        <v>25</v>
      </c>
      <c r="DCL220" s="2" t="s">
        <v>393</v>
      </c>
      <c r="DCM220" s="7">
        <v>-74.044305502618698</v>
      </c>
      <c r="DCN220" s="7">
        <v>4.6804459478222702</v>
      </c>
      <c r="DCO220" s="2" t="s">
        <v>357</v>
      </c>
      <c r="DCP220" s="2" t="s">
        <v>63</v>
      </c>
      <c r="DCQ220" s="2" t="s">
        <v>83</v>
      </c>
      <c r="DCR220" s="2" t="s">
        <v>63</v>
      </c>
      <c r="DCS220" s="24">
        <v>434</v>
      </c>
      <c r="DCT220" s="5">
        <v>46174</v>
      </c>
      <c r="DCU220" s="5">
        <v>46174</v>
      </c>
      <c r="DCV220" s="30">
        <f t="shared" ref="DCV220" si="201">DCU220-DCT220</f>
        <v>0</v>
      </c>
      <c r="DCW220" s="5" t="s">
        <v>317</v>
      </c>
      <c r="DCX220" s="2" t="s">
        <v>22</v>
      </c>
      <c r="DCY220" s="53" t="s">
        <v>334</v>
      </c>
      <c r="DCZ220" s="2" t="s">
        <v>513</v>
      </c>
      <c r="DDA220" s="2" t="s">
        <v>25</v>
      </c>
      <c r="DDB220" s="2" t="s">
        <v>393</v>
      </c>
      <c r="DDC220" s="7">
        <v>-74.044305502618698</v>
      </c>
      <c r="DDD220" s="7">
        <v>4.6804459478222702</v>
      </c>
      <c r="DDE220" s="2" t="s">
        <v>357</v>
      </c>
      <c r="DDF220" s="2" t="s">
        <v>63</v>
      </c>
      <c r="DDG220" s="2" t="s">
        <v>83</v>
      </c>
      <c r="DDH220" s="2" t="s">
        <v>63</v>
      </c>
      <c r="DDI220" s="24">
        <v>434</v>
      </c>
      <c r="DDJ220" s="5">
        <v>46174</v>
      </c>
      <c r="DDK220" s="5">
        <v>46174</v>
      </c>
      <c r="DDL220" s="30">
        <f t="shared" ref="DDL220" si="202">DDK220-DDJ220</f>
        <v>0</v>
      </c>
      <c r="DDM220" s="5" t="s">
        <v>317</v>
      </c>
      <c r="DDN220" s="2" t="s">
        <v>22</v>
      </c>
      <c r="DDO220" s="53" t="s">
        <v>334</v>
      </c>
      <c r="DDP220" s="2" t="s">
        <v>513</v>
      </c>
      <c r="DDQ220" s="2" t="s">
        <v>25</v>
      </c>
      <c r="DDR220" s="2" t="s">
        <v>393</v>
      </c>
      <c r="DDS220" s="7">
        <v>-74.044305502618698</v>
      </c>
      <c r="DDT220" s="7">
        <v>4.6804459478222702</v>
      </c>
      <c r="DDU220" s="2" t="s">
        <v>357</v>
      </c>
      <c r="DDV220" s="2" t="s">
        <v>63</v>
      </c>
      <c r="DDW220" s="2" t="s">
        <v>83</v>
      </c>
      <c r="DDX220" s="2" t="s">
        <v>63</v>
      </c>
      <c r="DDY220" s="24">
        <v>434</v>
      </c>
      <c r="DDZ220" s="5">
        <v>46174</v>
      </c>
      <c r="DEA220" s="5">
        <v>46174</v>
      </c>
      <c r="DEB220" s="30">
        <f t="shared" ref="DEB220" si="203">DEA220-DDZ220</f>
        <v>0</v>
      </c>
      <c r="DEC220" s="5" t="s">
        <v>317</v>
      </c>
      <c r="DED220" s="2" t="s">
        <v>22</v>
      </c>
      <c r="DEE220" s="53" t="s">
        <v>334</v>
      </c>
      <c r="DEF220" s="2" t="s">
        <v>513</v>
      </c>
      <c r="DEG220" s="2" t="s">
        <v>25</v>
      </c>
      <c r="DEH220" s="2" t="s">
        <v>393</v>
      </c>
      <c r="DEI220" s="7">
        <v>-74.044305502618698</v>
      </c>
      <c r="DEJ220" s="7">
        <v>4.6804459478222702</v>
      </c>
      <c r="DEK220" s="2" t="s">
        <v>357</v>
      </c>
      <c r="DEL220" s="2" t="s">
        <v>63</v>
      </c>
      <c r="DEM220" s="2" t="s">
        <v>83</v>
      </c>
      <c r="DEN220" s="2" t="s">
        <v>63</v>
      </c>
      <c r="DEO220" s="24">
        <v>434</v>
      </c>
      <c r="DEP220" s="5">
        <v>46174</v>
      </c>
      <c r="DEQ220" s="5">
        <v>46174</v>
      </c>
      <c r="DER220" s="30">
        <f t="shared" ref="DER220" si="204">DEQ220-DEP220</f>
        <v>0</v>
      </c>
      <c r="DES220" s="5" t="s">
        <v>317</v>
      </c>
      <c r="DET220" s="2" t="s">
        <v>22</v>
      </c>
      <c r="DEU220" s="53" t="s">
        <v>334</v>
      </c>
      <c r="DEV220" s="2" t="s">
        <v>513</v>
      </c>
      <c r="DEW220" s="2" t="s">
        <v>25</v>
      </c>
      <c r="DEX220" s="2" t="s">
        <v>393</v>
      </c>
      <c r="DEY220" s="7">
        <v>-74.044305502618698</v>
      </c>
      <c r="DEZ220" s="7">
        <v>4.6804459478222702</v>
      </c>
      <c r="DFA220" s="2" t="s">
        <v>357</v>
      </c>
      <c r="DFB220" s="2" t="s">
        <v>63</v>
      </c>
      <c r="DFC220" s="2" t="s">
        <v>83</v>
      </c>
      <c r="DFD220" s="2" t="s">
        <v>63</v>
      </c>
      <c r="DFE220" s="24">
        <v>434</v>
      </c>
      <c r="DFF220" s="5">
        <v>46174</v>
      </c>
      <c r="DFG220" s="5">
        <v>46174</v>
      </c>
      <c r="DFH220" s="30">
        <f t="shared" ref="DFH220" si="205">DFG220-DFF220</f>
        <v>0</v>
      </c>
      <c r="DFI220" s="5" t="s">
        <v>317</v>
      </c>
      <c r="DFJ220" s="2" t="s">
        <v>22</v>
      </c>
      <c r="DFK220" s="53" t="s">
        <v>334</v>
      </c>
      <c r="DFL220" s="2" t="s">
        <v>513</v>
      </c>
      <c r="DFM220" s="2" t="s">
        <v>25</v>
      </c>
      <c r="DFN220" s="2" t="s">
        <v>393</v>
      </c>
      <c r="DFO220" s="7">
        <v>-74.044305502618698</v>
      </c>
      <c r="DFP220" s="7">
        <v>4.6804459478222702</v>
      </c>
      <c r="DFQ220" s="2" t="s">
        <v>357</v>
      </c>
      <c r="DFR220" s="2" t="s">
        <v>63</v>
      </c>
      <c r="DFS220" s="2" t="s">
        <v>83</v>
      </c>
      <c r="DFT220" s="2" t="s">
        <v>63</v>
      </c>
      <c r="DFU220" s="24">
        <v>434</v>
      </c>
      <c r="DFV220" s="5">
        <v>46174</v>
      </c>
      <c r="DFW220" s="5">
        <v>46174</v>
      </c>
      <c r="DFX220" s="30">
        <f t="shared" ref="DFX220" si="206">DFW220-DFV220</f>
        <v>0</v>
      </c>
      <c r="DFY220" s="5" t="s">
        <v>317</v>
      </c>
      <c r="DFZ220" s="2" t="s">
        <v>22</v>
      </c>
      <c r="DGA220" s="53" t="s">
        <v>334</v>
      </c>
      <c r="DGB220" s="2" t="s">
        <v>513</v>
      </c>
      <c r="DGC220" s="2" t="s">
        <v>25</v>
      </c>
      <c r="DGD220" s="2" t="s">
        <v>393</v>
      </c>
      <c r="DGE220" s="7">
        <v>-74.044305502618698</v>
      </c>
      <c r="DGF220" s="7">
        <v>4.6804459478222702</v>
      </c>
      <c r="DGG220" s="2" t="s">
        <v>357</v>
      </c>
      <c r="DGH220" s="2" t="s">
        <v>63</v>
      </c>
      <c r="DGI220" s="2" t="s">
        <v>83</v>
      </c>
      <c r="DGJ220" s="2" t="s">
        <v>63</v>
      </c>
      <c r="DGK220" s="24">
        <v>434</v>
      </c>
      <c r="DGL220" s="5">
        <v>46174</v>
      </c>
      <c r="DGM220" s="5">
        <v>46174</v>
      </c>
      <c r="DGN220" s="30">
        <f t="shared" ref="DGN220" si="207">DGM220-DGL220</f>
        <v>0</v>
      </c>
      <c r="DGO220" s="5" t="s">
        <v>317</v>
      </c>
      <c r="DGP220" s="2" t="s">
        <v>22</v>
      </c>
      <c r="DGQ220" s="53" t="s">
        <v>334</v>
      </c>
      <c r="DGR220" s="2" t="s">
        <v>513</v>
      </c>
      <c r="DGS220" s="2" t="s">
        <v>25</v>
      </c>
      <c r="DGT220" s="2" t="s">
        <v>393</v>
      </c>
      <c r="DGU220" s="7">
        <v>-74.044305502618698</v>
      </c>
      <c r="DGV220" s="7">
        <v>4.6804459478222702</v>
      </c>
      <c r="DGW220" s="2" t="s">
        <v>357</v>
      </c>
      <c r="DGX220" s="2" t="s">
        <v>63</v>
      </c>
      <c r="DGY220" s="2" t="s">
        <v>83</v>
      </c>
      <c r="DGZ220" s="2" t="s">
        <v>63</v>
      </c>
      <c r="DHA220" s="24">
        <v>434</v>
      </c>
      <c r="DHB220" s="5">
        <v>46174</v>
      </c>
      <c r="DHC220" s="5">
        <v>46174</v>
      </c>
      <c r="DHD220" s="30">
        <f t="shared" ref="DHD220" si="208">DHC220-DHB220</f>
        <v>0</v>
      </c>
      <c r="DHE220" s="5" t="s">
        <v>317</v>
      </c>
      <c r="DHF220" s="2" t="s">
        <v>22</v>
      </c>
      <c r="DHG220" s="53" t="s">
        <v>334</v>
      </c>
      <c r="DHH220" s="2" t="s">
        <v>513</v>
      </c>
      <c r="DHI220" s="2" t="s">
        <v>25</v>
      </c>
      <c r="DHJ220" s="2" t="s">
        <v>393</v>
      </c>
      <c r="DHK220" s="7">
        <v>-74.044305502618698</v>
      </c>
      <c r="DHL220" s="7">
        <v>4.6804459478222702</v>
      </c>
      <c r="DHM220" s="2" t="s">
        <v>357</v>
      </c>
      <c r="DHN220" s="2" t="s">
        <v>63</v>
      </c>
      <c r="DHO220" s="2" t="s">
        <v>83</v>
      </c>
      <c r="DHP220" s="2" t="s">
        <v>63</v>
      </c>
      <c r="DHQ220" s="24">
        <v>434</v>
      </c>
      <c r="DHR220" s="5">
        <v>46174</v>
      </c>
      <c r="DHS220" s="5">
        <v>46174</v>
      </c>
      <c r="DHT220" s="30">
        <f t="shared" ref="DHT220" si="209">DHS220-DHR220</f>
        <v>0</v>
      </c>
      <c r="DHU220" s="5" t="s">
        <v>317</v>
      </c>
      <c r="DHV220" s="2" t="s">
        <v>22</v>
      </c>
      <c r="DHW220" s="53" t="s">
        <v>334</v>
      </c>
      <c r="DHX220" s="2" t="s">
        <v>513</v>
      </c>
      <c r="DHY220" s="2" t="s">
        <v>25</v>
      </c>
      <c r="DHZ220" s="2" t="s">
        <v>393</v>
      </c>
      <c r="DIA220" s="7">
        <v>-74.044305502618698</v>
      </c>
      <c r="DIB220" s="7">
        <v>4.6804459478222702</v>
      </c>
      <c r="DIC220" s="2" t="s">
        <v>357</v>
      </c>
      <c r="DID220" s="2" t="s">
        <v>63</v>
      </c>
      <c r="DIE220" s="2" t="s">
        <v>83</v>
      </c>
      <c r="DIF220" s="2" t="s">
        <v>63</v>
      </c>
      <c r="DIG220" s="24">
        <v>434</v>
      </c>
      <c r="DIH220" s="5">
        <v>46174</v>
      </c>
      <c r="DII220" s="5">
        <v>46174</v>
      </c>
      <c r="DIJ220" s="30">
        <f t="shared" ref="DIJ220" si="210">DII220-DIH220</f>
        <v>0</v>
      </c>
      <c r="DIK220" s="5" t="s">
        <v>317</v>
      </c>
      <c r="DIL220" s="2" t="s">
        <v>22</v>
      </c>
      <c r="DIM220" s="53" t="s">
        <v>334</v>
      </c>
      <c r="DIN220" s="2" t="s">
        <v>513</v>
      </c>
      <c r="DIO220" s="2" t="s">
        <v>25</v>
      </c>
      <c r="DIP220" s="2" t="s">
        <v>393</v>
      </c>
      <c r="DIQ220" s="7">
        <v>-74.044305502618698</v>
      </c>
      <c r="DIR220" s="7">
        <v>4.6804459478222702</v>
      </c>
      <c r="DIS220" s="2" t="s">
        <v>357</v>
      </c>
      <c r="DIT220" s="2" t="s">
        <v>63</v>
      </c>
      <c r="DIU220" s="2" t="s">
        <v>83</v>
      </c>
      <c r="DIV220" s="2" t="s">
        <v>63</v>
      </c>
      <c r="DIW220" s="24">
        <v>434</v>
      </c>
      <c r="DIX220" s="5">
        <v>46174</v>
      </c>
      <c r="DIY220" s="5">
        <v>46174</v>
      </c>
      <c r="DIZ220" s="30">
        <f t="shared" ref="DIZ220" si="211">DIY220-DIX220</f>
        <v>0</v>
      </c>
      <c r="DJA220" s="5" t="s">
        <v>317</v>
      </c>
      <c r="DJB220" s="2" t="s">
        <v>22</v>
      </c>
      <c r="DJC220" s="53" t="s">
        <v>334</v>
      </c>
      <c r="DJD220" s="2" t="s">
        <v>513</v>
      </c>
      <c r="DJE220" s="2" t="s">
        <v>25</v>
      </c>
      <c r="DJF220" s="2" t="s">
        <v>393</v>
      </c>
      <c r="DJG220" s="7">
        <v>-74.044305502618698</v>
      </c>
      <c r="DJH220" s="7">
        <v>4.6804459478222702</v>
      </c>
      <c r="DJI220" s="2" t="s">
        <v>357</v>
      </c>
      <c r="DJJ220" s="2" t="s">
        <v>63</v>
      </c>
      <c r="DJK220" s="2" t="s">
        <v>83</v>
      </c>
      <c r="DJL220" s="2" t="s">
        <v>63</v>
      </c>
      <c r="DJM220" s="24">
        <v>434</v>
      </c>
      <c r="DJN220" s="5">
        <v>46174</v>
      </c>
      <c r="DJO220" s="5">
        <v>46174</v>
      </c>
      <c r="DJP220" s="30">
        <f t="shared" ref="DJP220" si="212">DJO220-DJN220</f>
        <v>0</v>
      </c>
      <c r="DJQ220" s="5" t="s">
        <v>317</v>
      </c>
      <c r="DJR220" s="2" t="s">
        <v>22</v>
      </c>
      <c r="DJS220" s="53" t="s">
        <v>334</v>
      </c>
      <c r="DJT220" s="2" t="s">
        <v>513</v>
      </c>
      <c r="DJU220" s="2" t="s">
        <v>25</v>
      </c>
      <c r="DJV220" s="2" t="s">
        <v>393</v>
      </c>
      <c r="DJW220" s="7">
        <v>-74.044305502618698</v>
      </c>
      <c r="DJX220" s="7">
        <v>4.6804459478222702</v>
      </c>
      <c r="DJY220" s="2" t="s">
        <v>357</v>
      </c>
      <c r="DJZ220" s="2" t="s">
        <v>63</v>
      </c>
      <c r="DKA220" s="2" t="s">
        <v>83</v>
      </c>
      <c r="DKB220" s="2" t="s">
        <v>63</v>
      </c>
      <c r="DKC220" s="24">
        <v>434</v>
      </c>
      <c r="DKD220" s="5">
        <v>46174</v>
      </c>
      <c r="DKE220" s="5">
        <v>46174</v>
      </c>
      <c r="DKF220" s="30">
        <f t="shared" ref="DKF220" si="213">DKE220-DKD220</f>
        <v>0</v>
      </c>
      <c r="DKG220" s="5" t="s">
        <v>317</v>
      </c>
      <c r="DKH220" s="2" t="s">
        <v>22</v>
      </c>
      <c r="DKI220" s="53" t="s">
        <v>334</v>
      </c>
      <c r="DKJ220" s="2" t="s">
        <v>513</v>
      </c>
      <c r="DKK220" s="2" t="s">
        <v>25</v>
      </c>
      <c r="DKL220" s="2" t="s">
        <v>393</v>
      </c>
      <c r="DKM220" s="7">
        <v>-74.044305502618698</v>
      </c>
      <c r="DKN220" s="7">
        <v>4.6804459478222702</v>
      </c>
      <c r="DKO220" s="2" t="s">
        <v>357</v>
      </c>
      <c r="DKP220" s="2" t="s">
        <v>63</v>
      </c>
      <c r="DKQ220" s="2" t="s">
        <v>83</v>
      </c>
      <c r="DKR220" s="2" t="s">
        <v>63</v>
      </c>
      <c r="DKS220" s="24">
        <v>434</v>
      </c>
      <c r="DKT220" s="5">
        <v>46174</v>
      </c>
      <c r="DKU220" s="5">
        <v>46174</v>
      </c>
      <c r="DKV220" s="30">
        <f t="shared" ref="DKV220" si="214">DKU220-DKT220</f>
        <v>0</v>
      </c>
      <c r="DKW220" s="5" t="s">
        <v>317</v>
      </c>
      <c r="DKX220" s="2" t="s">
        <v>22</v>
      </c>
      <c r="DKY220" s="53" t="s">
        <v>334</v>
      </c>
      <c r="DKZ220" s="2" t="s">
        <v>513</v>
      </c>
      <c r="DLA220" s="2" t="s">
        <v>25</v>
      </c>
      <c r="DLB220" s="2" t="s">
        <v>393</v>
      </c>
      <c r="DLC220" s="7">
        <v>-74.044305502618698</v>
      </c>
      <c r="DLD220" s="7">
        <v>4.6804459478222702</v>
      </c>
      <c r="DLE220" s="2" t="s">
        <v>357</v>
      </c>
      <c r="DLF220" s="2" t="s">
        <v>63</v>
      </c>
      <c r="DLG220" s="2" t="s">
        <v>83</v>
      </c>
      <c r="DLH220" s="2" t="s">
        <v>63</v>
      </c>
      <c r="DLI220" s="24">
        <v>434</v>
      </c>
      <c r="DLJ220" s="5">
        <v>46174</v>
      </c>
      <c r="DLK220" s="5">
        <v>46174</v>
      </c>
      <c r="DLL220" s="30">
        <f t="shared" ref="DLL220" si="215">DLK220-DLJ220</f>
        <v>0</v>
      </c>
      <c r="DLM220" s="5" t="s">
        <v>317</v>
      </c>
      <c r="DLN220" s="2" t="s">
        <v>22</v>
      </c>
      <c r="DLO220" s="53" t="s">
        <v>334</v>
      </c>
      <c r="DLP220" s="2" t="s">
        <v>513</v>
      </c>
      <c r="DLQ220" s="2" t="s">
        <v>25</v>
      </c>
      <c r="DLR220" s="2" t="s">
        <v>393</v>
      </c>
      <c r="DLS220" s="7">
        <v>-74.044305502618698</v>
      </c>
      <c r="DLT220" s="7">
        <v>4.6804459478222702</v>
      </c>
      <c r="DLU220" s="2" t="s">
        <v>357</v>
      </c>
      <c r="DLV220" s="2" t="s">
        <v>63</v>
      </c>
      <c r="DLW220" s="2" t="s">
        <v>83</v>
      </c>
      <c r="DLX220" s="2" t="s">
        <v>63</v>
      </c>
      <c r="DLY220" s="24">
        <v>434</v>
      </c>
      <c r="DLZ220" s="5">
        <v>46174</v>
      </c>
      <c r="DMA220" s="5">
        <v>46174</v>
      </c>
      <c r="DMB220" s="30">
        <f t="shared" ref="DMB220" si="216">DMA220-DLZ220</f>
        <v>0</v>
      </c>
      <c r="DMC220" s="5" t="s">
        <v>317</v>
      </c>
      <c r="DMD220" s="2" t="s">
        <v>22</v>
      </c>
      <c r="DME220" s="53" t="s">
        <v>334</v>
      </c>
      <c r="DMF220" s="2" t="s">
        <v>513</v>
      </c>
      <c r="DMG220" s="2" t="s">
        <v>25</v>
      </c>
      <c r="DMH220" s="2" t="s">
        <v>393</v>
      </c>
      <c r="DMI220" s="7">
        <v>-74.044305502618698</v>
      </c>
      <c r="DMJ220" s="7">
        <v>4.6804459478222702</v>
      </c>
      <c r="DMK220" s="2" t="s">
        <v>357</v>
      </c>
      <c r="DML220" s="2" t="s">
        <v>63</v>
      </c>
      <c r="DMM220" s="2" t="s">
        <v>83</v>
      </c>
      <c r="DMN220" s="2" t="s">
        <v>63</v>
      </c>
      <c r="DMO220" s="24">
        <v>434</v>
      </c>
      <c r="DMP220" s="5">
        <v>46174</v>
      </c>
      <c r="DMQ220" s="5">
        <v>46174</v>
      </c>
      <c r="DMR220" s="30">
        <f t="shared" ref="DMR220" si="217">DMQ220-DMP220</f>
        <v>0</v>
      </c>
      <c r="DMS220" s="5" t="s">
        <v>317</v>
      </c>
      <c r="DMT220" s="2" t="s">
        <v>22</v>
      </c>
      <c r="DMU220" s="53" t="s">
        <v>334</v>
      </c>
      <c r="DMV220" s="2" t="s">
        <v>513</v>
      </c>
      <c r="DMW220" s="2" t="s">
        <v>25</v>
      </c>
      <c r="DMX220" s="2" t="s">
        <v>393</v>
      </c>
      <c r="DMY220" s="7">
        <v>-74.044305502618698</v>
      </c>
      <c r="DMZ220" s="7">
        <v>4.6804459478222702</v>
      </c>
      <c r="DNA220" s="2" t="s">
        <v>357</v>
      </c>
      <c r="DNB220" s="2" t="s">
        <v>63</v>
      </c>
      <c r="DNC220" s="2" t="s">
        <v>83</v>
      </c>
      <c r="DND220" s="2" t="s">
        <v>63</v>
      </c>
      <c r="DNE220" s="24">
        <v>434</v>
      </c>
      <c r="DNF220" s="5">
        <v>46174</v>
      </c>
      <c r="DNG220" s="5">
        <v>46174</v>
      </c>
      <c r="DNH220" s="30">
        <f t="shared" ref="DNH220" si="218">DNG220-DNF220</f>
        <v>0</v>
      </c>
      <c r="DNI220" s="5" t="s">
        <v>317</v>
      </c>
      <c r="DNJ220" s="2" t="s">
        <v>22</v>
      </c>
      <c r="DNK220" s="53" t="s">
        <v>334</v>
      </c>
      <c r="DNL220" s="2" t="s">
        <v>513</v>
      </c>
      <c r="DNM220" s="2" t="s">
        <v>25</v>
      </c>
      <c r="DNN220" s="2" t="s">
        <v>393</v>
      </c>
      <c r="DNO220" s="7">
        <v>-74.044305502618698</v>
      </c>
      <c r="DNP220" s="7">
        <v>4.6804459478222702</v>
      </c>
      <c r="DNQ220" s="2" t="s">
        <v>357</v>
      </c>
      <c r="DNR220" s="2" t="s">
        <v>63</v>
      </c>
      <c r="DNS220" s="2" t="s">
        <v>83</v>
      </c>
      <c r="DNT220" s="2" t="s">
        <v>63</v>
      </c>
      <c r="DNU220" s="24">
        <v>434</v>
      </c>
      <c r="DNV220" s="5">
        <v>46174</v>
      </c>
      <c r="DNW220" s="5">
        <v>46174</v>
      </c>
      <c r="DNX220" s="30">
        <f t="shared" ref="DNX220" si="219">DNW220-DNV220</f>
        <v>0</v>
      </c>
      <c r="DNY220" s="5" t="s">
        <v>317</v>
      </c>
      <c r="DNZ220" s="2" t="s">
        <v>22</v>
      </c>
      <c r="DOA220" s="53" t="s">
        <v>334</v>
      </c>
      <c r="DOB220" s="2" t="s">
        <v>513</v>
      </c>
      <c r="DOC220" s="2" t="s">
        <v>25</v>
      </c>
      <c r="DOD220" s="2" t="s">
        <v>393</v>
      </c>
      <c r="DOE220" s="7">
        <v>-74.044305502618698</v>
      </c>
      <c r="DOF220" s="7">
        <v>4.6804459478222702</v>
      </c>
      <c r="DOG220" s="2" t="s">
        <v>357</v>
      </c>
      <c r="DOH220" s="2" t="s">
        <v>63</v>
      </c>
      <c r="DOI220" s="2" t="s">
        <v>83</v>
      </c>
      <c r="DOJ220" s="2" t="s">
        <v>63</v>
      </c>
      <c r="DOK220" s="24">
        <v>434</v>
      </c>
      <c r="DOL220" s="5">
        <v>46174</v>
      </c>
      <c r="DOM220" s="5">
        <v>46174</v>
      </c>
      <c r="DON220" s="30">
        <f t="shared" ref="DON220" si="220">DOM220-DOL220</f>
        <v>0</v>
      </c>
      <c r="DOO220" s="5" t="s">
        <v>317</v>
      </c>
      <c r="DOP220" s="2" t="s">
        <v>22</v>
      </c>
      <c r="DOQ220" s="53" t="s">
        <v>334</v>
      </c>
      <c r="DOR220" s="2" t="s">
        <v>513</v>
      </c>
      <c r="DOS220" s="2" t="s">
        <v>25</v>
      </c>
      <c r="DOT220" s="2" t="s">
        <v>393</v>
      </c>
      <c r="DOU220" s="7">
        <v>-74.044305502618698</v>
      </c>
      <c r="DOV220" s="7">
        <v>4.6804459478222702</v>
      </c>
      <c r="DOW220" s="2" t="s">
        <v>357</v>
      </c>
      <c r="DOX220" s="2" t="s">
        <v>63</v>
      </c>
      <c r="DOY220" s="2" t="s">
        <v>83</v>
      </c>
      <c r="DOZ220" s="2" t="s">
        <v>63</v>
      </c>
      <c r="DPA220" s="24">
        <v>434</v>
      </c>
      <c r="DPB220" s="5">
        <v>46174</v>
      </c>
      <c r="DPC220" s="5">
        <v>46174</v>
      </c>
      <c r="DPD220" s="30">
        <f t="shared" ref="DPD220" si="221">DPC220-DPB220</f>
        <v>0</v>
      </c>
      <c r="DPE220" s="5" t="s">
        <v>317</v>
      </c>
      <c r="DPF220" s="2" t="s">
        <v>22</v>
      </c>
      <c r="DPG220" s="53" t="s">
        <v>334</v>
      </c>
      <c r="DPH220" s="2" t="s">
        <v>513</v>
      </c>
      <c r="DPI220" s="2" t="s">
        <v>25</v>
      </c>
      <c r="DPJ220" s="2" t="s">
        <v>393</v>
      </c>
      <c r="DPK220" s="7">
        <v>-74.044305502618698</v>
      </c>
      <c r="DPL220" s="7">
        <v>4.6804459478222702</v>
      </c>
      <c r="DPM220" s="2" t="s">
        <v>357</v>
      </c>
      <c r="DPN220" s="2" t="s">
        <v>63</v>
      </c>
      <c r="DPO220" s="2" t="s">
        <v>83</v>
      </c>
      <c r="DPP220" s="2" t="s">
        <v>63</v>
      </c>
      <c r="DPQ220" s="24">
        <v>434</v>
      </c>
      <c r="DPR220" s="5">
        <v>46174</v>
      </c>
      <c r="DPS220" s="5">
        <v>46174</v>
      </c>
      <c r="DPT220" s="30">
        <f t="shared" ref="DPT220" si="222">DPS220-DPR220</f>
        <v>0</v>
      </c>
      <c r="DPU220" s="5" t="s">
        <v>317</v>
      </c>
      <c r="DPV220" s="2" t="s">
        <v>22</v>
      </c>
      <c r="DPW220" s="53" t="s">
        <v>334</v>
      </c>
      <c r="DPX220" s="2" t="s">
        <v>513</v>
      </c>
      <c r="DPY220" s="2" t="s">
        <v>25</v>
      </c>
      <c r="DPZ220" s="2" t="s">
        <v>393</v>
      </c>
      <c r="DQA220" s="7">
        <v>-74.044305502618698</v>
      </c>
      <c r="DQB220" s="7">
        <v>4.6804459478222702</v>
      </c>
      <c r="DQC220" s="2" t="s">
        <v>357</v>
      </c>
      <c r="DQD220" s="2" t="s">
        <v>63</v>
      </c>
      <c r="DQE220" s="2" t="s">
        <v>83</v>
      </c>
      <c r="DQF220" s="2" t="s">
        <v>63</v>
      </c>
      <c r="DQG220" s="24">
        <v>434</v>
      </c>
      <c r="DQH220" s="5">
        <v>46174</v>
      </c>
      <c r="DQI220" s="5">
        <v>46174</v>
      </c>
      <c r="DQJ220" s="30">
        <f t="shared" ref="DQJ220" si="223">DQI220-DQH220</f>
        <v>0</v>
      </c>
      <c r="DQK220" s="5" t="s">
        <v>317</v>
      </c>
      <c r="DQL220" s="2" t="s">
        <v>22</v>
      </c>
      <c r="DQM220" s="53" t="s">
        <v>334</v>
      </c>
      <c r="DQN220" s="2" t="s">
        <v>513</v>
      </c>
      <c r="DQO220" s="2" t="s">
        <v>25</v>
      </c>
      <c r="DQP220" s="2" t="s">
        <v>393</v>
      </c>
      <c r="DQQ220" s="7">
        <v>-74.044305502618698</v>
      </c>
      <c r="DQR220" s="7">
        <v>4.6804459478222702</v>
      </c>
      <c r="DQS220" s="2" t="s">
        <v>357</v>
      </c>
      <c r="DQT220" s="2" t="s">
        <v>63</v>
      </c>
      <c r="DQU220" s="2" t="s">
        <v>83</v>
      </c>
      <c r="DQV220" s="2" t="s">
        <v>63</v>
      </c>
      <c r="DQW220" s="24">
        <v>434</v>
      </c>
      <c r="DQX220" s="5">
        <v>46174</v>
      </c>
      <c r="DQY220" s="5">
        <v>46174</v>
      </c>
      <c r="DQZ220" s="30">
        <f t="shared" ref="DQZ220" si="224">DQY220-DQX220</f>
        <v>0</v>
      </c>
      <c r="DRA220" s="5" t="s">
        <v>317</v>
      </c>
      <c r="DRB220" s="2" t="s">
        <v>22</v>
      </c>
      <c r="DRC220" s="53" t="s">
        <v>334</v>
      </c>
      <c r="DRD220" s="2" t="s">
        <v>513</v>
      </c>
      <c r="DRE220" s="2" t="s">
        <v>25</v>
      </c>
      <c r="DRF220" s="2" t="s">
        <v>393</v>
      </c>
      <c r="DRG220" s="7">
        <v>-74.044305502618698</v>
      </c>
      <c r="DRH220" s="7">
        <v>4.6804459478222702</v>
      </c>
      <c r="DRI220" s="2" t="s">
        <v>357</v>
      </c>
      <c r="DRJ220" s="2" t="s">
        <v>63</v>
      </c>
      <c r="DRK220" s="2" t="s">
        <v>83</v>
      </c>
      <c r="DRL220" s="2" t="s">
        <v>63</v>
      </c>
      <c r="DRM220" s="24">
        <v>434</v>
      </c>
      <c r="DRN220" s="5">
        <v>46174</v>
      </c>
      <c r="DRO220" s="5">
        <v>46174</v>
      </c>
      <c r="DRP220" s="30">
        <f t="shared" ref="DRP220" si="225">DRO220-DRN220</f>
        <v>0</v>
      </c>
      <c r="DRQ220" s="5" t="s">
        <v>317</v>
      </c>
      <c r="DRR220" s="2" t="s">
        <v>22</v>
      </c>
      <c r="DRS220" s="53" t="s">
        <v>334</v>
      </c>
      <c r="DRT220" s="2" t="s">
        <v>513</v>
      </c>
      <c r="DRU220" s="2" t="s">
        <v>25</v>
      </c>
      <c r="DRV220" s="2" t="s">
        <v>393</v>
      </c>
      <c r="DRW220" s="7">
        <v>-74.044305502618698</v>
      </c>
      <c r="DRX220" s="7">
        <v>4.6804459478222702</v>
      </c>
      <c r="DRY220" s="2" t="s">
        <v>357</v>
      </c>
      <c r="DRZ220" s="2" t="s">
        <v>63</v>
      </c>
      <c r="DSA220" s="2" t="s">
        <v>83</v>
      </c>
      <c r="DSB220" s="2" t="s">
        <v>63</v>
      </c>
      <c r="DSC220" s="24">
        <v>434</v>
      </c>
      <c r="DSD220" s="5">
        <v>46174</v>
      </c>
      <c r="DSE220" s="5">
        <v>46174</v>
      </c>
      <c r="DSF220" s="30">
        <f t="shared" ref="DSF220" si="226">DSE220-DSD220</f>
        <v>0</v>
      </c>
      <c r="DSG220" s="5" t="s">
        <v>317</v>
      </c>
      <c r="DSH220" s="2" t="s">
        <v>22</v>
      </c>
      <c r="DSI220" s="53" t="s">
        <v>334</v>
      </c>
      <c r="DSJ220" s="2" t="s">
        <v>513</v>
      </c>
      <c r="DSK220" s="2" t="s">
        <v>25</v>
      </c>
      <c r="DSL220" s="2" t="s">
        <v>393</v>
      </c>
      <c r="DSM220" s="7">
        <v>-74.044305502618698</v>
      </c>
      <c r="DSN220" s="7">
        <v>4.6804459478222702</v>
      </c>
      <c r="DSO220" s="2" t="s">
        <v>357</v>
      </c>
      <c r="DSP220" s="2" t="s">
        <v>63</v>
      </c>
      <c r="DSQ220" s="2" t="s">
        <v>83</v>
      </c>
      <c r="DSR220" s="2" t="s">
        <v>63</v>
      </c>
      <c r="DSS220" s="24">
        <v>434</v>
      </c>
      <c r="DST220" s="5">
        <v>46174</v>
      </c>
      <c r="DSU220" s="5">
        <v>46174</v>
      </c>
      <c r="DSV220" s="30">
        <f t="shared" ref="DSV220" si="227">DSU220-DST220</f>
        <v>0</v>
      </c>
      <c r="DSW220" s="5" t="s">
        <v>317</v>
      </c>
      <c r="DSX220" s="2" t="s">
        <v>22</v>
      </c>
      <c r="DSY220" s="53" t="s">
        <v>334</v>
      </c>
      <c r="DSZ220" s="2" t="s">
        <v>513</v>
      </c>
      <c r="DTA220" s="2" t="s">
        <v>25</v>
      </c>
      <c r="DTB220" s="2" t="s">
        <v>393</v>
      </c>
      <c r="DTC220" s="7">
        <v>-74.044305502618698</v>
      </c>
      <c r="DTD220" s="7">
        <v>4.6804459478222702</v>
      </c>
      <c r="DTE220" s="2" t="s">
        <v>357</v>
      </c>
      <c r="DTF220" s="2" t="s">
        <v>63</v>
      </c>
      <c r="DTG220" s="2" t="s">
        <v>83</v>
      </c>
      <c r="DTH220" s="2" t="s">
        <v>63</v>
      </c>
      <c r="DTI220" s="24">
        <v>434</v>
      </c>
      <c r="DTJ220" s="5">
        <v>46174</v>
      </c>
      <c r="DTK220" s="5">
        <v>46174</v>
      </c>
      <c r="DTL220" s="30">
        <f t="shared" ref="DTL220" si="228">DTK220-DTJ220</f>
        <v>0</v>
      </c>
      <c r="DTM220" s="5" t="s">
        <v>317</v>
      </c>
      <c r="DTN220" s="2" t="s">
        <v>22</v>
      </c>
      <c r="DTO220" s="53" t="s">
        <v>334</v>
      </c>
      <c r="DTP220" s="2" t="s">
        <v>513</v>
      </c>
      <c r="DTQ220" s="2" t="s">
        <v>25</v>
      </c>
      <c r="DTR220" s="2" t="s">
        <v>393</v>
      </c>
      <c r="DTS220" s="7">
        <v>-74.044305502618698</v>
      </c>
      <c r="DTT220" s="7">
        <v>4.6804459478222702</v>
      </c>
      <c r="DTU220" s="2" t="s">
        <v>357</v>
      </c>
      <c r="DTV220" s="2" t="s">
        <v>63</v>
      </c>
      <c r="DTW220" s="2" t="s">
        <v>83</v>
      </c>
      <c r="DTX220" s="2" t="s">
        <v>63</v>
      </c>
      <c r="DTY220" s="24">
        <v>434</v>
      </c>
      <c r="DTZ220" s="5">
        <v>46174</v>
      </c>
      <c r="DUA220" s="5">
        <v>46174</v>
      </c>
      <c r="DUB220" s="30">
        <f t="shared" ref="DUB220" si="229">DUA220-DTZ220</f>
        <v>0</v>
      </c>
      <c r="DUC220" s="5" t="s">
        <v>317</v>
      </c>
      <c r="DUD220" s="2" t="s">
        <v>22</v>
      </c>
      <c r="DUE220" s="53" t="s">
        <v>334</v>
      </c>
      <c r="DUF220" s="2" t="s">
        <v>513</v>
      </c>
      <c r="DUG220" s="2" t="s">
        <v>25</v>
      </c>
      <c r="DUH220" s="2" t="s">
        <v>393</v>
      </c>
      <c r="DUI220" s="7">
        <v>-74.044305502618698</v>
      </c>
      <c r="DUJ220" s="7">
        <v>4.6804459478222702</v>
      </c>
      <c r="DUK220" s="2" t="s">
        <v>357</v>
      </c>
      <c r="DUL220" s="2" t="s">
        <v>63</v>
      </c>
      <c r="DUM220" s="2" t="s">
        <v>83</v>
      </c>
      <c r="DUN220" s="2" t="s">
        <v>63</v>
      </c>
      <c r="DUO220" s="24">
        <v>434</v>
      </c>
      <c r="DUP220" s="5">
        <v>46174</v>
      </c>
      <c r="DUQ220" s="5">
        <v>46174</v>
      </c>
      <c r="DUR220" s="30">
        <f t="shared" ref="DUR220" si="230">DUQ220-DUP220</f>
        <v>0</v>
      </c>
      <c r="DUS220" s="5" t="s">
        <v>317</v>
      </c>
      <c r="DUT220" s="2" t="s">
        <v>22</v>
      </c>
      <c r="DUU220" s="53" t="s">
        <v>334</v>
      </c>
      <c r="DUV220" s="2" t="s">
        <v>513</v>
      </c>
      <c r="DUW220" s="2" t="s">
        <v>25</v>
      </c>
      <c r="DUX220" s="2" t="s">
        <v>393</v>
      </c>
      <c r="DUY220" s="7">
        <v>-74.044305502618698</v>
      </c>
      <c r="DUZ220" s="7">
        <v>4.6804459478222702</v>
      </c>
      <c r="DVA220" s="2" t="s">
        <v>357</v>
      </c>
      <c r="DVB220" s="2" t="s">
        <v>63</v>
      </c>
      <c r="DVC220" s="2" t="s">
        <v>83</v>
      </c>
      <c r="DVD220" s="2" t="s">
        <v>63</v>
      </c>
      <c r="DVE220" s="24">
        <v>434</v>
      </c>
      <c r="DVF220" s="5">
        <v>46174</v>
      </c>
      <c r="DVG220" s="5">
        <v>46174</v>
      </c>
      <c r="DVH220" s="30">
        <f t="shared" ref="DVH220" si="231">DVG220-DVF220</f>
        <v>0</v>
      </c>
      <c r="DVI220" s="5" t="s">
        <v>317</v>
      </c>
      <c r="DVJ220" s="2" t="s">
        <v>22</v>
      </c>
      <c r="DVK220" s="53" t="s">
        <v>334</v>
      </c>
      <c r="DVL220" s="2" t="s">
        <v>513</v>
      </c>
      <c r="DVM220" s="2" t="s">
        <v>25</v>
      </c>
      <c r="DVN220" s="2" t="s">
        <v>393</v>
      </c>
      <c r="DVO220" s="7">
        <v>-74.044305502618698</v>
      </c>
      <c r="DVP220" s="7">
        <v>4.6804459478222702</v>
      </c>
      <c r="DVQ220" s="2" t="s">
        <v>357</v>
      </c>
      <c r="DVR220" s="2" t="s">
        <v>63</v>
      </c>
      <c r="DVS220" s="2" t="s">
        <v>83</v>
      </c>
      <c r="DVT220" s="2" t="s">
        <v>63</v>
      </c>
      <c r="DVU220" s="24">
        <v>434</v>
      </c>
      <c r="DVV220" s="5">
        <v>46174</v>
      </c>
      <c r="DVW220" s="5">
        <v>46174</v>
      </c>
      <c r="DVX220" s="30">
        <f t="shared" ref="DVX220" si="232">DVW220-DVV220</f>
        <v>0</v>
      </c>
      <c r="DVY220" s="5" t="s">
        <v>317</v>
      </c>
      <c r="DVZ220" s="2" t="s">
        <v>22</v>
      </c>
      <c r="DWA220" s="53" t="s">
        <v>334</v>
      </c>
      <c r="DWB220" s="2" t="s">
        <v>513</v>
      </c>
      <c r="DWC220" s="2" t="s">
        <v>25</v>
      </c>
      <c r="DWD220" s="2" t="s">
        <v>393</v>
      </c>
      <c r="DWE220" s="7">
        <v>-74.044305502618698</v>
      </c>
      <c r="DWF220" s="7">
        <v>4.6804459478222702</v>
      </c>
      <c r="DWG220" s="2" t="s">
        <v>357</v>
      </c>
      <c r="DWH220" s="2" t="s">
        <v>63</v>
      </c>
      <c r="DWI220" s="2" t="s">
        <v>83</v>
      </c>
      <c r="DWJ220" s="2" t="s">
        <v>63</v>
      </c>
      <c r="DWK220" s="24">
        <v>434</v>
      </c>
      <c r="DWL220" s="5">
        <v>46174</v>
      </c>
      <c r="DWM220" s="5">
        <v>46174</v>
      </c>
      <c r="DWN220" s="30">
        <f t="shared" ref="DWN220" si="233">DWM220-DWL220</f>
        <v>0</v>
      </c>
      <c r="DWO220" s="5" t="s">
        <v>317</v>
      </c>
      <c r="DWP220" s="2" t="s">
        <v>22</v>
      </c>
      <c r="DWQ220" s="53" t="s">
        <v>334</v>
      </c>
      <c r="DWR220" s="2" t="s">
        <v>513</v>
      </c>
      <c r="DWS220" s="2" t="s">
        <v>25</v>
      </c>
      <c r="DWT220" s="2" t="s">
        <v>393</v>
      </c>
      <c r="DWU220" s="7">
        <v>-74.044305502618698</v>
      </c>
      <c r="DWV220" s="7">
        <v>4.6804459478222702</v>
      </c>
      <c r="DWW220" s="2" t="s">
        <v>357</v>
      </c>
      <c r="DWX220" s="2" t="s">
        <v>63</v>
      </c>
      <c r="DWY220" s="2" t="s">
        <v>83</v>
      </c>
      <c r="DWZ220" s="2" t="s">
        <v>63</v>
      </c>
      <c r="DXA220" s="24">
        <v>434</v>
      </c>
      <c r="DXB220" s="5">
        <v>46174</v>
      </c>
      <c r="DXC220" s="5">
        <v>46174</v>
      </c>
      <c r="DXD220" s="30">
        <f t="shared" ref="DXD220" si="234">DXC220-DXB220</f>
        <v>0</v>
      </c>
      <c r="DXE220" s="5" t="s">
        <v>317</v>
      </c>
      <c r="DXF220" s="2" t="s">
        <v>22</v>
      </c>
      <c r="DXG220" s="53" t="s">
        <v>334</v>
      </c>
      <c r="DXH220" s="2" t="s">
        <v>513</v>
      </c>
      <c r="DXI220" s="2" t="s">
        <v>25</v>
      </c>
      <c r="DXJ220" s="2" t="s">
        <v>393</v>
      </c>
      <c r="DXK220" s="7">
        <v>-74.044305502618698</v>
      </c>
      <c r="DXL220" s="7">
        <v>4.6804459478222702</v>
      </c>
      <c r="DXM220" s="2" t="s">
        <v>357</v>
      </c>
      <c r="DXN220" s="2" t="s">
        <v>63</v>
      </c>
      <c r="DXO220" s="2" t="s">
        <v>83</v>
      </c>
      <c r="DXP220" s="2" t="s">
        <v>63</v>
      </c>
      <c r="DXQ220" s="24">
        <v>434</v>
      </c>
      <c r="DXR220" s="5">
        <v>46174</v>
      </c>
      <c r="DXS220" s="5">
        <v>46174</v>
      </c>
      <c r="DXT220" s="30">
        <f t="shared" ref="DXT220" si="235">DXS220-DXR220</f>
        <v>0</v>
      </c>
      <c r="DXU220" s="5" t="s">
        <v>317</v>
      </c>
      <c r="DXV220" s="2" t="s">
        <v>22</v>
      </c>
      <c r="DXW220" s="53" t="s">
        <v>334</v>
      </c>
      <c r="DXX220" s="2" t="s">
        <v>513</v>
      </c>
      <c r="DXY220" s="2" t="s">
        <v>25</v>
      </c>
      <c r="DXZ220" s="2" t="s">
        <v>393</v>
      </c>
      <c r="DYA220" s="7">
        <v>-74.044305502618698</v>
      </c>
      <c r="DYB220" s="7">
        <v>4.6804459478222702</v>
      </c>
      <c r="DYC220" s="2" t="s">
        <v>357</v>
      </c>
      <c r="DYD220" s="2" t="s">
        <v>63</v>
      </c>
      <c r="DYE220" s="2" t="s">
        <v>83</v>
      </c>
      <c r="DYF220" s="2" t="s">
        <v>63</v>
      </c>
      <c r="DYG220" s="24">
        <v>434</v>
      </c>
      <c r="DYH220" s="5">
        <v>46174</v>
      </c>
      <c r="DYI220" s="5">
        <v>46174</v>
      </c>
      <c r="DYJ220" s="30">
        <f t="shared" ref="DYJ220" si="236">DYI220-DYH220</f>
        <v>0</v>
      </c>
      <c r="DYK220" s="5" t="s">
        <v>317</v>
      </c>
      <c r="DYL220" s="2" t="s">
        <v>22</v>
      </c>
      <c r="DYM220" s="53" t="s">
        <v>334</v>
      </c>
      <c r="DYN220" s="2" t="s">
        <v>513</v>
      </c>
      <c r="DYO220" s="2" t="s">
        <v>25</v>
      </c>
      <c r="DYP220" s="2" t="s">
        <v>393</v>
      </c>
      <c r="DYQ220" s="7">
        <v>-74.044305502618698</v>
      </c>
      <c r="DYR220" s="7">
        <v>4.6804459478222702</v>
      </c>
      <c r="DYS220" s="2" t="s">
        <v>357</v>
      </c>
      <c r="DYT220" s="2" t="s">
        <v>63</v>
      </c>
      <c r="DYU220" s="2" t="s">
        <v>83</v>
      </c>
      <c r="DYV220" s="2" t="s">
        <v>63</v>
      </c>
      <c r="DYW220" s="24">
        <v>434</v>
      </c>
      <c r="DYX220" s="5">
        <v>46174</v>
      </c>
      <c r="DYY220" s="5">
        <v>46174</v>
      </c>
      <c r="DYZ220" s="30">
        <f t="shared" ref="DYZ220" si="237">DYY220-DYX220</f>
        <v>0</v>
      </c>
      <c r="DZA220" s="5" t="s">
        <v>317</v>
      </c>
      <c r="DZB220" s="2" t="s">
        <v>22</v>
      </c>
      <c r="DZC220" s="53" t="s">
        <v>334</v>
      </c>
      <c r="DZD220" s="2" t="s">
        <v>513</v>
      </c>
      <c r="DZE220" s="2" t="s">
        <v>25</v>
      </c>
      <c r="DZF220" s="2" t="s">
        <v>393</v>
      </c>
      <c r="DZG220" s="7">
        <v>-74.044305502618698</v>
      </c>
      <c r="DZH220" s="7">
        <v>4.6804459478222702</v>
      </c>
      <c r="DZI220" s="2" t="s">
        <v>357</v>
      </c>
      <c r="DZJ220" s="2" t="s">
        <v>63</v>
      </c>
      <c r="DZK220" s="2" t="s">
        <v>83</v>
      </c>
      <c r="DZL220" s="2" t="s">
        <v>63</v>
      </c>
      <c r="DZM220" s="24">
        <v>434</v>
      </c>
      <c r="DZN220" s="5">
        <v>46174</v>
      </c>
      <c r="DZO220" s="5">
        <v>46174</v>
      </c>
      <c r="DZP220" s="30">
        <f t="shared" ref="DZP220" si="238">DZO220-DZN220</f>
        <v>0</v>
      </c>
      <c r="DZQ220" s="5" t="s">
        <v>317</v>
      </c>
      <c r="DZR220" s="2" t="s">
        <v>22</v>
      </c>
      <c r="DZS220" s="53" t="s">
        <v>334</v>
      </c>
      <c r="DZT220" s="2" t="s">
        <v>513</v>
      </c>
      <c r="DZU220" s="2" t="s">
        <v>25</v>
      </c>
      <c r="DZV220" s="2" t="s">
        <v>393</v>
      </c>
      <c r="DZW220" s="7">
        <v>-74.044305502618698</v>
      </c>
      <c r="DZX220" s="7">
        <v>4.6804459478222702</v>
      </c>
      <c r="DZY220" s="2" t="s">
        <v>357</v>
      </c>
      <c r="DZZ220" s="2" t="s">
        <v>63</v>
      </c>
      <c r="EAA220" s="2" t="s">
        <v>83</v>
      </c>
      <c r="EAB220" s="2" t="s">
        <v>63</v>
      </c>
      <c r="EAC220" s="24">
        <v>434</v>
      </c>
      <c r="EAD220" s="5">
        <v>46174</v>
      </c>
      <c r="EAE220" s="5">
        <v>46174</v>
      </c>
      <c r="EAF220" s="30">
        <f t="shared" ref="EAF220" si="239">EAE220-EAD220</f>
        <v>0</v>
      </c>
      <c r="EAG220" s="5" t="s">
        <v>317</v>
      </c>
      <c r="EAH220" s="2" t="s">
        <v>22</v>
      </c>
      <c r="EAI220" s="53" t="s">
        <v>334</v>
      </c>
      <c r="EAJ220" s="2" t="s">
        <v>513</v>
      </c>
      <c r="EAK220" s="2" t="s">
        <v>25</v>
      </c>
      <c r="EAL220" s="2" t="s">
        <v>393</v>
      </c>
      <c r="EAM220" s="7">
        <v>-74.044305502618698</v>
      </c>
      <c r="EAN220" s="7">
        <v>4.6804459478222702</v>
      </c>
      <c r="EAO220" s="2" t="s">
        <v>357</v>
      </c>
      <c r="EAP220" s="2" t="s">
        <v>63</v>
      </c>
      <c r="EAQ220" s="2" t="s">
        <v>83</v>
      </c>
      <c r="EAR220" s="2" t="s">
        <v>63</v>
      </c>
      <c r="EAS220" s="24">
        <v>434</v>
      </c>
      <c r="EAT220" s="5">
        <v>46174</v>
      </c>
      <c r="EAU220" s="5">
        <v>46174</v>
      </c>
      <c r="EAV220" s="30">
        <f t="shared" ref="EAV220" si="240">EAU220-EAT220</f>
        <v>0</v>
      </c>
      <c r="EAW220" s="5" t="s">
        <v>317</v>
      </c>
      <c r="EAX220" s="2" t="s">
        <v>22</v>
      </c>
      <c r="EAY220" s="53" t="s">
        <v>334</v>
      </c>
      <c r="EAZ220" s="2" t="s">
        <v>513</v>
      </c>
      <c r="EBA220" s="2" t="s">
        <v>25</v>
      </c>
      <c r="EBB220" s="2" t="s">
        <v>393</v>
      </c>
      <c r="EBC220" s="7">
        <v>-74.044305502618698</v>
      </c>
      <c r="EBD220" s="7">
        <v>4.6804459478222702</v>
      </c>
      <c r="EBE220" s="2" t="s">
        <v>357</v>
      </c>
      <c r="EBF220" s="2" t="s">
        <v>63</v>
      </c>
      <c r="EBG220" s="2" t="s">
        <v>83</v>
      </c>
      <c r="EBH220" s="2" t="s">
        <v>63</v>
      </c>
      <c r="EBI220" s="24">
        <v>434</v>
      </c>
      <c r="EBJ220" s="5">
        <v>46174</v>
      </c>
      <c r="EBK220" s="5">
        <v>46174</v>
      </c>
      <c r="EBL220" s="30">
        <f t="shared" ref="EBL220" si="241">EBK220-EBJ220</f>
        <v>0</v>
      </c>
      <c r="EBM220" s="5" t="s">
        <v>317</v>
      </c>
      <c r="EBN220" s="2" t="s">
        <v>22</v>
      </c>
      <c r="EBO220" s="53" t="s">
        <v>334</v>
      </c>
      <c r="EBP220" s="2" t="s">
        <v>513</v>
      </c>
      <c r="EBQ220" s="2" t="s">
        <v>25</v>
      </c>
      <c r="EBR220" s="2" t="s">
        <v>393</v>
      </c>
      <c r="EBS220" s="7">
        <v>-74.044305502618698</v>
      </c>
      <c r="EBT220" s="7">
        <v>4.6804459478222702</v>
      </c>
      <c r="EBU220" s="2" t="s">
        <v>357</v>
      </c>
      <c r="EBV220" s="2" t="s">
        <v>63</v>
      </c>
      <c r="EBW220" s="2" t="s">
        <v>83</v>
      </c>
      <c r="EBX220" s="2" t="s">
        <v>63</v>
      </c>
      <c r="EBY220" s="24">
        <v>434</v>
      </c>
      <c r="EBZ220" s="5">
        <v>46174</v>
      </c>
      <c r="ECA220" s="5">
        <v>46174</v>
      </c>
      <c r="ECB220" s="30">
        <f t="shared" ref="ECB220" si="242">ECA220-EBZ220</f>
        <v>0</v>
      </c>
      <c r="ECC220" s="5" t="s">
        <v>317</v>
      </c>
      <c r="ECD220" s="2" t="s">
        <v>22</v>
      </c>
      <c r="ECE220" s="53" t="s">
        <v>334</v>
      </c>
      <c r="ECF220" s="2" t="s">
        <v>513</v>
      </c>
      <c r="ECG220" s="2" t="s">
        <v>25</v>
      </c>
      <c r="ECH220" s="2" t="s">
        <v>393</v>
      </c>
      <c r="ECI220" s="7">
        <v>-74.044305502618698</v>
      </c>
      <c r="ECJ220" s="7">
        <v>4.6804459478222702</v>
      </c>
      <c r="ECK220" s="2" t="s">
        <v>357</v>
      </c>
      <c r="ECL220" s="2" t="s">
        <v>63</v>
      </c>
      <c r="ECM220" s="2" t="s">
        <v>83</v>
      </c>
      <c r="ECN220" s="2" t="s">
        <v>63</v>
      </c>
      <c r="ECO220" s="24">
        <v>434</v>
      </c>
      <c r="ECP220" s="5">
        <v>46174</v>
      </c>
      <c r="ECQ220" s="5">
        <v>46174</v>
      </c>
      <c r="ECR220" s="30">
        <f t="shared" ref="ECR220" si="243">ECQ220-ECP220</f>
        <v>0</v>
      </c>
      <c r="ECS220" s="5" t="s">
        <v>317</v>
      </c>
      <c r="ECT220" s="2" t="s">
        <v>22</v>
      </c>
      <c r="ECU220" s="53" t="s">
        <v>334</v>
      </c>
      <c r="ECV220" s="2" t="s">
        <v>513</v>
      </c>
      <c r="ECW220" s="2" t="s">
        <v>25</v>
      </c>
      <c r="ECX220" s="2" t="s">
        <v>393</v>
      </c>
      <c r="ECY220" s="7">
        <v>-74.044305502618698</v>
      </c>
      <c r="ECZ220" s="7">
        <v>4.6804459478222702</v>
      </c>
      <c r="EDA220" s="2" t="s">
        <v>357</v>
      </c>
      <c r="EDB220" s="2" t="s">
        <v>63</v>
      </c>
      <c r="EDC220" s="2" t="s">
        <v>83</v>
      </c>
      <c r="EDD220" s="2" t="s">
        <v>63</v>
      </c>
      <c r="EDE220" s="24">
        <v>434</v>
      </c>
      <c r="EDF220" s="5">
        <v>46174</v>
      </c>
      <c r="EDG220" s="5">
        <v>46174</v>
      </c>
      <c r="EDH220" s="30">
        <f t="shared" ref="EDH220" si="244">EDG220-EDF220</f>
        <v>0</v>
      </c>
      <c r="EDI220" s="5" t="s">
        <v>317</v>
      </c>
      <c r="EDJ220" s="2" t="s">
        <v>22</v>
      </c>
      <c r="EDK220" s="53" t="s">
        <v>334</v>
      </c>
      <c r="EDL220" s="2" t="s">
        <v>513</v>
      </c>
      <c r="EDM220" s="2" t="s">
        <v>25</v>
      </c>
      <c r="EDN220" s="2" t="s">
        <v>393</v>
      </c>
      <c r="EDO220" s="7">
        <v>-74.044305502618698</v>
      </c>
      <c r="EDP220" s="7">
        <v>4.6804459478222702</v>
      </c>
      <c r="EDQ220" s="2" t="s">
        <v>357</v>
      </c>
      <c r="EDR220" s="2" t="s">
        <v>63</v>
      </c>
      <c r="EDS220" s="2" t="s">
        <v>83</v>
      </c>
      <c r="EDT220" s="2" t="s">
        <v>63</v>
      </c>
      <c r="EDU220" s="24">
        <v>434</v>
      </c>
      <c r="EDV220" s="5">
        <v>46174</v>
      </c>
      <c r="EDW220" s="5">
        <v>46174</v>
      </c>
      <c r="EDX220" s="30">
        <f t="shared" ref="EDX220" si="245">EDW220-EDV220</f>
        <v>0</v>
      </c>
      <c r="EDY220" s="5" t="s">
        <v>317</v>
      </c>
      <c r="EDZ220" s="2" t="s">
        <v>22</v>
      </c>
      <c r="EEA220" s="53" t="s">
        <v>334</v>
      </c>
      <c r="EEB220" s="2" t="s">
        <v>513</v>
      </c>
      <c r="EEC220" s="2" t="s">
        <v>25</v>
      </c>
      <c r="EED220" s="2" t="s">
        <v>393</v>
      </c>
      <c r="EEE220" s="7">
        <v>-74.044305502618698</v>
      </c>
      <c r="EEF220" s="7">
        <v>4.6804459478222702</v>
      </c>
      <c r="EEG220" s="2" t="s">
        <v>357</v>
      </c>
      <c r="EEH220" s="2" t="s">
        <v>63</v>
      </c>
      <c r="EEI220" s="2" t="s">
        <v>83</v>
      </c>
      <c r="EEJ220" s="2" t="s">
        <v>63</v>
      </c>
      <c r="EEK220" s="24">
        <v>434</v>
      </c>
      <c r="EEL220" s="5">
        <v>46174</v>
      </c>
      <c r="EEM220" s="5">
        <v>46174</v>
      </c>
      <c r="EEN220" s="30">
        <f t="shared" ref="EEN220" si="246">EEM220-EEL220</f>
        <v>0</v>
      </c>
      <c r="EEO220" s="5" t="s">
        <v>317</v>
      </c>
      <c r="EEP220" s="2" t="s">
        <v>22</v>
      </c>
      <c r="EEQ220" s="53" t="s">
        <v>334</v>
      </c>
      <c r="EER220" s="2" t="s">
        <v>513</v>
      </c>
      <c r="EES220" s="2" t="s">
        <v>25</v>
      </c>
      <c r="EET220" s="2" t="s">
        <v>393</v>
      </c>
      <c r="EEU220" s="7">
        <v>-74.044305502618698</v>
      </c>
      <c r="EEV220" s="7">
        <v>4.6804459478222702</v>
      </c>
      <c r="EEW220" s="2" t="s">
        <v>357</v>
      </c>
      <c r="EEX220" s="2" t="s">
        <v>63</v>
      </c>
      <c r="EEY220" s="2" t="s">
        <v>83</v>
      </c>
      <c r="EEZ220" s="2" t="s">
        <v>63</v>
      </c>
      <c r="EFA220" s="24">
        <v>434</v>
      </c>
      <c r="EFB220" s="5">
        <v>46174</v>
      </c>
      <c r="EFC220" s="5">
        <v>46174</v>
      </c>
      <c r="EFD220" s="30">
        <f t="shared" ref="EFD220" si="247">EFC220-EFB220</f>
        <v>0</v>
      </c>
      <c r="EFE220" s="5" t="s">
        <v>317</v>
      </c>
      <c r="EFF220" s="2" t="s">
        <v>22</v>
      </c>
      <c r="EFG220" s="53" t="s">
        <v>334</v>
      </c>
      <c r="EFH220" s="2" t="s">
        <v>513</v>
      </c>
      <c r="EFI220" s="2" t="s">
        <v>25</v>
      </c>
      <c r="EFJ220" s="2" t="s">
        <v>393</v>
      </c>
      <c r="EFK220" s="7">
        <v>-74.044305502618698</v>
      </c>
      <c r="EFL220" s="7">
        <v>4.6804459478222702</v>
      </c>
      <c r="EFM220" s="2" t="s">
        <v>357</v>
      </c>
      <c r="EFN220" s="2" t="s">
        <v>63</v>
      </c>
      <c r="EFO220" s="2" t="s">
        <v>83</v>
      </c>
      <c r="EFP220" s="2" t="s">
        <v>63</v>
      </c>
      <c r="EFQ220" s="24">
        <v>434</v>
      </c>
      <c r="EFR220" s="5">
        <v>46174</v>
      </c>
      <c r="EFS220" s="5">
        <v>46174</v>
      </c>
      <c r="EFT220" s="30">
        <f t="shared" ref="EFT220" si="248">EFS220-EFR220</f>
        <v>0</v>
      </c>
      <c r="EFU220" s="5" t="s">
        <v>317</v>
      </c>
      <c r="EFV220" s="2" t="s">
        <v>22</v>
      </c>
      <c r="EFW220" s="53" t="s">
        <v>334</v>
      </c>
      <c r="EFX220" s="2" t="s">
        <v>513</v>
      </c>
      <c r="EFY220" s="2" t="s">
        <v>25</v>
      </c>
      <c r="EFZ220" s="2" t="s">
        <v>393</v>
      </c>
      <c r="EGA220" s="7">
        <v>-74.044305502618698</v>
      </c>
      <c r="EGB220" s="7">
        <v>4.6804459478222702</v>
      </c>
      <c r="EGC220" s="2" t="s">
        <v>357</v>
      </c>
      <c r="EGD220" s="2" t="s">
        <v>63</v>
      </c>
      <c r="EGE220" s="2" t="s">
        <v>83</v>
      </c>
      <c r="EGF220" s="2" t="s">
        <v>63</v>
      </c>
      <c r="EGG220" s="24">
        <v>434</v>
      </c>
      <c r="EGH220" s="5">
        <v>46174</v>
      </c>
      <c r="EGI220" s="5">
        <v>46174</v>
      </c>
      <c r="EGJ220" s="30">
        <f t="shared" ref="EGJ220" si="249">EGI220-EGH220</f>
        <v>0</v>
      </c>
      <c r="EGK220" s="5" t="s">
        <v>317</v>
      </c>
      <c r="EGL220" s="2" t="s">
        <v>22</v>
      </c>
      <c r="EGM220" s="53" t="s">
        <v>334</v>
      </c>
      <c r="EGN220" s="2" t="s">
        <v>513</v>
      </c>
      <c r="EGO220" s="2" t="s">
        <v>25</v>
      </c>
      <c r="EGP220" s="2" t="s">
        <v>393</v>
      </c>
      <c r="EGQ220" s="7">
        <v>-74.044305502618698</v>
      </c>
      <c r="EGR220" s="7">
        <v>4.6804459478222702</v>
      </c>
      <c r="EGS220" s="2" t="s">
        <v>357</v>
      </c>
      <c r="EGT220" s="2" t="s">
        <v>63</v>
      </c>
      <c r="EGU220" s="2" t="s">
        <v>83</v>
      </c>
      <c r="EGV220" s="2" t="s">
        <v>63</v>
      </c>
      <c r="EGW220" s="24">
        <v>434</v>
      </c>
      <c r="EGX220" s="5">
        <v>46174</v>
      </c>
      <c r="EGY220" s="5">
        <v>46174</v>
      </c>
      <c r="EGZ220" s="30">
        <f t="shared" ref="EGZ220" si="250">EGY220-EGX220</f>
        <v>0</v>
      </c>
      <c r="EHA220" s="5" t="s">
        <v>317</v>
      </c>
      <c r="EHB220" s="2" t="s">
        <v>22</v>
      </c>
      <c r="EHC220" s="53" t="s">
        <v>334</v>
      </c>
      <c r="EHD220" s="2" t="s">
        <v>513</v>
      </c>
      <c r="EHE220" s="2" t="s">
        <v>25</v>
      </c>
      <c r="EHF220" s="2" t="s">
        <v>393</v>
      </c>
      <c r="EHG220" s="7">
        <v>-74.044305502618698</v>
      </c>
      <c r="EHH220" s="7">
        <v>4.6804459478222702</v>
      </c>
      <c r="EHI220" s="2" t="s">
        <v>357</v>
      </c>
      <c r="EHJ220" s="2" t="s">
        <v>63</v>
      </c>
      <c r="EHK220" s="2" t="s">
        <v>83</v>
      </c>
      <c r="EHL220" s="2" t="s">
        <v>63</v>
      </c>
      <c r="EHM220" s="24">
        <v>434</v>
      </c>
      <c r="EHN220" s="5">
        <v>46174</v>
      </c>
      <c r="EHO220" s="5">
        <v>46174</v>
      </c>
      <c r="EHP220" s="30">
        <f t="shared" ref="EHP220" si="251">EHO220-EHN220</f>
        <v>0</v>
      </c>
      <c r="EHQ220" s="5" t="s">
        <v>317</v>
      </c>
      <c r="EHR220" s="2" t="s">
        <v>22</v>
      </c>
      <c r="EHS220" s="53" t="s">
        <v>334</v>
      </c>
      <c r="EHT220" s="2" t="s">
        <v>513</v>
      </c>
      <c r="EHU220" s="2" t="s">
        <v>25</v>
      </c>
      <c r="EHV220" s="2" t="s">
        <v>393</v>
      </c>
      <c r="EHW220" s="7">
        <v>-74.044305502618698</v>
      </c>
      <c r="EHX220" s="7">
        <v>4.6804459478222702</v>
      </c>
      <c r="EHY220" s="2" t="s">
        <v>357</v>
      </c>
      <c r="EHZ220" s="2" t="s">
        <v>63</v>
      </c>
      <c r="EIA220" s="2" t="s">
        <v>83</v>
      </c>
      <c r="EIB220" s="2" t="s">
        <v>63</v>
      </c>
      <c r="EIC220" s="24">
        <v>434</v>
      </c>
      <c r="EID220" s="5">
        <v>46174</v>
      </c>
      <c r="EIE220" s="5">
        <v>46174</v>
      </c>
      <c r="EIF220" s="30">
        <f t="shared" ref="EIF220" si="252">EIE220-EID220</f>
        <v>0</v>
      </c>
      <c r="EIG220" s="5" t="s">
        <v>317</v>
      </c>
      <c r="EIH220" s="2" t="s">
        <v>22</v>
      </c>
      <c r="EII220" s="53" t="s">
        <v>334</v>
      </c>
      <c r="EIJ220" s="2" t="s">
        <v>513</v>
      </c>
      <c r="EIK220" s="2" t="s">
        <v>25</v>
      </c>
      <c r="EIL220" s="2" t="s">
        <v>393</v>
      </c>
      <c r="EIM220" s="7">
        <v>-74.044305502618698</v>
      </c>
      <c r="EIN220" s="7">
        <v>4.6804459478222702</v>
      </c>
      <c r="EIO220" s="2" t="s">
        <v>357</v>
      </c>
      <c r="EIP220" s="2" t="s">
        <v>63</v>
      </c>
      <c r="EIQ220" s="2" t="s">
        <v>83</v>
      </c>
      <c r="EIR220" s="2" t="s">
        <v>63</v>
      </c>
      <c r="EIS220" s="24">
        <v>434</v>
      </c>
      <c r="EIT220" s="5">
        <v>46174</v>
      </c>
      <c r="EIU220" s="5">
        <v>46174</v>
      </c>
      <c r="EIV220" s="30">
        <f t="shared" ref="EIV220" si="253">EIU220-EIT220</f>
        <v>0</v>
      </c>
      <c r="EIW220" s="5" t="s">
        <v>317</v>
      </c>
      <c r="EIX220" s="2" t="s">
        <v>22</v>
      </c>
      <c r="EIY220" s="53" t="s">
        <v>334</v>
      </c>
      <c r="EIZ220" s="2" t="s">
        <v>513</v>
      </c>
      <c r="EJA220" s="2" t="s">
        <v>25</v>
      </c>
      <c r="EJB220" s="2" t="s">
        <v>393</v>
      </c>
      <c r="EJC220" s="7">
        <v>-74.044305502618698</v>
      </c>
      <c r="EJD220" s="7">
        <v>4.6804459478222702</v>
      </c>
      <c r="EJE220" s="2" t="s">
        <v>357</v>
      </c>
      <c r="EJF220" s="2" t="s">
        <v>63</v>
      </c>
      <c r="EJG220" s="2" t="s">
        <v>83</v>
      </c>
      <c r="EJH220" s="2" t="s">
        <v>63</v>
      </c>
      <c r="EJI220" s="24">
        <v>434</v>
      </c>
      <c r="EJJ220" s="5">
        <v>46174</v>
      </c>
      <c r="EJK220" s="5">
        <v>46174</v>
      </c>
      <c r="EJL220" s="30">
        <f t="shared" ref="EJL220" si="254">EJK220-EJJ220</f>
        <v>0</v>
      </c>
      <c r="EJM220" s="5" t="s">
        <v>317</v>
      </c>
      <c r="EJN220" s="2" t="s">
        <v>22</v>
      </c>
      <c r="EJO220" s="53" t="s">
        <v>334</v>
      </c>
      <c r="EJP220" s="2" t="s">
        <v>513</v>
      </c>
      <c r="EJQ220" s="2" t="s">
        <v>25</v>
      </c>
      <c r="EJR220" s="2" t="s">
        <v>393</v>
      </c>
      <c r="EJS220" s="7">
        <v>-74.044305502618698</v>
      </c>
      <c r="EJT220" s="7">
        <v>4.6804459478222702</v>
      </c>
      <c r="EJU220" s="2" t="s">
        <v>357</v>
      </c>
      <c r="EJV220" s="2" t="s">
        <v>63</v>
      </c>
      <c r="EJW220" s="2" t="s">
        <v>83</v>
      </c>
      <c r="EJX220" s="2" t="s">
        <v>63</v>
      </c>
      <c r="EJY220" s="24">
        <v>434</v>
      </c>
      <c r="EJZ220" s="5">
        <v>46174</v>
      </c>
      <c r="EKA220" s="5">
        <v>46174</v>
      </c>
      <c r="EKB220" s="30">
        <f t="shared" ref="EKB220" si="255">EKA220-EJZ220</f>
        <v>0</v>
      </c>
      <c r="EKC220" s="5" t="s">
        <v>317</v>
      </c>
      <c r="EKD220" s="2" t="s">
        <v>22</v>
      </c>
      <c r="EKE220" s="53" t="s">
        <v>334</v>
      </c>
      <c r="EKF220" s="2" t="s">
        <v>513</v>
      </c>
      <c r="EKG220" s="2" t="s">
        <v>25</v>
      </c>
      <c r="EKH220" s="2" t="s">
        <v>393</v>
      </c>
      <c r="EKI220" s="7">
        <v>-74.044305502618698</v>
      </c>
      <c r="EKJ220" s="7">
        <v>4.6804459478222702</v>
      </c>
      <c r="EKK220" s="2" t="s">
        <v>357</v>
      </c>
      <c r="EKL220" s="2" t="s">
        <v>63</v>
      </c>
      <c r="EKM220" s="2" t="s">
        <v>83</v>
      </c>
      <c r="EKN220" s="2" t="s">
        <v>63</v>
      </c>
      <c r="EKO220" s="24">
        <v>434</v>
      </c>
      <c r="EKP220" s="5">
        <v>46174</v>
      </c>
      <c r="EKQ220" s="5">
        <v>46174</v>
      </c>
      <c r="EKR220" s="30">
        <f t="shared" ref="EKR220" si="256">EKQ220-EKP220</f>
        <v>0</v>
      </c>
      <c r="EKS220" s="5" t="s">
        <v>317</v>
      </c>
      <c r="EKT220" s="2" t="s">
        <v>22</v>
      </c>
      <c r="EKU220" s="53" t="s">
        <v>334</v>
      </c>
      <c r="EKV220" s="2" t="s">
        <v>513</v>
      </c>
      <c r="EKW220" s="2" t="s">
        <v>25</v>
      </c>
      <c r="EKX220" s="2" t="s">
        <v>393</v>
      </c>
      <c r="EKY220" s="7">
        <v>-74.044305502618698</v>
      </c>
      <c r="EKZ220" s="7">
        <v>4.6804459478222702</v>
      </c>
      <c r="ELA220" s="2" t="s">
        <v>357</v>
      </c>
      <c r="ELB220" s="2" t="s">
        <v>63</v>
      </c>
      <c r="ELC220" s="2" t="s">
        <v>83</v>
      </c>
      <c r="ELD220" s="2" t="s">
        <v>63</v>
      </c>
      <c r="ELE220" s="24">
        <v>434</v>
      </c>
      <c r="ELF220" s="5">
        <v>46174</v>
      </c>
      <c r="ELG220" s="5">
        <v>46174</v>
      </c>
      <c r="ELH220" s="30">
        <f t="shared" ref="ELH220" si="257">ELG220-ELF220</f>
        <v>0</v>
      </c>
      <c r="ELI220" s="5" t="s">
        <v>317</v>
      </c>
      <c r="ELJ220" s="2" t="s">
        <v>22</v>
      </c>
      <c r="ELK220" s="53" t="s">
        <v>334</v>
      </c>
      <c r="ELL220" s="2" t="s">
        <v>513</v>
      </c>
      <c r="ELM220" s="2" t="s">
        <v>25</v>
      </c>
      <c r="ELN220" s="2" t="s">
        <v>393</v>
      </c>
      <c r="ELO220" s="7">
        <v>-74.044305502618698</v>
      </c>
      <c r="ELP220" s="7">
        <v>4.6804459478222702</v>
      </c>
      <c r="ELQ220" s="2" t="s">
        <v>357</v>
      </c>
      <c r="ELR220" s="2" t="s">
        <v>63</v>
      </c>
      <c r="ELS220" s="2" t="s">
        <v>83</v>
      </c>
      <c r="ELT220" s="2" t="s">
        <v>63</v>
      </c>
      <c r="ELU220" s="24">
        <v>434</v>
      </c>
      <c r="ELV220" s="5">
        <v>46174</v>
      </c>
      <c r="ELW220" s="5">
        <v>46174</v>
      </c>
      <c r="ELX220" s="30">
        <f t="shared" ref="ELX220" si="258">ELW220-ELV220</f>
        <v>0</v>
      </c>
      <c r="ELY220" s="5" t="s">
        <v>317</v>
      </c>
      <c r="ELZ220" s="2" t="s">
        <v>22</v>
      </c>
      <c r="EMA220" s="53" t="s">
        <v>334</v>
      </c>
      <c r="EMB220" s="2" t="s">
        <v>513</v>
      </c>
      <c r="EMC220" s="2" t="s">
        <v>25</v>
      </c>
      <c r="EMD220" s="2" t="s">
        <v>393</v>
      </c>
      <c r="EME220" s="7">
        <v>-74.044305502618698</v>
      </c>
      <c r="EMF220" s="7">
        <v>4.6804459478222702</v>
      </c>
      <c r="EMG220" s="2" t="s">
        <v>357</v>
      </c>
      <c r="EMH220" s="2" t="s">
        <v>63</v>
      </c>
      <c r="EMI220" s="2" t="s">
        <v>83</v>
      </c>
      <c r="EMJ220" s="2" t="s">
        <v>63</v>
      </c>
      <c r="EMK220" s="24">
        <v>434</v>
      </c>
      <c r="EML220" s="5">
        <v>46174</v>
      </c>
      <c r="EMM220" s="5">
        <v>46174</v>
      </c>
      <c r="EMN220" s="30">
        <f t="shared" ref="EMN220" si="259">EMM220-EML220</f>
        <v>0</v>
      </c>
      <c r="EMO220" s="5" t="s">
        <v>317</v>
      </c>
      <c r="EMP220" s="2" t="s">
        <v>22</v>
      </c>
      <c r="EMQ220" s="53" t="s">
        <v>334</v>
      </c>
      <c r="EMR220" s="2" t="s">
        <v>513</v>
      </c>
      <c r="EMS220" s="2" t="s">
        <v>25</v>
      </c>
      <c r="EMT220" s="2" t="s">
        <v>393</v>
      </c>
      <c r="EMU220" s="7">
        <v>-74.044305502618698</v>
      </c>
      <c r="EMV220" s="7">
        <v>4.6804459478222702</v>
      </c>
      <c r="EMW220" s="2" t="s">
        <v>357</v>
      </c>
      <c r="EMX220" s="2" t="s">
        <v>63</v>
      </c>
      <c r="EMY220" s="2" t="s">
        <v>83</v>
      </c>
      <c r="EMZ220" s="2" t="s">
        <v>63</v>
      </c>
      <c r="ENA220" s="24">
        <v>434</v>
      </c>
      <c r="ENB220" s="5">
        <v>46174</v>
      </c>
      <c r="ENC220" s="5">
        <v>46174</v>
      </c>
      <c r="END220" s="30">
        <f t="shared" ref="END220" si="260">ENC220-ENB220</f>
        <v>0</v>
      </c>
      <c r="ENE220" s="5" t="s">
        <v>317</v>
      </c>
      <c r="ENF220" s="2" t="s">
        <v>22</v>
      </c>
      <c r="ENG220" s="53" t="s">
        <v>334</v>
      </c>
      <c r="ENH220" s="2" t="s">
        <v>513</v>
      </c>
      <c r="ENI220" s="2" t="s">
        <v>25</v>
      </c>
      <c r="ENJ220" s="2" t="s">
        <v>393</v>
      </c>
      <c r="ENK220" s="7">
        <v>-74.044305502618698</v>
      </c>
      <c r="ENL220" s="7">
        <v>4.6804459478222702</v>
      </c>
      <c r="ENM220" s="2" t="s">
        <v>357</v>
      </c>
      <c r="ENN220" s="2" t="s">
        <v>63</v>
      </c>
      <c r="ENO220" s="2" t="s">
        <v>83</v>
      </c>
      <c r="ENP220" s="2" t="s">
        <v>63</v>
      </c>
      <c r="ENQ220" s="24">
        <v>434</v>
      </c>
      <c r="ENR220" s="5">
        <v>46174</v>
      </c>
      <c r="ENS220" s="5">
        <v>46174</v>
      </c>
      <c r="ENT220" s="30">
        <f t="shared" ref="ENT220" si="261">ENS220-ENR220</f>
        <v>0</v>
      </c>
      <c r="ENU220" s="5" t="s">
        <v>317</v>
      </c>
      <c r="ENV220" s="2" t="s">
        <v>22</v>
      </c>
      <c r="ENW220" s="53" t="s">
        <v>334</v>
      </c>
      <c r="ENX220" s="2" t="s">
        <v>513</v>
      </c>
      <c r="ENY220" s="2" t="s">
        <v>25</v>
      </c>
      <c r="ENZ220" s="2" t="s">
        <v>393</v>
      </c>
      <c r="EOA220" s="7">
        <v>-74.044305502618698</v>
      </c>
      <c r="EOB220" s="7">
        <v>4.6804459478222702</v>
      </c>
      <c r="EOC220" s="2" t="s">
        <v>357</v>
      </c>
      <c r="EOD220" s="2" t="s">
        <v>63</v>
      </c>
      <c r="EOE220" s="2" t="s">
        <v>83</v>
      </c>
      <c r="EOF220" s="2" t="s">
        <v>63</v>
      </c>
      <c r="EOG220" s="24">
        <v>434</v>
      </c>
      <c r="EOH220" s="5">
        <v>46174</v>
      </c>
      <c r="EOI220" s="5">
        <v>46174</v>
      </c>
      <c r="EOJ220" s="30">
        <f t="shared" ref="EOJ220" si="262">EOI220-EOH220</f>
        <v>0</v>
      </c>
      <c r="EOK220" s="5" t="s">
        <v>317</v>
      </c>
      <c r="EOL220" s="2" t="s">
        <v>22</v>
      </c>
      <c r="EOM220" s="53" t="s">
        <v>334</v>
      </c>
      <c r="EON220" s="2" t="s">
        <v>513</v>
      </c>
      <c r="EOO220" s="2" t="s">
        <v>25</v>
      </c>
      <c r="EOP220" s="2" t="s">
        <v>393</v>
      </c>
      <c r="EOQ220" s="7">
        <v>-74.044305502618698</v>
      </c>
      <c r="EOR220" s="7">
        <v>4.6804459478222702</v>
      </c>
      <c r="EOS220" s="2" t="s">
        <v>357</v>
      </c>
      <c r="EOT220" s="2" t="s">
        <v>63</v>
      </c>
      <c r="EOU220" s="2" t="s">
        <v>83</v>
      </c>
      <c r="EOV220" s="2" t="s">
        <v>63</v>
      </c>
      <c r="EOW220" s="24">
        <v>434</v>
      </c>
      <c r="EOX220" s="5">
        <v>46174</v>
      </c>
      <c r="EOY220" s="5">
        <v>46174</v>
      </c>
      <c r="EOZ220" s="30">
        <f t="shared" ref="EOZ220" si="263">EOY220-EOX220</f>
        <v>0</v>
      </c>
      <c r="EPA220" s="5" t="s">
        <v>317</v>
      </c>
      <c r="EPB220" s="2" t="s">
        <v>22</v>
      </c>
      <c r="EPC220" s="53" t="s">
        <v>334</v>
      </c>
      <c r="EPD220" s="2" t="s">
        <v>513</v>
      </c>
      <c r="EPE220" s="2" t="s">
        <v>25</v>
      </c>
      <c r="EPF220" s="2" t="s">
        <v>393</v>
      </c>
      <c r="EPG220" s="7">
        <v>-74.044305502618698</v>
      </c>
      <c r="EPH220" s="7">
        <v>4.6804459478222702</v>
      </c>
      <c r="EPI220" s="2" t="s">
        <v>357</v>
      </c>
      <c r="EPJ220" s="2" t="s">
        <v>63</v>
      </c>
      <c r="EPK220" s="2" t="s">
        <v>83</v>
      </c>
      <c r="EPL220" s="2" t="s">
        <v>63</v>
      </c>
      <c r="EPM220" s="24">
        <v>434</v>
      </c>
      <c r="EPN220" s="5">
        <v>46174</v>
      </c>
      <c r="EPO220" s="5">
        <v>46174</v>
      </c>
      <c r="EPP220" s="30">
        <f t="shared" ref="EPP220" si="264">EPO220-EPN220</f>
        <v>0</v>
      </c>
      <c r="EPQ220" s="5" t="s">
        <v>317</v>
      </c>
      <c r="EPR220" s="2" t="s">
        <v>22</v>
      </c>
      <c r="EPS220" s="53" t="s">
        <v>334</v>
      </c>
      <c r="EPT220" s="2" t="s">
        <v>513</v>
      </c>
      <c r="EPU220" s="2" t="s">
        <v>25</v>
      </c>
      <c r="EPV220" s="2" t="s">
        <v>393</v>
      </c>
      <c r="EPW220" s="7">
        <v>-74.044305502618698</v>
      </c>
      <c r="EPX220" s="7">
        <v>4.6804459478222702</v>
      </c>
      <c r="EPY220" s="2" t="s">
        <v>357</v>
      </c>
      <c r="EPZ220" s="2" t="s">
        <v>63</v>
      </c>
      <c r="EQA220" s="2" t="s">
        <v>83</v>
      </c>
      <c r="EQB220" s="2" t="s">
        <v>63</v>
      </c>
      <c r="EQC220" s="24">
        <v>434</v>
      </c>
      <c r="EQD220" s="5">
        <v>46174</v>
      </c>
      <c r="EQE220" s="5">
        <v>46174</v>
      </c>
      <c r="EQF220" s="30">
        <f t="shared" ref="EQF220" si="265">EQE220-EQD220</f>
        <v>0</v>
      </c>
      <c r="EQG220" s="5" t="s">
        <v>317</v>
      </c>
      <c r="EQH220" s="2" t="s">
        <v>22</v>
      </c>
      <c r="EQI220" s="53" t="s">
        <v>334</v>
      </c>
      <c r="EQJ220" s="2" t="s">
        <v>513</v>
      </c>
      <c r="EQK220" s="2" t="s">
        <v>25</v>
      </c>
      <c r="EQL220" s="2" t="s">
        <v>393</v>
      </c>
      <c r="EQM220" s="7">
        <v>-74.044305502618698</v>
      </c>
      <c r="EQN220" s="7">
        <v>4.6804459478222702</v>
      </c>
      <c r="EQO220" s="2" t="s">
        <v>357</v>
      </c>
      <c r="EQP220" s="2" t="s">
        <v>63</v>
      </c>
      <c r="EQQ220" s="2" t="s">
        <v>83</v>
      </c>
      <c r="EQR220" s="2" t="s">
        <v>63</v>
      </c>
      <c r="EQS220" s="24">
        <v>434</v>
      </c>
      <c r="EQT220" s="5">
        <v>46174</v>
      </c>
      <c r="EQU220" s="5">
        <v>46174</v>
      </c>
      <c r="EQV220" s="30">
        <f t="shared" ref="EQV220" si="266">EQU220-EQT220</f>
        <v>0</v>
      </c>
      <c r="EQW220" s="5" t="s">
        <v>317</v>
      </c>
      <c r="EQX220" s="2" t="s">
        <v>22</v>
      </c>
      <c r="EQY220" s="53" t="s">
        <v>334</v>
      </c>
      <c r="EQZ220" s="2" t="s">
        <v>513</v>
      </c>
      <c r="ERA220" s="2" t="s">
        <v>25</v>
      </c>
      <c r="ERB220" s="2" t="s">
        <v>393</v>
      </c>
      <c r="ERC220" s="7">
        <v>-74.044305502618698</v>
      </c>
      <c r="ERD220" s="7">
        <v>4.6804459478222702</v>
      </c>
      <c r="ERE220" s="2" t="s">
        <v>357</v>
      </c>
      <c r="ERF220" s="2" t="s">
        <v>63</v>
      </c>
      <c r="ERG220" s="2" t="s">
        <v>83</v>
      </c>
      <c r="ERH220" s="2" t="s">
        <v>63</v>
      </c>
      <c r="ERI220" s="24">
        <v>434</v>
      </c>
      <c r="ERJ220" s="5">
        <v>46174</v>
      </c>
      <c r="ERK220" s="5">
        <v>46174</v>
      </c>
      <c r="ERL220" s="30">
        <f t="shared" ref="ERL220" si="267">ERK220-ERJ220</f>
        <v>0</v>
      </c>
      <c r="ERM220" s="5" t="s">
        <v>317</v>
      </c>
      <c r="ERN220" s="2" t="s">
        <v>22</v>
      </c>
      <c r="ERO220" s="53" t="s">
        <v>334</v>
      </c>
      <c r="ERP220" s="2" t="s">
        <v>513</v>
      </c>
      <c r="ERQ220" s="2" t="s">
        <v>25</v>
      </c>
      <c r="ERR220" s="2" t="s">
        <v>393</v>
      </c>
      <c r="ERS220" s="7">
        <v>-74.044305502618698</v>
      </c>
      <c r="ERT220" s="7">
        <v>4.6804459478222702</v>
      </c>
      <c r="ERU220" s="2" t="s">
        <v>357</v>
      </c>
      <c r="ERV220" s="2" t="s">
        <v>63</v>
      </c>
      <c r="ERW220" s="2" t="s">
        <v>83</v>
      </c>
      <c r="ERX220" s="2" t="s">
        <v>63</v>
      </c>
      <c r="ERY220" s="24">
        <v>434</v>
      </c>
      <c r="ERZ220" s="5">
        <v>46174</v>
      </c>
      <c r="ESA220" s="5">
        <v>46174</v>
      </c>
      <c r="ESB220" s="30">
        <f t="shared" ref="ESB220" si="268">ESA220-ERZ220</f>
        <v>0</v>
      </c>
      <c r="ESC220" s="5" t="s">
        <v>317</v>
      </c>
      <c r="ESD220" s="2" t="s">
        <v>22</v>
      </c>
      <c r="ESE220" s="53" t="s">
        <v>334</v>
      </c>
      <c r="ESF220" s="2" t="s">
        <v>513</v>
      </c>
      <c r="ESG220" s="2" t="s">
        <v>25</v>
      </c>
      <c r="ESH220" s="2" t="s">
        <v>393</v>
      </c>
      <c r="ESI220" s="7">
        <v>-74.044305502618698</v>
      </c>
      <c r="ESJ220" s="7">
        <v>4.6804459478222702</v>
      </c>
      <c r="ESK220" s="2" t="s">
        <v>357</v>
      </c>
      <c r="ESL220" s="2" t="s">
        <v>63</v>
      </c>
      <c r="ESM220" s="2" t="s">
        <v>83</v>
      </c>
      <c r="ESN220" s="2" t="s">
        <v>63</v>
      </c>
      <c r="ESO220" s="24">
        <v>434</v>
      </c>
      <c r="ESP220" s="5">
        <v>46174</v>
      </c>
      <c r="ESQ220" s="5">
        <v>46174</v>
      </c>
      <c r="ESR220" s="30">
        <f t="shared" ref="ESR220" si="269">ESQ220-ESP220</f>
        <v>0</v>
      </c>
      <c r="ESS220" s="5" t="s">
        <v>317</v>
      </c>
      <c r="EST220" s="2" t="s">
        <v>22</v>
      </c>
      <c r="ESU220" s="53" t="s">
        <v>334</v>
      </c>
      <c r="ESV220" s="2" t="s">
        <v>513</v>
      </c>
      <c r="ESW220" s="2" t="s">
        <v>25</v>
      </c>
      <c r="ESX220" s="2" t="s">
        <v>393</v>
      </c>
      <c r="ESY220" s="7">
        <v>-74.044305502618698</v>
      </c>
      <c r="ESZ220" s="7">
        <v>4.6804459478222702</v>
      </c>
      <c r="ETA220" s="2" t="s">
        <v>357</v>
      </c>
      <c r="ETB220" s="2" t="s">
        <v>63</v>
      </c>
      <c r="ETC220" s="2" t="s">
        <v>83</v>
      </c>
      <c r="ETD220" s="2" t="s">
        <v>63</v>
      </c>
      <c r="ETE220" s="24">
        <v>434</v>
      </c>
      <c r="ETF220" s="5">
        <v>46174</v>
      </c>
      <c r="ETG220" s="5">
        <v>46174</v>
      </c>
      <c r="ETH220" s="30">
        <f t="shared" ref="ETH220" si="270">ETG220-ETF220</f>
        <v>0</v>
      </c>
      <c r="ETI220" s="5" t="s">
        <v>317</v>
      </c>
      <c r="ETJ220" s="2" t="s">
        <v>22</v>
      </c>
      <c r="ETK220" s="53" t="s">
        <v>334</v>
      </c>
      <c r="ETL220" s="2" t="s">
        <v>513</v>
      </c>
      <c r="ETM220" s="2" t="s">
        <v>25</v>
      </c>
      <c r="ETN220" s="2" t="s">
        <v>393</v>
      </c>
      <c r="ETO220" s="7">
        <v>-74.044305502618698</v>
      </c>
      <c r="ETP220" s="7">
        <v>4.6804459478222702</v>
      </c>
      <c r="ETQ220" s="2" t="s">
        <v>357</v>
      </c>
      <c r="ETR220" s="2" t="s">
        <v>63</v>
      </c>
      <c r="ETS220" s="2" t="s">
        <v>83</v>
      </c>
      <c r="ETT220" s="2" t="s">
        <v>63</v>
      </c>
      <c r="ETU220" s="24">
        <v>434</v>
      </c>
      <c r="ETV220" s="5">
        <v>46174</v>
      </c>
      <c r="ETW220" s="5">
        <v>46174</v>
      </c>
      <c r="ETX220" s="30">
        <f t="shared" ref="ETX220" si="271">ETW220-ETV220</f>
        <v>0</v>
      </c>
      <c r="ETY220" s="5" t="s">
        <v>317</v>
      </c>
      <c r="ETZ220" s="2" t="s">
        <v>22</v>
      </c>
      <c r="EUA220" s="53" t="s">
        <v>334</v>
      </c>
      <c r="EUB220" s="2" t="s">
        <v>513</v>
      </c>
      <c r="EUC220" s="2" t="s">
        <v>25</v>
      </c>
      <c r="EUD220" s="2" t="s">
        <v>393</v>
      </c>
      <c r="EUE220" s="7">
        <v>-74.044305502618698</v>
      </c>
      <c r="EUF220" s="7">
        <v>4.6804459478222702</v>
      </c>
      <c r="EUG220" s="2" t="s">
        <v>357</v>
      </c>
      <c r="EUH220" s="2" t="s">
        <v>63</v>
      </c>
      <c r="EUI220" s="2" t="s">
        <v>83</v>
      </c>
      <c r="EUJ220" s="2" t="s">
        <v>63</v>
      </c>
      <c r="EUK220" s="24">
        <v>434</v>
      </c>
      <c r="EUL220" s="5">
        <v>46174</v>
      </c>
      <c r="EUM220" s="5">
        <v>46174</v>
      </c>
      <c r="EUN220" s="30">
        <f t="shared" ref="EUN220" si="272">EUM220-EUL220</f>
        <v>0</v>
      </c>
      <c r="EUO220" s="5" t="s">
        <v>317</v>
      </c>
      <c r="EUP220" s="2" t="s">
        <v>22</v>
      </c>
      <c r="EUQ220" s="53" t="s">
        <v>334</v>
      </c>
      <c r="EUR220" s="2" t="s">
        <v>513</v>
      </c>
      <c r="EUS220" s="2" t="s">
        <v>25</v>
      </c>
      <c r="EUT220" s="2" t="s">
        <v>393</v>
      </c>
      <c r="EUU220" s="7">
        <v>-74.044305502618698</v>
      </c>
      <c r="EUV220" s="7">
        <v>4.6804459478222702</v>
      </c>
      <c r="EUW220" s="2" t="s">
        <v>357</v>
      </c>
      <c r="EUX220" s="2" t="s">
        <v>63</v>
      </c>
      <c r="EUY220" s="2" t="s">
        <v>83</v>
      </c>
      <c r="EUZ220" s="2" t="s">
        <v>63</v>
      </c>
      <c r="EVA220" s="24">
        <v>434</v>
      </c>
      <c r="EVB220" s="5">
        <v>46174</v>
      </c>
      <c r="EVC220" s="5">
        <v>46174</v>
      </c>
      <c r="EVD220" s="30">
        <f t="shared" ref="EVD220" si="273">EVC220-EVB220</f>
        <v>0</v>
      </c>
      <c r="EVE220" s="5" t="s">
        <v>317</v>
      </c>
      <c r="EVF220" s="2" t="s">
        <v>22</v>
      </c>
      <c r="EVG220" s="53" t="s">
        <v>334</v>
      </c>
      <c r="EVH220" s="2" t="s">
        <v>513</v>
      </c>
      <c r="EVI220" s="2" t="s">
        <v>25</v>
      </c>
      <c r="EVJ220" s="2" t="s">
        <v>393</v>
      </c>
      <c r="EVK220" s="7">
        <v>-74.044305502618698</v>
      </c>
      <c r="EVL220" s="7">
        <v>4.6804459478222702</v>
      </c>
      <c r="EVM220" s="2" t="s">
        <v>357</v>
      </c>
      <c r="EVN220" s="2" t="s">
        <v>63</v>
      </c>
      <c r="EVO220" s="2" t="s">
        <v>83</v>
      </c>
      <c r="EVP220" s="2" t="s">
        <v>63</v>
      </c>
      <c r="EVQ220" s="24">
        <v>434</v>
      </c>
      <c r="EVR220" s="5">
        <v>46174</v>
      </c>
      <c r="EVS220" s="5">
        <v>46174</v>
      </c>
      <c r="EVT220" s="30">
        <f t="shared" ref="EVT220" si="274">EVS220-EVR220</f>
        <v>0</v>
      </c>
      <c r="EVU220" s="5" t="s">
        <v>317</v>
      </c>
      <c r="EVV220" s="2" t="s">
        <v>22</v>
      </c>
      <c r="EVW220" s="53" t="s">
        <v>334</v>
      </c>
      <c r="EVX220" s="2" t="s">
        <v>513</v>
      </c>
      <c r="EVY220" s="2" t="s">
        <v>25</v>
      </c>
      <c r="EVZ220" s="2" t="s">
        <v>393</v>
      </c>
      <c r="EWA220" s="7">
        <v>-74.044305502618698</v>
      </c>
      <c r="EWB220" s="7">
        <v>4.6804459478222702</v>
      </c>
      <c r="EWC220" s="2" t="s">
        <v>357</v>
      </c>
      <c r="EWD220" s="2" t="s">
        <v>63</v>
      </c>
      <c r="EWE220" s="2" t="s">
        <v>83</v>
      </c>
      <c r="EWF220" s="2" t="s">
        <v>63</v>
      </c>
      <c r="EWG220" s="24">
        <v>434</v>
      </c>
      <c r="EWH220" s="5">
        <v>46174</v>
      </c>
      <c r="EWI220" s="5">
        <v>46174</v>
      </c>
      <c r="EWJ220" s="30">
        <f t="shared" ref="EWJ220" si="275">EWI220-EWH220</f>
        <v>0</v>
      </c>
      <c r="EWK220" s="5" t="s">
        <v>317</v>
      </c>
      <c r="EWL220" s="2" t="s">
        <v>22</v>
      </c>
      <c r="EWM220" s="53" t="s">
        <v>334</v>
      </c>
      <c r="EWN220" s="2" t="s">
        <v>513</v>
      </c>
      <c r="EWO220" s="2" t="s">
        <v>25</v>
      </c>
      <c r="EWP220" s="2" t="s">
        <v>393</v>
      </c>
      <c r="EWQ220" s="7">
        <v>-74.044305502618698</v>
      </c>
      <c r="EWR220" s="7">
        <v>4.6804459478222702</v>
      </c>
      <c r="EWS220" s="2" t="s">
        <v>357</v>
      </c>
      <c r="EWT220" s="2" t="s">
        <v>63</v>
      </c>
      <c r="EWU220" s="2" t="s">
        <v>83</v>
      </c>
      <c r="EWV220" s="2" t="s">
        <v>63</v>
      </c>
      <c r="EWW220" s="24">
        <v>434</v>
      </c>
      <c r="EWX220" s="5">
        <v>46174</v>
      </c>
      <c r="EWY220" s="5">
        <v>46174</v>
      </c>
      <c r="EWZ220" s="30">
        <f t="shared" ref="EWZ220" si="276">EWY220-EWX220</f>
        <v>0</v>
      </c>
      <c r="EXA220" s="5" t="s">
        <v>317</v>
      </c>
      <c r="EXB220" s="2" t="s">
        <v>22</v>
      </c>
      <c r="EXC220" s="53" t="s">
        <v>334</v>
      </c>
      <c r="EXD220" s="2" t="s">
        <v>513</v>
      </c>
      <c r="EXE220" s="2" t="s">
        <v>25</v>
      </c>
      <c r="EXF220" s="2" t="s">
        <v>393</v>
      </c>
      <c r="EXG220" s="7">
        <v>-74.044305502618698</v>
      </c>
      <c r="EXH220" s="7">
        <v>4.6804459478222702</v>
      </c>
      <c r="EXI220" s="2" t="s">
        <v>357</v>
      </c>
      <c r="EXJ220" s="2" t="s">
        <v>63</v>
      </c>
      <c r="EXK220" s="2" t="s">
        <v>83</v>
      </c>
      <c r="EXL220" s="2" t="s">
        <v>63</v>
      </c>
      <c r="EXM220" s="24">
        <v>434</v>
      </c>
      <c r="EXN220" s="5">
        <v>46174</v>
      </c>
      <c r="EXO220" s="5">
        <v>46174</v>
      </c>
      <c r="EXP220" s="30">
        <f t="shared" ref="EXP220" si="277">EXO220-EXN220</f>
        <v>0</v>
      </c>
      <c r="EXQ220" s="5" t="s">
        <v>317</v>
      </c>
      <c r="EXR220" s="2" t="s">
        <v>22</v>
      </c>
      <c r="EXS220" s="53" t="s">
        <v>334</v>
      </c>
      <c r="EXT220" s="2" t="s">
        <v>513</v>
      </c>
      <c r="EXU220" s="2" t="s">
        <v>25</v>
      </c>
      <c r="EXV220" s="2" t="s">
        <v>393</v>
      </c>
      <c r="EXW220" s="7">
        <v>-74.044305502618698</v>
      </c>
      <c r="EXX220" s="7">
        <v>4.6804459478222702</v>
      </c>
      <c r="EXY220" s="2" t="s">
        <v>357</v>
      </c>
      <c r="EXZ220" s="2" t="s">
        <v>63</v>
      </c>
      <c r="EYA220" s="2" t="s">
        <v>83</v>
      </c>
      <c r="EYB220" s="2" t="s">
        <v>63</v>
      </c>
      <c r="EYC220" s="24">
        <v>434</v>
      </c>
      <c r="EYD220" s="5">
        <v>46174</v>
      </c>
      <c r="EYE220" s="5">
        <v>46174</v>
      </c>
      <c r="EYF220" s="30">
        <f t="shared" ref="EYF220" si="278">EYE220-EYD220</f>
        <v>0</v>
      </c>
      <c r="EYG220" s="5" t="s">
        <v>317</v>
      </c>
      <c r="EYH220" s="2" t="s">
        <v>22</v>
      </c>
      <c r="EYI220" s="53" t="s">
        <v>334</v>
      </c>
      <c r="EYJ220" s="2" t="s">
        <v>513</v>
      </c>
      <c r="EYK220" s="2" t="s">
        <v>25</v>
      </c>
      <c r="EYL220" s="2" t="s">
        <v>393</v>
      </c>
      <c r="EYM220" s="7">
        <v>-74.044305502618698</v>
      </c>
      <c r="EYN220" s="7">
        <v>4.6804459478222702</v>
      </c>
      <c r="EYO220" s="2" t="s">
        <v>357</v>
      </c>
      <c r="EYP220" s="2" t="s">
        <v>63</v>
      </c>
      <c r="EYQ220" s="2" t="s">
        <v>83</v>
      </c>
      <c r="EYR220" s="2" t="s">
        <v>63</v>
      </c>
      <c r="EYS220" s="24">
        <v>434</v>
      </c>
      <c r="EYT220" s="5">
        <v>46174</v>
      </c>
      <c r="EYU220" s="5">
        <v>46174</v>
      </c>
      <c r="EYV220" s="30">
        <f t="shared" ref="EYV220" si="279">EYU220-EYT220</f>
        <v>0</v>
      </c>
      <c r="EYW220" s="5" t="s">
        <v>317</v>
      </c>
      <c r="EYX220" s="2" t="s">
        <v>22</v>
      </c>
      <c r="EYY220" s="53" t="s">
        <v>334</v>
      </c>
      <c r="EYZ220" s="2" t="s">
        <v>513</v>
      </c>
      <c r="EZA220" s="2" t="s">
        <v>25</v>
      </c>
      <c r="EZB220" s="2" t="s">
        <v>393</v>
      </c>
      <c r="EZC220" s="7">
        <v>-74.044305502618698</v>
      </c>
      <c r="EZD220" s="7">
        <v>4.6804459478222702</v>
      </c>
      <c r="EZE220" s="2" t="s">
        <v>357</v>
      </c>
      <c r="EZF220" s="2" t="s">
        <v>63</v>
      </c>
      <c r="EZG220" s="2" t="s">
        <v>83</v>
      </c>
      <c r="EZH220" s="2" t="s">
        <v>63</v>
      </c>
      <c r="EZI220" s="24">
        <v>434</v>
      </c>
      <c r="EZJ220" s="5">
        <v>46174</v>
      </c>
      <c r="EZK220" s="5">
        <v>46174</v>
      </c>
      <c r="EZL220" s="30">
        <f t="shared" ref="EZL220" si="280">EZK220-EZJ220</f>
        <v>0</v>
      </c>
      <c r="EZM220" s="5" t="s">
        <v>317</v>
      </c>
      <c r="EZN220" s="2" t="s">
        <v>22</v>
      </c>
      <c r="EZO220" s="53" t="s">
        <v>334</v>
      </c>
      <c r="EZP220" s="2" t="s">
        <v>513</v>
      </c>
      <c r="EZQ220" s="2" t="s">
        <v>25</v>
      </c>
      <c r="EZR220" s="2" t="s">
        <v>393</v>
      </c>
      <c r="EZS220" s="7">
        <v>-74.044305502618698</v>
      </c>
      <c r="EZT220" s="7">
        <v>4.6804459478222702</v>
      </c>
      <c r="EZU220" s="2" t="s">
        <v>357</v>
      </c>
      <c r="EZV220" s="2" t="s">
        <v>63</v>
      </c>
      <c r="EZW220" s="2" t="s">
        <v>83</v>
      </c>
      <c r="EZX220" s="2" t="s">
        <v>63</v>
      </c>
      <c r="EZY220" s="24">
        <v>434</v>
      </c>
      <c r="EZZ220" s="5">
        <v>46174</v>
      </c>
      <c r="FAA220" s="5">
        <v>46174</v>
      </c>
      <c r="FAB220" s="30">
        <f t="shared" ref="FAB220" si="281">FAA220-EZZ220</f>
        <v>0</v>
      </c>
      <c r="FAC220" s="5" t="s">
        <v>317</v>
      </c>
      <c r="FAD220" s="2" t="s">
        <v>22</v>
      </c>
      <c r="FAE220" s="53" t="s">
        <v>334</v>
      </c>
      <c r="FAF220" s="2" t="s">
        <v>513</v>
      </c>
      <c r="FAG220" s="2" t="s">
        <v>25</v>
      </c>
      <c r="FAH220" s="2" t="s">
        <v>393</v>
      </c>
      <c r="FAI220" s="7">
        <v>-74.044305502618698</v>
      </c>
      <c r="FAJ220" s="7">
        <v>4.6804459478222702</v>
      </c>
      <c r="FAK220" s="2" t="s">
        <v>357</v>
      </c>
      <c r="FAL220" s="2" t="s">
        <v>63</v>
      </c>
      <c r="FAM220" s="2" t="s">
        <v>83</v>
      </c>
      <c r="FAN220" s="2" t="s">
        <v>63</v>
      </c>
      <c r="FAO220" s="24">
        <v>434</v>
      </c>
      <c r="FAP220" s="5">
        <v>46174</v>
      </c>
      <c r="FAQ220" s="5">
        <v>46174</v>
      </c>
      <c r="FAR220" s="30">
        <f t="shared" ref="FAR220" si="282">FAQ220-FAP220</f>
        <v>0</v>
      </c>
      <c r="FAS220" s="5" t="s">
        <v>317</v>
      </c>
      <c r="FAT220" s="2" t="s">
        <v>22</v>
      </c>
      <c r="FAU220" s="53" t="s">
        <v>334</v>
      </c>
      <c r="FAV220" s="2" t="s">
        <v>513</v>
      </c>
      <c r="FAW220" s="2" t="s">
        <v>25</v>
      </c>
      <c r="FAX220" s="2" t="s">
        <v>393</v>
      </c>
      <c r="FAY220" s="7">
        <v>-74.044305502618698</v>
      </c>
      <c r="FAZ220" s="7">
        <v>4.6804459478222702</v>
      </c>
      <c r="FBA220" s="2" t="s">
        <v>357</v>
      </c>
      <c r="FBB220" s="2" t="s">
        <v>63</v>
      </c>
      <c r="FBC220" s="2" t="s">
        <v>83</v>
      </c>
      <c r="FBD220" s="2" t="s">
        <v>63</v>
      </c>
      <c r="FBE220" s="24">
        <v>434</v>
      </c>
      <c r="FBF220" s="5">
        <v>46174</v>
      </c>
      <c r="FBG220" s="5">
        <v>46174</v>
      </c>
      <c r="FBH220" s="30">
        <f t="shared" ref="FBH220" si="283">FBG220-FBF220</f>
        <v>0</v>
      </c>
      <c r="FBI220" s="5" t="s">
        <v>317</v>
      </c>
      <c r="FBJ220" s="2" t="s">
        <v>22</v>
      </c>
      <c r="FBK220" s="53" t="s">
        <v>334</v>
      </c>
      <c r="FBL220" s="2" t="s">
        <v>513</v>
      </c>
      <c r="FBM220" s="2" t="s">
        <v>25</v>
      </c>
      <c r="FBN220" s="2" t="s">
        <v>393</v>
      </c>
      <c r="FBO220" s="7">
        <v>-74.044305502618698</v>
      </c>
      <c r="FBP220" s="7">
        <v>4.6804459478222702</v>
      </c>
      <c r="FBQ220" s="2" t="s">
        <v>357</v>
      </c>
      <c r="FBR220" s="2" t="s">
        <v>63</v>
      </c>
      <c r="FBS220" s="2" t="s">
        <v>83</v>
      </c>
      <c r="FBT220" s="2" t="s">
        <v>63</v>
      </c>
      <c r="FBU220" s="24">
        <v>434</v>
      </c>
      <c r="FBV220" s="5">
        <v>46174</v>
      </c>
      <c r="FBW220" s="5">
        <v>46174</v>
      </c>
      <c r="FBX220" s="30">
        <f t="shared" ref="FBX220" si="284">FBW220-FBV220</f>
        <v>0</v>
      </c>
      <c r="FBY220" s="5" t="s">
        <v>317</v>
      </c>
      <c r="FBZ220" s="2" t="s">
        <v>22</v>
      </c>
      <c r="FCA220" s="53" t="s">
        <v>334</v>
      </c>
      <c r="FCB220" s="2" t="s">
        <v>513</v>
      </c>
      <c r="FCC220" s="2" t="s">
        <v>25</v>
      </c>
      <c r="FCD220" s="2" t="s">
        <v>393</v>
      </c>
      <c r="FCE220" s="7">
        <v>-74.044305502618698</v>
      </c>
      <c r="FCF220" s="7">
        <v>4.6804459478222702</v>
      </c>
      <c r="FCG220" s="2" t="s">
        <v>357</v>
      </c>
      <c r="FCH220" s="2" t="s">
        <v>63</v>
      </c>
      <c r="FCI220" s="2" t="s">
        <v>83</v>
      </c>
      <c r="FCJ220" s="2" t="s">
        <v>63</v>
      </c>
      <c r="FCK220" s="24">
        <v>434</v>
      </c>
      <c r="FCL220" s="5">
        <v>46174</v>
      </c>
      <c r="FCM220" s="5">
        <v>46174</v>
      </c>
      <c r="FCN220" s="30">
        <f t="shared" ref="FCN220" si="285">FCM220-FCL220</f>
        <v>0</v>
      </c>
      <c r="FCO220" s="5" t="s">
        <v>317</v>
      </c>
      <c r="FCP220" s="2" t="s">
        <v>22</v>
      </c>
      <c r="FCQ220" s="53" t="s">
        <v>334</v>
      </c>
      <c r="FCR220" s="2" t="s">
        <v>513</v>
      </c>
      <c r="FCS220" s="2" t="s">
        <v>25</v>
      </c>
      <c r="FCT220" s="2" t="s">
        <v>393</v>
      </c>
      <c r="FCU220" s="7">
        <v>-74.044305502618698</v>
      </c>
      <c r="FCV220" s="7">
        <v>4.6804459478222702</v>
      </c>
      <c r="FCW220" s="2" t="s">
        <v>357</v>
      </c>
      <c r="FCX220" s="2" t="s">
        <v>63</v>
      </c>
      <c r="FCY220" s="2" t="s">
        <v>83</v>
      </c>
      <c r="FCZ220" s="2" t="s">
        <v>63</v>
      </c>
      <c r="FDA220" s="24">
        <v>434</v>
      </c>
      <c r="FDB220" s="5">
        <v>46174</v>
      </c>
      <c r="FDC220" s="5">
        <v>46174</v>
      </c>
      <c r="FDD220" s="30">
        <f t="shared" ref="FDD220" si="286">FDC220-FDB220</f>
        <v>0</v>
      </c>
      <c r="FDE220" s="5" t="s">
        <v>317</v>
      </c>
      <c r="FDF220" s="2" t="s">
        <v>22</v>
      </c>
      <c r="FDG220" s="53" t="s">
        <v>334</v>
      </c>
      <c r="FDH220" s="2" t="s">
        <v>513</v>
      </c>
      <c r="FDI220" s="2" t="s">
        <v>25</v>
      </c>
      <c r="FDJ220" s="2" t="s">
        <v>393</v>
      </c>
      <c r="FDK220" s="7">
        <v>-74.044305502618698</v>
      </c>
      <c r="FDL220" s="7">
        <v>4.6804459478222702</v>
      </c>
      <c r="FDM220" s="2" t="s">
        <v>357</v>
      </c>
      <c r="FDN220" s="2" t="s">
        <v>63</v>
      </c>
      <c r="FDO220" s="2" t="s">
        <v>83</v>
      </c>
      <c r="FDP220" s="2" t="s">
        <v>63</v>
      </c>
      <c r="FDQ220" s="24">
        <v>434</v>
      </c>
      <c r="FDR220" s="5">
        <v>46174</v>
      </c>
      <c r="FDS220" s="5">
        <v>46174</v>
      </c>
      <c r="FDT220" s="30">
        <f t="shared" ref="FDT220" si="287">FDS220-FDR220</f>
        <v>0</v>
      </c>
      <c r="FDU220" s="5" t="s">
        <v>317</v>
      </c>
      <c r="FDV220" s="2" t="s">
        <v>22</v>
      </c>
      <c r="FDW220" s="53" t="s">
        <v>334</v>
      </c>
      <c r="FDX220" s="2" t="s">
        <v>513</v>
      </c>
      <c r="FDY220" s="2" t="s">
        <v>25</v>
      </c>
      <c r="FDZ220" s="2" t="s">
        <v>393</v>
      </c>
      <c r="FEA220" s="7">
        <v>-74.044305502618698</v>
      </c>
      <c r="FEB220" s="7">
        <v>4.6804459478222702</v>
      </c>
      <c r="FEC220" s="2" t="s">
        <v>357</v>
      </c>
      <c r="FED220" s="2" t="s">
        <v>63</v>
      </c>
      <c r="FEE220" s="2" t="s">
        <v>83</v>
      </c>
      <c r="FEF220" s="2" t="s">
        <v>63</v>
      </c>
      <c r="FEG220" s="24">
        <v>434</v>
      </c>
      <c r="FEH220" s="5">
        <v>46174</v>
      </c>
      <c r="FEI220" s="5">
        <v>46174</v>
      </c>
      <c r="FEJ220" s="30">
        <f t="shared" ref="FEJ220" si="288">FEI220-FEH220</f>
        <v>0</v>
      </c>
      <c r="FEK220" s="5" t="s">
        <v>317</v>
      </c>
      <c r="FEL220" s="2" t="s">
        <v>22</v>
      </c>
      <c r="FEM220" s="53" t="s">
        <v>334</v>
      </c>
      <c r="FEN220" s="2" t="s">
        <v>513</v>
      </c>
      <c r="FEO220" s="2" t="s">
        <v>25</v>
      </c>
      <c r="FEP220" s="2" t="s">
        <v>393</v>
      </c>
      <c r="FEQ220" s="7">
        <v>-74.044305502618698</v>
      </c>
      <c r="FER220" s="7">
        <v>4.6804459478222702</v>
      </c>
      <c r="FES220" s="2" t="s">
        <v>357</v>
      </c>
      <c r="FET220" s="2" t="s">
        <v>63</v>
      </c>
      <c r="FEU220" s="2" t="s">
        <v>83</v>
      </c>
      <c r="FEV220" s="2" t="s">
        <v>63</v>
      </c>
      <c r="FEW220" s="24">
        <v>434</v>
      </c>
      <c r="FEX220" s="5">
        <v>46174</v>
      </c>
      <c r="FEY220" s="5">
        <v>46174</v>
      </c>
      <c r="FEZ220" s="30">
        <f t="shared" ref="FEZ220" si="289">FEY220-FEX220</f>
        <v>0</v>
      </c>
      <c r="FFA220" s="5" t="s">
        <v>317</v>
      </c>
      <c r="FFB220" s="2" t="s">
        <v>22</v>
      </c>
      <c r="FFC220" s="53" t="s">
        <v>334</v>
      </c>
      <c r="FFD220" s="2" t="s">
        <v>513</v>
      </c>
      <c r="FFE220" s="2" t="s">
        <v>25</v>
      </c>
      <c r="FFF220" s="2" t="s">
        <v>393</v>
      </c>
      <c r="FFG220" s="7">
        <v>-74.044305502618698</v>
      </c>
      <c r="FFH220" s="7">
        <v>4.6804459478222702</v>
      </c>
      <c r="FFI220" s="2" t="s">
        <v>357</v>
      </c>
      <c r="FFJ220" s="2" t="s">
        <v>63</v>
      </c>
      <c r="FFK220" s="2" t="s">
        <v>83</v>
      </c>
      <c r="FFL220" s="2" t="s">
        <v>63</v>
      </c>
      <c r="FFM220" s="24">
        <v>434</v>
      </c>
      <c r="FFN220" s="5">
        <v>46174</v>
      </c>
      <c r="FFO220" s="5">
        <v>46174</v>
      </c>
      <c r="FFP220" s="30">
        <f t="shared" ref="FFP220" si="290">FFO220-FFN220</f>
        <v>0</v>
      </c>
      <c r="FFQ220" s="5" t="s">
        <v>317</v>
      </c>
      <c r="FFR220" s="2" t="s">
        <v>22</v>
      </c>
      <c r="FFS220" s="53" t="s">
        <v>334</v>
      </c>
      <c r="FFT220" s="2" t="s">
        <v>513</v>
      </c>
      <c r="FFU220" s="2" t="s">
        <v>25</v>
      </c>
      <c r="FFV220" s="2" t="s">
        <v>393</v>
      </c>
      <c r="FFW220" s="7">
        <v>-74.044305502618698</v>
      </c>
      <c r="FFX220" s="7">
        <v>4.6804459478222702</v>
      </c>
      <c r="FFY220" s="2" t="s">
        <v>357</v>
      </c>
      <c r="FFZ220" s="2" t="s">
        <v>63</v>
      </c>
      <c r="FGA220" s="2" t="s">
        <v>83</v>
      </c>
      <c r="FGB220" s="2" t="s">
        <v>63</v>
      </c>
      <c r="FGC220" s="24">
        <v>434</v>
      </c>
      <c r="FGD220" s="5">
        <v>46174</v>
      </c>
      <c r="FGE220" s="5">
        <v>46174</v>
      </c>
      <c r="FGF220" s="30">
        <f t="shared" ref="FGF220" si="291">FGE220-FGD220</f>
        <v>0</v>
      </c>
      <c r="FGG220" s="5" t="s">
        <v>317</v>
      </c>
      <c r="FGH220" s="2" t="s">
        <v>22</v>
      </c>
      <c r="FGI220" s="53" t="s">
        <v>334</v>
      </c>
      <c r="FGJ220" s="2" t="s">
        <v>513</v>
      </c>
      <c r="FGK220" s="2" t="s">
        <v>25</v>
      </c>
      <c r="FGL220" s="2" t="s">
        <v>393</v>
      </c>
      <c r="FGM220" s="7">
        <v>-74.044305502618698</v>
      </c>
      <c r="FGN220" s="7">
        <v>4.6804459478222702</v>
      </c>
      <c r="FGO220" s="2" t="s">
        <v>357</v>
      </c>
      <c r="FGP220" s="2" t="s">
        <v>63</v>
      </c>
      <c r="FGQ220" s="2" t="s">
        <v>83</v>
      </c>
      <c r="FGR220" s="2" t="s">
        <v>63</v>
      </c>
      <c r="FGS220" s="24">
        <v>434</v>
      </c>
      <c r="FGT220" s="5">
        <v>46174</v>
      </c>
      <c r="FGU220" s="5">
        <v>46174</v>
      </c>
      <c r="FGV220" s="30">
        <f t="shared" ref="FGV220" si="292">FGU220-FGT220</f>
        <v>0</v>
      </c>
      <c r="FGW220" s="5" t="s">
        <v>317</v>
      </c>
      <c r="FGX220" s="2" t="s">
        <v>22</v>
      </c>
      <c r="FGY220" s="53" t="s">
        <v>334</v>
      </c>
      <c r="FGZ220" s="2" t="s">
        <v>513</v>
      </c>
      <c r="FHA220" s="2" t="s">
        <v>25</v>
      </c>
      <c r="FHB220" s="2" t="s">
        <v>393</v>
      </c>
      <c r="FHC220" s="7">
        <v>-74.044305502618698</v>
      </c>
      <c r="FHD220" s="7">
        <v>4.6804459478222702</v>
      </c>
      <c r="FHE220" s="2" t="s">
        <v>357</v>
      </c>
      <c r="FHF220" s="2" t="s">
        <v>63</v>
      </c>
      <c r="FHG220" s="2" t="s">
        <v>83</v>
      </c>
      <c r="FHH220" s="2" t="s">
        <v>63</v>
      </c>
      <c r="FHI220" s="24">
        <v>434</v>
      </c>
      <c r="FHJ220" s="5">
        <v>46174</v>
      </c>
      <c r="FHK220" s="5">
        <v>46174</v>
      </c>
      <c r="FHL220" s="30">
        <f t="shared" ref="FHL220" si="293">FHK220-FHJ220</f>
        <v>0</v>
      </c>
      <c r="FHM220" s="5" t="s">
        <v>317</v>
      </c>
      <c r="FHN220" s="2" t="s">
        <v>22</v>
      </c>
      <c r="FHO220" s="53" t="s">
        <v>334</v>
      </c>
      <c r="FHP220" s="2" t="s">
        <v>513</v>
      </c>
      <c r="FHQ220" s="2" t="s">
        <v>25</v>
      </c>
      <c r="FHR220" s="2" t="s">
        <v>393</v>
      </c>
      <c r="FHS220" s="7">
        <v>-74.044305502618698</v>
      </c>
      <c r="FHT220" s="7">
        <v>4.6804459478222702</v>
      </c>
      <c r="FHU220" s="2" t="s">
        <v>357</v>
      </c>
      <c r="FHV220" s="2" t="s">
        <v>63</v>
      </c>
      <c r="FHW220" s="2" t="s">
        <v>83</v>
      </c>
      <c r="FHX220" s="2" t="s">
        <v>63</v>
      </c>
      <c r="FHY220" s="24">
        <v>434</v>
      </c>
      <c r="FHZ220" s="5">
        <v>46174</v>
      </c>
      <c r="FIA220" s="5">
        <v>46174</v>
      </c>
      <c r="FIB220" s="30">
        <f t="shared" ref="FIB220" si="294">FIA220-FHZ220</f>
        <v>0</v>
      </c>
      <c r="FIC220" s="5" t="s">
        <v>317</v>
      </c>
      <c r="FID220" s="2" t="s">
        <v>22</v>
      </c>
      <c r="FIE220" s="53" t="s">
        <v>334</v>
      </c>
      <c r="FIF220" s="2" t="s">
        <v>513</v>
      </c>
      <c r="FIG220" s="2" t="s">
        <v>25</v>
      </c>
      <c r="FIH220" s="2" t="s">
        <v>393</v>
      </c>
      <c r="FII220" s="7">
        <v>-74.044305502618698</v>
      </c>
      <c r="FIJ220" s="7">
        <v>4.6804459478222702</v>
      </c>
      <c r="FIK220" s="2" t="s">
        <v>357</v>
      </c>
      <c r="FIL220" s="2" t="s">
        <v>63</v>
      </c>
      <c r="FIM220" s="2" t="s">
        <v>83</v>
      </c>
      <c r="FIN220" s="2" t="s">
        <v>63</v>
      </c>
      <c r="FIO220" s="24">
        <v>434</v>
      </c>
      <c r="FIP220" s="5">
        <v>46174</v>
      </c>
      <c r="FIQ220" s="5">
        <v>46174</v>
      </c>
      <c r="FIR220" s="30">
        <f t="shared" ref="FIR220" si="295">FIQ220-FIP220</f>
        <v>0</v>
      </c>
      <c r="FIS220" s="5" t="s">
        <v>317</v>
      </c>
      <c r="FIT220" s="2" t="s">
        <v>22</v>
      </c>
      <c r="FIU220" s="53" t="s">
        <v>334</v>
      </c>
      <c r="FIV220" s="2" t="s">
        <v>513</v>
      </c>
      <c r="FIW220" s="2" t="s">
        <v>25</v>
      </c>
      <c r="FIX220" s="2" t="s">
        <v>393</v>
      </c>
      <c r="FIY220" s="7">
        <v>-74.044305502618698</v>
      </c>
      <c r="FIZ220" s="7">
        <v>4.6804459478222702</v>
      </c>
      <c r="FJA220" s="2" t="s">
        <v>357</v>
      </c>
      <c r="FJB220" s="2" t="s">
        <v>63</v>
      </c>
      <c r="FJC220" s="2" t="s">
        <v>83</v>
      </c>
      <c r="FJD220" s="2" t="s">
        <v>63</v>
      </c>
      <c r="FJE220" s="24">
        <v>434</v>
      </c>
      <c r="FJF220" s="5">
        <v>46174</v>
      </c>
      <c r="FJG220" s="5">
        <v>46174</v>
      </c>
      <c r="FJH220" s="30">
        <f t="shared" ref="FJH220" si="296">FJG220-FJF220</f>
        <v>0</v>
      </c>
      <c r="FJI220" s="5" t="s">
        <v>317</v>
      </c>
      <c r="FJJ220" s="2" t="s">
        <v>22</v>
      </c>
      <c r="FJK220" s="53" t="s">
        <v>334</v>
      </c>
      <c r="FJL220" s="2" t="s">
        <v>513</v>
      </c>
      <c r="FJM220" s="2" t="s">
        <v>25</v>
      </c>
      <c r="FJN220" s="2" t="s">
        <v>393</v>
      </c>
      <c r="FJO220" s="7">
        <v>-74.044305502618698</v>
      </c>
      <c r="FJP220" s="7">
        <v>4.6804459478222702</v>
      </c>
      <c r="FJQ220" s="2" t="s">
        <v>357</v>
      </c>
      <c r="FJR220" s="2" t="s">
        <v>63</v>
      </c>
      <c r="FJS220" s="2" t="s">
        <v>83</v>
      </c>
      <c r="FJT220" s="2" t="s">
        <v>63</v>
      </c>
      <c r="FJU220" s="24">
        <v>434</v>
      </c>
      <c r="FJV220" s="5">
        <v>46174</v>
      </c>
      <c r="FJW220" s="5">
        <v>46174</v>
      </c>
      <c r="FJX220" s="30">
        <f t="shared" ref="FJX220" si="297">FJW220-FJV220</f>
        <v>0</v>
      </c>
      <c r="FJY220" s="5" t="s">
        <v>317</v>
      </c>
      <c r="FJZ220" s="2" t="s">
        <v>22</v>
      </c>
      <c r="FKA220" s="53" t="s">
        <v>334</v>
      </c>
      <c r="FKB220" s="2" t="s">
        <v>513</v>
      </c>
      <c r="FKC220" s="2" t="s">
        <v>25</v>
      </c>
      <c r="FKD220" s="2" t="s">
        <v>393</v>
      </c>
      <c r="FKE220" s="7">
        <v>-74.044305502618698</v>
      </c>
      <c r="FKF220" s="7">
        <v>4.6804459478222702</v>
      </c>
      <c r="FKG220" s="2" t="s">
        <v>357</v>
      </c>
      <c r="FKH220" s="2" t="s">
        <v>63</v>
      </c>
      <c r="FKI220" s="2" t="s">
        <v>83</v>
      </c>
      <c r="FKJ220" s="2" t="s">
        <v>63</v>
      </c>
      <c r="FKK220" s="24">
        <v>434</v>
      </c>
      <c r="FKL220" s="5">
        <v>46174</v>
      </c>
      <c r="FKM220" s="5">
        <v>46174</v>
      </c>
      <c r="FKN220" s="30">
        <f t="shared" ref="FKN220" si="298">FKM220-FKL220</f>
        <v>0</v>
      </c>
      <c r="FKO220" s="5" t="s">
        <v>317</v>
      </c>
      <c r="FKP220" s="2" t="s">
        <v>22</v>
      </c>
      <c r="FKQ220" s="53" t="s">
        <v>334</v>
      </c>
      <c r="FKR220" s="2" t="s">
        <v>513</v>
      </c>
      <c r="FKS220" s="2" t="s">
        <v>25</v>
      </c>
      <c r="FKT220" s="2" t="s">
        <v>393</v>
      </c>
      <c r="FKU220" s="7">
        <v>-74.044305502618698</v>
      </c>
      <c r="FKV220" s="7">
        <v>4.6804459478222702</v>
      </c>
      <c r="FKW220" s="2" t="s">
        <v>357</v>
      </c>
      <c r="FKX220" s="2" t="s">
        <v>63</v>
      </c>
      <c r="FKY220" s="2" t="s">
        <v>83</v>
      </c>
      <c r="FKZ220" s="2" t="s">
        <v>63</v>
      </c>
      <c r="FLA220" s="24">
        <v>434</v>
      </c>
      <c r="FLB220" s="5">
        <v>46174</v>
      </c>
      <c r="FLC220" s="5">
        <v>46174</v>
      </c>
      <c r="FLD220" s="30">
        <f t="shared" ref="FLD220" si="299">FLC220-FLB220</f>
        <v>0</v>
      </c>
      <c r="FLE220" s="5" t="s">
        <v>317</v>
      </c>
      <c r="FLF220" s="2" t="s">
        <v>22</v>
      </c>
      <c r="FLG220" s="53" t="s">
        <v>334</v>
      </c>
      <c r="FLH220" s="2" t="s">
        <v>513</v>
      </c>
      <c r="FLI220" s="2" t="s">
        <v>25</v>
      </c>
      <c r="FLJ220" s="2" t="s">
        <v>393</v>
      </c>
      <c r="FLK220" s="7">
        <v>-74.044305502618698</v>
      </c>
      <c r="FLL220" s="7">
        <v>4.6804459478222702</v>
      </c>
      <c r="FLM220" s="2" t="s">
        <v>357</v>
      </c>
      <c r="FLN220" s="2" t="s">
        <v>63</v>
      </c>
      <c r="FLO220" s="2" t="s">
        <v>83</v>
      </c>
      <c r="FLP220" s="2" t="s">
        <v>63</v>
      </c>
      <c r="FLQ220" s="24">
        <v>434</v>
      </c>
      <c r="FLR220" s="5">
        <v>46174</v>
      </c>
      <c r="FLS220" s="5">
        <v>46174</v>
      </c>
      <c r="FLT220" s="30">
        <f t="shared" ref="FLT220" si="300">FLS220-FLR220</f>
        <v>0</v>
      </c>
      <c r="FLU220" s="5" t="s">
        <v>317</v>
      </c>
      <c r="FLV220" s="2" t="s">
        <v>22</v>
      </c>
      <c r="FLW220" s="53" t="s">
        <v>334</v>
      </c>
      <c r="FLX220" s="2" t="s">
        <v>513</v>
      </c>
      <c r="FLY220" s="2" t="s">
        <v>25</v>
      </c>
      <c r="FLZ220" s="2" t="s">
        <v>393</v>
      </c>
      <c r="FMA220" s="7">
        <v>-74.044305502618698</v>
      </c>
      <c r="FMB220" s="7">
        <v>4.6804459478222702</v>
      </c>
      <c r="FMC220" s="2" t="s">
        <v>357</v>
      </c>
      <c r="FMD220" s="2" t="s">
        <v>63</v>
      </c>
      <c r="FME220" s="2" t="s">
        <v>83</v>
      </c>
      <c r="FMF220" s="2" t="s">
        <v>63</v>
      </c>
      <c r="FMG220" s="24">
        <v>434</v>
      </c>
      <c r="FMH220" s="5">
        <v>46174</v>
      </c>
      <c r="FMI220" s="5">
        <v>46174</v>
      </c>
      <c r="FMJ220" s="30">
        <f t="shared" ref="FMJ220" si="301">FMI220-FMH220</f>
        <v>0</v>
      </c>
      <c r="FMK220" s="5" t="s">
        <v>317</v>
      </c>
      <c r="FML220" s="2" t="s">
        <v>22</v>
      </c>
      <c r="FMM220" s="53" t="s">
        <v>334</v>
      </c>
      <c r="FMN220" s="2" t="s">
        <v>513</v>
      </c>
      <c r="FMO220" s="2" t="s">
        <v>25</v>
      </c>
      <c r="FMP220" s="2" t="s">
        <v>393</v>
      </c>
      <c r="FMQ220" s="7">
        <v>-74.044305502618698</v>
      </c>
      <c r="FMR220" s="7">
        <v>4.6804459478222702</v>
      </c>
      <c r="FMS220" s="2" t="s">
        <v>357</v>
      </c>
      <c r="FMT220" s="2" t="s">
        <v>63</v>
      </c>
      <c r="FMU220" s="2" t="s">
        <v>83</v>
      </c>
      <c r="FMV220" s="2" t="s">
        <v>63</v>
      </c>
      <c r="FMW220" s="24">
        <v>434</v>
      </c>
      <c r="FMX220" s="5">
        <v>46174</v>
      </c>
      <c r="FMY220" s="5">
        <v>46174</v>
      </c>
      <c r="FMZ220" s="30">
        <f t="shared" ref="FMZ220" si="302">FMY220-FMX220</f>
        <v>0</v>
      </c>
      <c r="FNA220" s="5" t="s">
        <v>317</v>
      </c>
      <c r="FNB220" s="2" t="s">
        <v>22</v>
      </c>
      <c r="FNC220" s="53" t="s">
        <v>334</v>
      </c>
      <c r="FND220" s="2" t="s">
        <v>513</v>
      </c>
      <c r="FNE220" s="2" t="s">
        <v>25</v>
      </c>
      <c r="FNF220" s="2" t="s">
        <v>393</v>
      </c>
      <c r="FNG220" s="7">
        <v>-74.044305502618698</v>
      </c>
      <c r="FNH220" s="7">
        <v>4.6804459478222702</v>
      </c>
      <c r="FNI220" s="2" t="s">
        <v>357</v>
      </c>
      <c r="FNJ220" s="2" t="s">
        <v>63</v>
      </c>
      <c r="FNK220" s="2" t="s">
        <v>83</v>
      </c>
      <c r="FNL220" s="2" t="s">
        <v>63</v>
      </c>
      <c r="FNM220" s="24">
        <v>434</v>
      </c>
      <c r="FNN220" s="5">
        <v>46174</v>
      </c>
      <c r="FNO220" s="5">
        <v>46174</v>
      </c>
      <c r="FNP220" s="30">
        <f t="shared" ref="FNP220" si="303">FNO220-FNN220</f>
        <v>0</v>
      </c>
      <c r="FNQ220" s="5" t="s">
        <v>317</v>
      </c>
      <c r="FNR220" s="2" t="s">
        <v>22</v>
      </c>
      <c r="FNS220" s="53" t="s">
        <v>334</v>
      </c>
      <c r="FNT220" s="2" t="s">
        <v>513</v>
      </c>
      <c r="FNU220" s="2" t="s">
        <v>25</v>
      </c>
      <c r="FNV220" s="2" t="s">
        <v>393</v>
      </c>
      <c r="FNW220" s="7">
        <v>-74.044305502618698</v>
      </c>
      <c r="FNX220" s="7">
        <v>4.6804459478222702</v>
      </c>
      <c r="FNY220" s="2" t="s">
        <v>357</v>
      </c>
      <c r="FNZ220" s="2" t="s">
        <v>63</v>
      </c>
      <c r="FOA220" s="2" t="s">
        <v>83</v>
      </c>
      <c r="FOB220" s="2" t="s">
        <v>63</v>
      </c>
      <c r="FOC220" s="24">
        <v>434</v>
      </c>
      <c r="FOD220" s="5">
        <v>46174</v>
      </c>
      <c r="FOE220" s="5">
        <v>46174</v>
      </c>
      <c r="FOF220" s="30">
        <f t="shared" ref="FOF220" si="304">FOE220-FOD220</f>
        <v>0</v>
      </c>
      <c r="FOG220" s="5" t="s">
        <v>317</v>
      </c>
      <c r="FOH220" s="2" t="s">
        <v>22</v>
      </c>
      <c r="FOI220" s="53" t="s">
        <v>334</v>
      </c>
      <c r="FOJ220" s="2" t="s">
        <v>513</v>
      </c>
      <c r="FOK220" s="2" t="s">
        <v>25</v>
      </c>
      <c r="FOL220" s="2" t="s">
        <v>393</v>
      </c>
      <c r="FOM220" s="7">
        <v>-74.044305502618698</v>
      </c>
      <c r="FON220" s="7">
        <v>4.6804459478222702</v>
      </c>
      <c r="FOO220" s="2" t="s">
        <v>357</v>
      </c>
      <c r="FOP220" s="2" t="s">
        <v>63</v>
      </c>
      <c r="FOQ220" s="2" t="s">
        <v>83</v>
      </c>
      <c r="FOR220" s="2" t="s">
        <v>63</v>
      </c>
      <c r="FOS220" s="24">
        <v>434</v>
      </c>
      <c r="FOT220" s="5">
        <v>46174</v>
      </c>
      <c r="FOU220" s="5">
        <v>46174</v>
      </c>
      <c r="FOV220" s="30">
        <f t="shared" ref="FOV220" si="305">FOU220-FOT220</f>
        <v>0</v>
      </c>
      <c r="FOW220" s="5" t="s">
        <v>317</v>
      </c>
      <c r="FOX220" s="2" t="s">
        <v>22</v>
      </c>
      <c r="FOY220" s="53" t="s">
        <v>334</v>
      </c>
      <c r="FOZ220" s="2" t="s">
        <v>513</v>
      </c>
      <c r="FPA220" s="2" t="s">
        <v>25</v>
      </c>
      <c r="FPB220" s="2" t="s">
        <v>393</v>
      </c>
      <c r="FPC220" s="7">
        <v>-74.044305502618698</v>
      </c>
      <c r="FPD220" s="7">
        <v>4.6804459478222702</v>
      </c>
      <c r="FPE220" s="2" t="s">
        <v>357</v>
      </c>
      <c r="FPF220" s="2" t="s">
        <v>63</v>
      </c>
      <c r="FPG220" s="2" t="s">
        <v>83</v>
      </c>
      <c r="FPH220" s="2" t="s">
        <v>63</v>
      </c>
      <c r="FPI220" s="24">
        <v>434</v>
      </c>
      <c r="FPJ220" s="5">
        <v>46174</v>
      </c>
      <c r="FPK220" s="5">
        <v>46174</v>
      </c>
      <c r="FPL220" s="30">
        <f t="shared" ref="FPL220" si="306">FPK220-FPJ220</f>
        <v>0</v>
      </c>
      <c r="FPM220" s="5" t="s">
        <v>317</v>
      </c>
      <c r="FPN220" s="2" t="s">
        <v>22</v>
      </c>
      <c r="FPO220" s="53" t="s">
        <v>334</v>
      </c>
      <c r="FPP220" s="2" t="s">
        <v>513</v>
      </c>
      <c r="FPQ220" s="2" t="s">
        <v>25</v>
      </c>
      <c r="FPR220" s="2" t="s">
        <v>393</v>
      </c>
      <c r="FPS220" s="7">
        <v>-74.044305502618698</v>
      </c>
      <c r="FPT220" s="7">
        <v>4.6804459478222702</v>
      </c>
      <c r="FPU220" s="2" t="s">
        <v>357</v>
      </c>
      <c r="FPV220" s="2" t="s">
        <v>63</v>
      </c>
      <c r="FPW220" s="2" t="s">
        <v>83</v>
      </c>
      <c r="FPX220" s="2" t="s">
        <v>63</v>
      </c>
      <c r="FPY220" s="24">
        <v>434</v>
      </c>
      <c r="FPZ220" s="5">
        <v>46174</v>
      </c>
      <c r="FQA220" s="5">
        <v>46174</v>
      </c>
      <c r="FQB220" s="30">
        <f t="shared" ref="FQB220" si="307">FQA220-FPZ220</f>
        <v>0</v>
      </c>
      <c r="FQC220" s="5" t="s">
        <v>317</v>
      </c>
      <c r="FQD220" s="2" t="s">
        <v>22</v>
      </c>
      <c r="FQE220" s="53" t="s">
        <v>334</v>
      </c>
      <c r="FQF220" s="2" t="s">
        <v>513</v>
      </c>
      <c r="FQG220" s="2" t="s">
        <v>25</v>
      </c>
      <c r="FQH220" s="2" t="s">
        <v>393</v>
      </c>
      <c r="FQI220" s="7">
        <v>-74.044305502618698</v>
      </c>
      <c r="FQJ220" s="7">
        <v>4.6804459478222702</v>
      </c>
      <c r="FQK220" s="2" t="s">
        <v>357</v>
      </c>
      <c r="FQL220" s="2" t="s">
        <v>63</v>
      </c>
      <c r="FQM220" s="2" t="s">
        <v>83</v>
      </c>
      <c r="FQN220" s="2" t="s">
        <v>63</v>
      </c>
      <c r="FQO220" s="24">
        <v>434</v>
      </c>
      <c r="FQP220" s="5">
        <v>46174</v>
      </c>
      <c r="FQQ220" s="5">
        <v>46174</v>
      </c>
      <c r="FQR220" s="30">
        <f t="shared" ref="FQR220" si="308">FQQ220-FQP220</f>
        <v>0</v>
      </c>
      <c r="FQS220" s="5" t="s">
        <v>317</v>
      </c>
      <c r="FQT220" s="2" t="s">
        <v>22</v>
      </c>
      <c r="FQU220" s="53" t="s">
        <v>334</v>
      </c>
      <c r="FQV220" s="2" t="s">
        <v>513</v>
      </c>
      <c r="FQW220" s="2" t="s">
        <v>25</v>
      </c>
      <c r="FQX220" s="2" t="s">
        <v>393</v>
      </c>
      <c r="FQY220" s="7">
        <v>-74.044305502618698</v>
      </c>
      <c r="FQZ220" s="7">
        <v>4.6804459478222702</v>
      </c>
      <c r="FRA220" s="2" t="s">
        <v>357</v>
      </c>
      <c r="FRB220" s="2" t="s">
        <v>63</v>
      </c>
      <c r="FRC220" s="2" t="s">
        <v>83</v>
      </c>
      <c r="FRD220" s="2" t="s">
        <v>63</v>
      </c>
      <c r="FRE220" s="24">
        <v>434</v>
      </c>
      <c r="FRF220" s="5">
        <v>46174</v>
      </c>
      <c r="FRG220" s="5">
        <v>46174</v>
      </c>
      <c r="FRH220" s="30">
        <f t="shared" ref="FRH220" si="309">FRG220-FRF220</f>
        <v>0</v>
      </c>
      <c r="FRI220" s="5" t="s">
        <v>317</v>
      </c>
      <c r="FRJ220" s="2" t="s">
        <v>22</v>
      </c>
      <c r="FRK220" s="53" t="s">
        <v>334</v>
      </c>
      <c r="FRL220" s="2" t="s">
        <v>513</v>
      </c>
      <c r="FRM220" s="2" t="s">
        <v>25</v>
      </c>
      <c r="FRN220" s="2" t="s">
        <v>393</v>
      </c>
      <c r="FRO220" s="7">
        <v>-74.044305502618698</v>
      </c>
      <c r="FRP220" s="7">
        <v>4.6804459478222702</v>
      </c>
      <c r="FRQ220" s="2" t="s">
        <v>357</v>
      </c>
      <c r="FRR220" s="2" t="s">
        <v>63</v>
      </c>
      <c r="FRS220" s="2" t="s">
        <v>83</v>
      </c>
      <c r="FRT220" s="2" t="s">
        <v>63</v>
      </c>
      <c r="FRU220" s="24">
        <v>434</v>
      </c>
      <c r="FRV220" s="5">
        <v>46174</v>
      </c>
      <c r="FRW220" s="5">
        <v>46174</v>
      </c>
      <c r="FRX220" s="30">
        <f t="shared" ref="FRX220" si="310">FRW220-FRV220</f>
        <v>0</v>
      </c>
      <c r="FRY220" s="5" t="s">
        <v>317</v>
      </c>
      <c r="FRZ220" s="2" t="s">
        <v>22</v>
      </c>
      <c r="FSA220" s="53" t="s">
        <v>334</v>
      </c>
      <c r="FSB220" s="2" t="s">
        <v>513</v>
      </c>
      <c r="FSC220" s="2" t="s">
        <v>25</v>
      </c>
      <c r="FSD220" s="2" t="s">
        <v>393</v>
      </c>
      <c r="FSE220" s="7">
        <v>-74.044305502618698</v>
      </c>
      <c r="FSF220" s="7">
        <v>4.6804459478222702</v>
      </c>
      <c r="FSG220" s="2" t="s">
        <v>357</v>
      </c>
      <c r="FSH220" s="2" t="s">
        <v>63</v>
      </c>
      <c r="FSI220" s="2" t="s">
        <v>83</v>
      </c>
      <c r="FSJ220" s="2" t="s">
        <v>63</v>
      </c>
      <c r="FSK220" s="24">
        <v>434</v>
      </c>
      <c r="FSL220" s="5">
        <v>46174</v>
      </c>
      <c r="FSM220" s="5">
        <v>46174</v>
      </c>
      <c r="FSN220" s="30">
        <f t="shared" ref="FSN220" si="311">FSM220-FSL220</f>
        <v>0</v>
      </c>
      <c r="FSO220" s="5" t="s">
        <v>317</v>
      </c>
      <c r="FSP220" s="2" t="s">
        <v>22</v>
      </c>
      <c r="FSQ220" s="53" t="s">
        <v>334</v>
      </c>
      <c r="FSR220" s="2" t="s">
        <v>513</v>
      </c>
      <c r="FSS220" s="2" t="s">
        <v>25</v>
      </c>
      <c r="FST220" s="2" t="s">
        <v>393</v>
      </c>
      <c r="FSU220" s="7">
        <v>-74.044305502618698</v>
      </c>
      <c r="FSV220" s="7">
        <v>4.6804459478222702</v>
      </c>
      <c r="FSW220" s="2" t="s">
        <v>357</v>
      </c>
      <c r="FSX220" s="2" t="s">
        <v>63</v>
      </c>
      <c r="FSY220" s="2" t="s">
        <v>83</v>
      </c>
      <c r="FSZ220" s="2" t="s">
        <v>63</v>
      </c>
      <c r="FTA220" s="24">
        <v>434</v>
      </c>
      <c r="FTB220" s="5">
        <v>46174</v>
      </c>
      <c r="FTC220" s="5">
        <v>46174</v>
      </c>
      <c r="FTD220" s="30">
        <f t="shared" ref="FTD220" si="312">FTC220-FTB220</f>
        <v>0</v>
      </c>
      <c r="FTE220" s="5" t="s">
        <v>317</v>
      </c>
      <c r="FTF220" s="2" t="s">
        <v>22</v>
      </c>
      <c r="FTG220" s="53" t="s">
        <v>334</v>
      </c>
      <c r="FTH220" s="2" t="s">
        <v>513</v>
      </c>
      <c r="FTI220" s="2" t="s">
        <v>25</v>
      </c>
      <c r="FTJ220" s="2" t="s">
        <v>393</v>
      </c>
      <c r="FTK220" s="7">
        <v>-74.044305502618698</v>
      </c>
      <c r="FTL220" s="7">
        <v>4.6804459478222702</v>
      </c>
      <c r="FTM220" s="2" t="s">
        <v>357</v>
      </c>
      <c r="FTN220" s="2" t="s">
        <v>63</v>
      </c>
      <c r="FTO220" s="2" t="s">
        <v>83</v>
      </c>
      <c r="FTP220" s="2" t="s">
        <v>63</v>
      </c>
      <c r="FTQ220" s="24">
        <v>434</v>
      </c>
      <c r="FTR220" s="5">
        <v>46174</v>
      </c>
      <c r="FTS220" s="5">
        <v>46174</v>
      </c>
      <c r="FTT220" s="30">
        <f t="shared" ref="FTT220" si="313">FTS220-FTR220</f>
        <v>0</v>
      </c>
      <c r="FTU220" s="5" t="s">
        <v>317</v>
      </c>
      <c r="FTV220" s="2" t="s">
        <v>22</v>
      </c>
      <c r="FTW220" s="53" t="s">
        <v>334</v>
      </c>
      <c r="FTX220" s="2" t="s">
        <v>513</v>
      </c>
      <c r="FTY220" s="2" t="s">
        <v>25</v>
      </c>
      <c r="FTZ220" s="2" t="s">
        <v>393</v>
      </c>
      <c r="FUA220" s="7">
        <v>-74.044305502618698</v>
      </c>
      <c r="FUB220" s="7">
        <v>4.6804459478222702</v>
      </c>
      <c r="FUC220" s="2" t="s">
        <v>357</v>
      </c>
      <c r="FUD220" s="2" t="s">
        <v>63</v>
      </c>
      <c r="FUE220" s="2" t="s">
        <v>83</v>
      </c>
      <c r="FUF220" s="2" t="s">
        <v>63</v>
      </c>
      <c r="FUG220" s="24">
        <v>434</v>
      </c>
      <c r="FUH220" s="5">
        <v>46174</v>
      </c>
      <c r="FUI220" s="5">
        <v>46174</v>
      </c>
      <c r="FUJ220" s="30">
        <f t="shared" ref="FUJ220" si="314">FUI220-FUH220</f>
        <v>0</v>
      </c>
      <c r="FUK220" s="5" t="s">
        <v>317</v>
      </c>
      <c r="FUL220" s="2" t="s">
        <v>22</v>
      </c>
      <c r="FUM220" s="53" t="s">
        <v>334</v>
      </c>
      <c r="FUN220" s="2" t="s">
        <v>513</v>
      </c>
      <c r="FUO220" s="2" t="s">
        <v>25</v>
      </c>
      <c r="FUP220" s="2" t="s">
        <v>393</v>
      </c>
      <c r="FUQ220" s="7">
        <v>-74.044305502618698</v>
      </c>
      <c r="FUR220" s="7">
        <v>4.6804459478222702</v>
      </c>
      <c r="FUS220" s="2" t="s">
        <v>357</v>
      </c>
      <c r="FUT220" s="2" t="s">
        <v>63</v>
      </c>
      <c r="FUU220" s="2" t="s">
        <v>83</v>
      </c>
      <c r="FUV220" s="2" t="s">
        <v>63</v>
      </c>
      <c r="FUW220" s="24">
        <v>434</v>
      </c>
      <c r="FUX220" s="5">
        <v>46174</v>
      </c>
      <c r="FUY220" s="5">
        <v>46174</v>
      </c>
      <c r="FUZ220" s="30">
        <f t="shared" ref="FUZ220" si="315">FUY220-FUX220</f>
        <v>0</v>
      </c>
      <c r="FVA220" s="5" t="s">
        <v>317</v>
      </c>
      <c r="FVB220" s="2" t="s">
        <v>22</v>
      </c>
      <c r="FVC220" s="53" t="s">
        <v>334</v>
      </c>
      <c r="FVD220" s="2" t="s">
        <v>513</v>
      </c>
      <c r="FVE220" s="2" t="s">
        <v>25</v>
      </c>
      <c r="FVF220" s="2" t="s">
        <v>393</v>
      </c>
      <c r="FVG220" s="7">
        <v>-74.044305502618698</v>
      </c>
      <c r="FVH220" s="7">
        <v>4.6804459478222702</v>
      </c>
      <c r="FVI220" s="2" t="s">
        <v>357</v>
      </c>
      <c r="FVJ220" s="2" t="s">
        <v>63</v>
      </c>
      <c r="FVK220" s="2" t="s">
        <v>83</v>
      </c>
      <c r="FVL220" s="2" t="s">
        <v>63</v>
      </c>
      <c r="FVM220" s="24">
        <v>434</v>
      </c>
      <c r="FVN220" s="5">
        <v>46174</v>
      </c>
      <c r="FVO220" s="5">
        <v>46174</v>
      </c>
      <c r="FVP220" s="30">
        <f t="shared" ref="FVP220" si="316">FVO220-FVN220</f>
        <v>0</v>
      </c>
      <c r="FVQ220" s="5" t="s">
        <v>317</v>
      </c>
      <c r="FVR220" s="2" t="s">
        <v>22</v>
      </c>
      <c r="FVS220" s="53" t="s">
        <v>334</v>
      </c>
      <c r="FVT220" s="2" t="s">
        <v>513</v>
      </c>
      <c r="FVU220" s="2" t="s">
        <v>25</v>
      </c>
      <c r="FVV220" s="2" t="s">
        <v>393</v>
      </c>
      <c r="FVW220" s="7">
        <v>-74.044305502618698</v>
      </c>
      <c r="FVX220" s="7">
        <v>4.6804459478222702</v>
      </c>
      <c r="FVY220" s="2" t="s">
        <v>357</v>
      </c>
      <c r="FVZ220" s="2" t="s">
        <v>63</v>
      </c>
      <c r="FWA220" s="2" t="s">
        <v>83</v>
      </c>
      <c r="FWB220" s="2" t="s">
        <v>63</v>
      </c>
      <c r="FWC220" s="24">
        <v>434</v>
      </c>
      <c r="FWD220" s="5">
        <v>46174</v>
      </c>
      <c r="FWE220" s="5">
        <v>46174</v>
      </c>
      <c r="FWF220" s="30">
        <f t="shared" ref="FWF220" si="317">FWE220-FWD220</f>
        <v>0</v>
      </c>
      <c r="FWG220" s="5" t="s">
        <v>317</v>
      </c>
      <c r="FWH220" s="2" t="s">
        <v>22</v>
      </c>
      <c r="FWI220" s="53" t="s">
        <v>334</v>
      </c>
      <c r="FWJ220" s="2" t="s">
        <v>513</v>
      </c>
      <c r="FWK220" s="2" t="s">
        <v>25</v>
      </c>
      <c r="FWL220" s="2" t="s">
        <v>393</v>
      </c>
      <c r="FWM220" s="7">
        <v>-74.044305502618698</v>
      </c>
      <c r="FWN220" s="7">
        <v>4.6804459478222702</v>
      </c>
      <c r="FWO220" s="2" t="s">
        <v>357</v>
      </c>
      <c r="FWP220" s="2" t="s">
        <v>63</v>
      </c>
      <c r="FWQ220" s="2" t="s">
        <v>83</v>
      </c>
      <c r="FWR220" s="2" t="s">
        <v>63</v>
      </c>
      <c r="FWS220" s="24">
        <v>434</v>
      </c>
      <c r="FWT220" s="5">
        <v>46174</v>
      </c>
      <c r="FWU220" s="5">
        <v>46174</v>
      </c>
      <c r="FWV220" s="30">
        <f t="shared" ref="FWV220" si="318">FWU220-FWT220</f>
        <v>0</v>
      </c>
      <c r="FWW220" s="5" t="s">
        <v>317</v>
      </c>
      <c r="FWX220" s="2" t="s">
        <v>22</v>
      </c>
      <c r="FWY220" s="53" t="s">
        <v>334</v>
      </c>
      <c r="FWZ220" s="2" t="s">
        <v>513</v>
      </c>
      <c r="FXA220" s="2" t="s">
        <v>25</v>
      </c>
      <c r="FXB220" s="2" t="s">
        <v>393</v>
      </c>
      <c r="FXC220" s="7">
        <v>-74.044305502618698</v>
      </c>
      <c r="FXD220" s="7">
        <v>4.6804459478222702</v>
      </c>
      <c r="FXE220" s="2" t="s">
        <v>357</v>
      </c>
      <c r="FXF220" s="2" t="s">
        <v>63</v>
      </c>
      <c r="FXG220" s="2" t="s">
        <v>83</v>
      </c>
      <c r="FXH220" s="2" t="s">
        <v>63</v>
      </c>
      <c r="FXI220" s="24">
        <v>434</v>
      </c>
      <c r="FXJ220" s="5">
        <v>46174</v>
      </c>
      <c r="FXK220" s="5">
        <v>46174</v>
      </c>
      <c r="FXL220" s="30">
        <f t="shared" ref="FXL220" si="319">FXK220-FXJ220</f>
        <v>0</v>
      </c>
      <c r="FXM220" s="5" t="s">
        <v>317</v>
      </c>
      <c r="FXN220" s="2" t="s">
        <v>22</v>
      </c>
      <c r="FXO220" s="53" t="s">
        <v>334</v>
      </c>
      <c r="FXP220" s="2" t="s">
        <v>513</v>
      </c>
      <c r="FXQ220" s="2" t="s">
        <v>25</v>
      </c>
      <c r="FXR220" s="2" t="s">
        <v>393</v>
      </c>
      <c r="FXS220" s="7">
        <v>-74.044305502618698</v>
      </c>
      <c r="FXT220" s="7">
        <v>4.6804459478222702</v>
      </c>
      <c r="FXU220" s="2" t="s">
        <v>357</v>
      </c>
      <c r="FXV220" s="2" t="s">
        <v>63</v>
      </c>
      <c r="FXW220" s="2" t="s">
        <v>83</v>
      </c>
      <c r="FXX220" s="2" t="s">
        <v>63</v>
      </c>
      <c r="FXY220" s="24">
        <v>434</v>
      </c>
      <c r="FXZ220" s="5">
        <v>46174</v>
      </c>
      <c r="FYA220" s="5">
        <v>46174</v>
      </c>
      <c r="FYB220" s="30">
        <f t="shared" ref="FYB220" si="320">FYA220-FXZ220</f>
        <v>0</v>
      </c>
      <c r="FYC220" s="5" t="s">
        <v>317</v>
      </c>
      <c r="FYD220" s="2" t="s">
        <v>22</v>
      </c>
      <c r="FYE220" s="53" t="s">
        <v>334</v>
      </c>
      <c r="FYF220" s="2" t="s">
        <v>513</v>
      </c>
      <c r="FYG220" s="2" t="s">
        <v>25</v>
      </c>
      <c r="FYH220" s="2" t="s">
        <v>393</v>
      </c>
      <c r="FYI220" s="7">
        <v>-74.044305502618698</v>
      </c>
      <c r="FYJ220" s="7">
        <v>4.6804459478222702</v>
      </c>
      <c r="FYK220" s="2" t="s">
        <v>357</v>
      </c>
      <c r="FYL220" s="2" t="s">
        <v>63</v>
      </c>
      <c r="FYM220" s="2" t="s">
        <v>83</v>
      </c>
      <c r="FYN220" s="2" t="s">
        <v>63</v>
      </c>
      <c r="FYO220" s="24">
        <v>434</v>
      </c>
      <c r="FYP220" s="5">
        <v>46174</v>
      </c>
      <c r="FYQ220" s="5">
        <v>46174</v>
      </c>
      <c r="FYR220" s="30">
        <f t="shared" ref="FYR220" si="321">FYQ220-FYP220</f>
        <v>0</v>
      </c>
      <c r="FYS220" s="5" t="s">
        <v>317</v>
      </c>
      <c r="FYT220" s="2" t="s">
        <v>22</v>
      </c>
      <c r="FYU220" s="53" t="s">
        <v>334</v>
      </c>
      <c r="FYV220" s="2" t="s">
        <v>513</v>
      </c>
      <c r="FYW220" s="2" t="s">
        <v>25</v>
      </c>
      <c r="FYX220" s="2" t="s">
        <v>393</v>
      </c>
      <c r="FYY220" s="7">
        <v>-74.044305502618698</v>
      </c>
      <c r="FYZ220" s="7">
        <v>4.6804459478222702</v>
      </c>
      <c r="FZA220" s="2" t="s">
        <v>357</v>
      </c>
      <c r="FZB220" s="2" t="s">
        <v>63</v>
      </c>
      <c r="FZC220" s="2" t="s">
        <v>83</v>
      </c>
      <c r="FZD220" s="2" t="s">
        <v>63</v>
      </c>
      <c r="FZE220" s="24">
        <v>434</v>
      </c>
      <c r="FZF220" s="5">
        <v>46174</v>
      </c>
      <c r="FZG220" s="5">
        <v>46174</v>
      </c>
      <c r="FZH220" s="30">
        <f t="shared" ref="FZH220" si="322">FZG220-FZF220</f>
        <v>0</v>
      </c>
      <c r="FZI220" s="5" t="s">
        <v>317</v>
      </c>
      <c r="FZJ220" s="2" t="s">
        <v>22</v>
      </c>
      <c r="FZK220" s="53" t="s">
        <v>334</v>
      </c>
      <c r="FZL220" s="2" t="s">
        <v>513</v>
      </c>
      <c r="FZM220" s="2" t="s">
        <v>25</v>
      </c>
      <c r="FZN220" s="2" t="s">
        <v>393</v>
      </c>
      <c r="FZO220" s="7">
        <v>-74.044305502618698</v>
      </c>
      <c r="FZP220" s="7">
        <v>4.6804459478222702</v>
      </c>
      <c r="FZQ220" s="2" t="s">
        <v>357</v>
      </c>
      <c r="FZR220" s="2" t="s">
        <v>63</v>
      </c>
      <c r="FZS220" s="2" t="s">
        <v>83</v>
      </c>
      <c r="FZT220" s="2" t="s">
        <v>63</v>
      </c>
      <c r="FZU220" s="24">
        <v>434</v>
      </c>
      <c r="FZV220" s="5">
        <v>46174</v>
      </c>
      <c r="FZW220" s="5">
        <v>46174</v>
      </c>
      <c r="FZX220" s="30">
        <f t="shared" ref="FZX220" si="323">FZW220-FZV220</f>
        <v>0</v>
      </c>
      <c r="FZY220" s="5" t="s">
        <v>317</v>
      </c>
      <c r="FZZ220" s="2" t="s">
        <v>22</v>
      </c>
      <c r="GAA220" s="53" t="s">
        <v>334</v>
      </c>
      <c r="GAB220" s="2" t="s">
        <v>513</v>
      </c>
      <c r="GAC220" s="2" t="s">
        <v>25</v>
      </c>
      <c r="GAD220" s="2" t="s">
        <v>393</v>
      </c>
      <c r="GAE220" s="7">
        <v>-74.044305502618698</v>
      </c>
      <c r="GAF220" s="7">
        <v>4.6804459478222702</v>
      </c>
      <c r="GAG220" s="2" t="s">
        <v>357</v>
      </c>
      <c r="GAH220" s="2" t="s">
        <v>63</v>
      </c>
      <c r="GAI220" s="2" t="s">
        <v>83</v>
      </c>
      <c r="GAJ220" s="2" t="s">
        <v>63</v>
      </c>
      <c r="GAK220" s="24">
        <v>434</v>
      </c>
      <c r="GAL220" s="5">
        <v>46174</v>
      </c>
      <c r="GAM220" s="5">
        <v>46174</v>
      </c>
      <c r="GAN220" s="30">
        <f t="shared" ref="GAN220" si="324">GAM220-GAL220</f>
        <v>0</v>
      </c>
      <c r="GAO220" s="5" t="s">
        <v>317</v>
      </c>
      <c r="GAP220" s="2" t="s">
        <v>22</v>
      </c>
      <c r="GAQ220" s="53" t="s">
        <v>334</v>
      </c>
      <c r="GAR220" s="2" t="s">
        <v>513</v>
      </c>
      <c r="GAS220" s="2" t="s">
        <v>25</v>
      </c>
      <c r="GAT220" s="2" t="s">
        <v>393</v>
      </c>
      <c r="GAU220" s="7">
        <v>-74.044305502618698</v>
      </c>
      <c r="GAV220" s="7">
        <v>4.6804459478222702</v>
      </c>
      <c r="GAW220" s="2" t="s">
        <v>357</v>
      </c>
      <c r="GAX220" s="2" t="s">
        <v>63</v>
      </c>
      <c r="GAY220" s="2" t="s">
        <v>83</v>
      </c>
      <c r="GAZ220" s="2" t="s">
        <v>63</v>
      </c>
      <c r="GBA220" s="24">
        <v>434</v>
      </c>
      <c r="GBB220" s="5">
        <v>46174</v>
      </c>
      <c r="GBC220" s="5">
        <v>46174</v>
      </c>
      <c r="GBD220" s="30">
        <f t="shared" ref="GBD220" si="325">GBC220-GBB220</f>
        <v>0</v>
      </c>
      <c r="GBE220" s="5" t="s">
        <v>317</v>
      </c>
      <c r="GBF220" s="2" t="s">
        <v>22</v>
      </c>
      <c r="GBG220" s="53" t="s">
        <v>334</v>
      </c>
      <c r="GBH220" s="2" t="s">
        <v>513</v>
      </c>
      <c r="GBI220" s="2" t="s">
        <v>25</v>
      </c>
      <c r="GBJ220" s="2" t="s">
        <v>393</v>
      </c>
      <c r="GBK220" s="7">
        <v>-74.044305502618698</v>
      </c>
      <c r="GBL220" s="7">
        <v>4.6804459478222702</v>
      </c>
      <c r="GBM220" s="2" t="s">
        <v>357</v>
      </c>
      <c r="GBN220" s="2" t="s">
        <v>63</v>
      </c>
      <c r="GBO220" s="2" t="s">
        <v>83</v>
      </c>
      <c r="GBP220" s="2" t="s">
        <v>63</v>
      </c>
      <c r="GBQ220" s="24">
        <v>434</v>
      </c>
      <c r="GBR220" s="5">
        <v>46174</v>
      </c>
      <c r="GBS220" s="5">
        <v>46174</v>
      </c>
      <c r="GBT220" s="30">
        <f t="shared" ref="GBT220" si="326">GBS220-GBR220</f>
        <v>0</v>
      </c>
      <c r="GBU220" s="5" t="s">
        <v>317</v>
      </c>
      <c r="GBV220" s="2" t="s">
        <v>22</v>
      </c>
      <c r="GBW220" s="53" t="s">
        <v>334</v>
      </c>
      <c r="GBX220" s="2" t="s">
        <v>513</v>
      </c>
      <c r="GBY220" s="2" t="s">
        <v>25</v>
      </c>
      <c r="GBZ220" s="2" t="s">
        <v>393</v>
      </c>
      <c r="GCA220" s="7">
        <v>-74.044305502618698</v>
      </c>
      <c r="GCB220" s="7">
        <v>4.6804459478222702</v>
      </c>
      <c r="GCC220" s="2" t="s">
        <v>357</v>
      </c>
      <c r="GCD220" s="2" t="s">
        <v>63</v>
      </c>
      <c r="GCE220" s="2" t="s">
        <v>83</v>
      </c>
      <c r="GCF220" s="2" t="s">
        <v>63</v>
      </c>
      <c r="GCG220" s="24">
        <v>434</v>
      </c>
      <c r="GCH220" s="5">
        <v>46174</v>
      </c>
      <c r="GCI220" s="5">
        <v>46174</v>
      </c>
      <c r="GCJ220" s="30">
        <f t="shared" ref="GCJ220" si="327">GCI220-GCH220</f>
        <v>0</v>
      </c>
      <c r="GCK220" s="5" t="s">
        <v>317</v>
      </c>
      <c r="GCL220" s="2" t="s">
        <v>22</v>
      </c>
      <c r="GCM220" s="53" t="s">
        <v>334</v>
      </c>
      <c r="GCN220" s="2" t="s">
        <v>513</v>
      </c>
      <c r="GCO220" s="2" t="s">
        <v>25</v>
      </c>
      <c r="GCP220" s="2" t="s">
        <v>393</v>
      </c>
      <c r="GCQ220" s="7">
        <v>-74.044305502618698</v>
      </c>
      <c r="GCR220" s="7">
        <v>4.6804459478222702</v>
      </c>
      <c r="GCS220" s="2" t="s">
        <v>357</v>
      </c>
      <c r="GCT220" s="2" t="s">
        <v>63</v>
      </c>
      <c r="GCU220" s="2" t="s">
        <v>83</v>
      </c>
      <c r="GCV220" s="2" t="s">
        <v>63</v>
      </c>
      <c r="GCW220" s="24">
        <v>434</v>
      </c>
      <c r="GCX220" s="5">
        <v>46174</v>
      </c>
      <c r="GCY220" s="5">
        <v>46174</v>
      </c>
      <c r="GCZ220" s="30">
        <f t="shared" ref="GCZ220" si="328">GCY220-GCX220</f>
        <v>0</v>
      </c>
      <c r="GDA220" s="5" t="s">
        <v>317</v>
      </c>
      <c r="GDB220" s="2" t="s">
        <v>22</v>
      </c>
      <c r="GDC220" s="53" t="s">
        <v>334</v>
      </c>
      <c r="GDD220" s="2" t="s">
        <v>513</v>
      </c>
      <c r="GDE220" s="2" t="s">
        <v>25</v>
      </c>
      <c r="GDF220" s="2" t="s">
        <v>393</v>
      </c>
      <c r="GDG220" s="7">
        <v>-74.044305502618698</v>
      </c>
      <c r="GDH220" s="7">
        <v>4.6804459478222702</v>
      </c>
      <c r="GDI220" s="2" t="s">
        <v>357</v>
      </c>
      <c r="GDJ220" s="2" t="s">
        <v>63</v>
      </c>
      <c r="GDK220" s="2" t="s">
        <v>83</v>
      </c>
      <c r="GDL220" s="2" t="s">
        <v>63</v>
      </c>
      <c r="GDM220" s="24">
        <v>434</v>
      </c>
      <c r="GDN220" s="5">
        <v>46174</v>
      </c>
      <c r="GDO220" s="5">
        <v>46174</v>
      </c>
      <c r="GDP220" s="30">
        <f t="shared" ref="GDP220" si="329">GDO220-GDN220</f>
        <v>0</v>
      </c>
      <c r="GDQ220" s="5" t="s">
        <v>317</v>
      </c>
      <c r="GDR220" s="2" t="s">
        <v>22</v>
      </c>
      <c r="GDS220" s="53" t="s">
        <v>334</v>
      </c>
      <c r="GDT220" s="2" t="s">
        <v>513</v>
      </c>
      <c r="GDU220" s="2" t="s">
        <v>25</v>
      </c>
      <c r="GDV220" s="2" t="s">
        <v>393</v>
      </c>
      <c r="GDW220" s="7">
        <v>-74.044305502618698</v>
      </c>
      <c r="GDX220" s="7">
        <v>4.6804459478222702</v>
      </c>
      <c r="GDY220" s="2" t="s">
        <v>357</v>
      </c>
      <c r="GDZ220" s="2" t="s">
        <v>63</v>
      </c>
      <c r="GEA220" s="2" t="s">
        <v>83</v>
      </c>
      <c r="GEB220" s="2" t="s">
        <v>63</v>
      </c>
      <c r="GEC220" s="24">
        <v>434</v>
      </c>
      <c r="GED220" s="5">
        <v>46174</v>
      </c>
      <c r="GEE220" s="5">
        <v>46174</v>
      </c>
      <c r="GEF220" s="30">
        <f t="shared" ref="GEF220" si="330">GEE220-GED220</f>
        <v>0</v>
      </c>
      <c r="GEG220" s="5" t="s">
        <v>317</v>
      </c>
      <c r="GEH220" s="2" t="s">
        <v>22</v>
      </c>
      <c r="GEI220" s="53" t="s">
        <v>334</v>
      </c>
      <c r="GEJ220" s="2" t="s">
        <v>513</v>
      </c>
      <c r="GEK220" s="2" t="s">
        <v>25</v>
      </c>
      <c r="GEL220" s="2" t="s">
        <v>393</v>
      </c>
      <c r="GEM220" s="7">
        <v>-74.044305502618698</v>
      </c>
      <c r="GEN220" s="7">
        <v>4.6804459478222702</v>
      </c>
      <c r="GEO220" s="2" t="s">
        <v>357</v>
      </c>
      <c r="GEP220" s="2" t="s">
        <v>63</v>
      </c>
      <c r="GEQ220" s="2" t="s">
        <v>83</v>
      </c>
      <c r="GER220" s="2" t="s">
        <v>63</v>
      </c>
      <c r="GES220" s="24">
        <v>434</v>
      </c>
      <c r="GET220" s="5">
        <v>46174</v>
      </c>
      <c r="GEU220" s="5">
        <v>46174</v>
      </c>
      <c r="GEV220" s="30">
        <f t="shared" ref="GEV220" si="331">GEU220-GET220</f>
        <v>0</v>
      </c>
      <c r="GEW220" s="5" t="s">
        <v>317</v>
      </c>
      <c r="GEX220" s="2" t="s">
        <v>22</v>
      </c>
      <c r="GEY220" s="53" t="s">
        <v>334</v>
      </c>
      <c r="GEZ220" s="2" t="s">
        <v>513</v>
      </c>
      <c r="GFA220" s="2" t="s">
        <v>25</v>
      </c>
      <c r="GFB220" s="2" t="s">
        <v>393</v>
      </c>
      <c r="GFC220" s="7">
        <v>-74.044305502618698</v>
      </c>
      <c r="GFD220" s="7">
        <v>4.6804459478222702</v>
      </c>
      <c r="GFE220" s="2" t="s">
        <v>357</v>
      </c>
      <c r="GFF220" s="2" t="s">
        <v>63</v>
      </c>
      <c r="GFG220" s="2" t="s">
        <v>83</v>
      </c>
      <c r="GFH220" s="2" t="s">
        <v>63</v>
      </c>
      <c r="GFI220" s="24">
        <v>434</v>
      </c>
      <c r="GFJ220" s="5">
        <v>46174</v>
      </c>
      <c r="GFK220" s="5">
        <v>46174</v>
      </c>
      <c r="GFL220" s="30">
        <f t="shared" ref="GFL220" si="332">GFK220-GFJ220</f>
        <v>0</v>
      </c>
      <c r="GFM220" s="5" t="s">
        <v>317</v>
      </c>
      <c r="GFN220" s="2" t="s">
        <v>22</v>
      </c>
      <c r="GFO220" s="53" t="s">
        <v>334</v>
      </c>
      <c r="GFP220" s="2" t="s">
        <v>513</v>
      </c>
      <c r="GFQ220" s="2" t="s">
        <v>25</v>
      </c>
      <c r="GFR220" s="2" t="s">
        <v>393</v>
      </c>
      <c r="GFS220" s="7">
        <v>-74.044305502618698</v>
      </c>
      <c r="GFT220" s="7">
        <v>4.6804459478222702</v>
      </c>
      <c r="GFU220" s="2" t="s">
        <v>357</v>
      </c>
      <c r="GFV220" s="2" t="s">
        <v>63</v>
      </c>
      <c r="GFW220" s="2" t="s">
        <v>83</v>
      </c>
      <c r="GFX220" s="2" t="s">
        <v>63</v>
      </c>
      <c r="GFY220" s="24">
        <v>434</v>
      </c>
      <c r="GFZ220" s="5">
        <v>46174</v>
      </c>
      <c r="GGA220" s="5">
        <v>46174</v>
      </c>
      <c r="GGB220" s="30">
        <f t="shared" ref="GGB220" si="333">GGA220-GFZ220</f>
        <v>0</v>
      </c>
      <c r="GGC220" s="5" t="s">
        <v>317</v>
      </c>
      <c r="GGD220" s="2" t="s">
        <v>22</v>
      </c>
      <c r="GGE220" s="53" t="s">
        <v>334</v>
      </c>
      <c r="GGF220" s="2" t="s">
        <v>513</v>
      </c>
      <c r="GGG220" s="2" t="s">
        <v>25</v>
      </c>
      <c r="GGH220" s="2" t="s">
        <v>393</v>
      </c>
      <c r="GGI220" s="7">
        <v>-74.044305502618698</v>
      </c>
      <c r="GGJ220" s="7">
        <v>4.6804459478222702</v>
      </c>
      <c r="GGK220" s="2" t="s">
        <v>357</v>
      </c>
      <c r="GGL220" s="2" t="s">
        <v>63</v>
      </c>
      <c r="GGM220" s="2" t="s">
        <v>83</v>
      </c>
      <c r="GGN220" s="2" t="s">
        <v>63</v>
      </c>
      <c r="GGO220" s="24">
        <v>434</v>
      </c>
      <c r="GGP220" s="5">
        <v>46174</v>
      </c>
      <c r="GGQ220" s="5">
        <v>46174</v>
      </c>
      <c r="GGR220" s="30">
        <f t="shared" ref="GGR220" si="334">GGQ220-GGP220</f>
        <v>0</v>
      </c>
      <c r="GGS220" s="5" t="s">
        <v>317</v>
      </c>
      <c r="GGT220" s="2" t="s">
        <v>22</v>
      </c>
      <c r="GGU220" s="53" t="s">
        <v>334</v>
      </c>
      <c r="GGV220" s="2" t="s">
        <v>513</v>
      </c>
      <c r="GGW220" s="2" t="s">
        <v>25</v>
      </c>
      <c r="GGX220" s="2" t="s">
        <v>393</v>
      </c>
      <c r="GGY220" s="7">
        <v>-74.044305502618698</v>
      </c>
      <c r="GGZ220" s="7">
        <v>4.6804459478222702</v>
      </c>
      <c r="GHA220" s="2" t="s">
        <v>357</v>
      </c>
      <c r="GHB220" s="2" t="s">
        <v>63</v>
      </c>
      <c r="GHC220" s="2" t="s">
        <v>83</v>
      </c>
      <c r="GHD220" s="2" t="s">
        <v>63</v>
      </c>
      <c r="GHE220" s="24">
        <v>434</v>
      </c>
      <c r="GHF220" s="5">
        <v>46174</v>
      </c>
      <c r="GHG220" s="5">
        <v>46174</v>
      </c>
      <c r="GHH220" s="30">
        <f t="shared" ref="GHH220" si="335">GHG220-GHF220</f>
        <v>0</v>
      </c>
      <c r="GHI220" s="5" t="s">
        <v>317</v>
      </c>
      <c r="GHJ220" s="2" t="s">
        <v>22</v>
      </c>
      <c r="GHK220" s="53" t="s">
        <v>334</v>
      </c>
      <c r="GHL220" s="2" t="s">
        <v>513</v>
      </c>
      <c r="GHM220" s="2" t="s">
        <v>25</v>
      </c>
      <c r="GHN220" s="2" t="s">
        <v>393</v>
      </c>
      <c r="GHO220" s="7">
        <v>-74.044305502618698</v>
      </c>
      <c r="GHP220" s="7">
        <v>4.6804459478222702</v>
      </c>
      <c r="GHQ220" s="2" t="s">
        <v>357</v>
      </c>
      <c r="GHR220" s="2" t="s">
        <v>63</v>
      </c>
      <c r="GHS220" s="2" t="s">
        <v>83</v>
      </c>
      <c r="GHT220" s="2" t="s">
        <v>63</v>
      </c>
      <c r="GHU220" s="24">
        <v>434</v>
      </c>
      <c r="GHV220" s="5">
        <v>46174</v>
      </c>
      <c r="GHW220" s="5">
        <v>46174</v>
      </c>
      <c r="GHX220" s="30">
        <f t="shared" ref="GHX220" si="336">GHW220-GHV220</f>
        <v>0</v>
      </c>
      <c r="GHY220" s="5" t="s">
        <v>317</v>
      </c>
      <c r="GHZ220" s="2" t="s">
        <v>22</v>
      </c>
      <c r="GIA220" s="53" t="s">
        <v>334</v>
      </c>
      <c r="GIB220" s="2" t="s">
        <v>513</v>
      </c>
      <c r="GIC220" s="2" t="s">
        <v>25</v>
      </c>
      <c r="GID220" s="2" t="s">
        <v>393</v>
      </c>
      <c r="GIE220" s="7">
        <v>-74.044305502618698</v>
      </c>
      <c r="GIF220" s="7">
        <v>4.6804459478222702</v>
      </c>
      <c r="GIG220" s="2" t="s">
        <v>357</v>
      </c>
      <c r="GIH220" s="2" t="s">
        <v>63</v>
      </c>
      <c r="GII220" s="2" t="s">
        <v>83</v>
      </c>
      <c r="GIJ220" s="2" t="s">
        <v>63</v>
      </c>
      <c r="GIK220" s="24">
        <v>434</v>
      </c>
      <c r="GIL220" s="5">
        <v>46174</v>
      </c>
      <c r="GIM220" s="5">
        <v>46174</v>
      </c>
      <c r="GIN220" s="30">
        <f t="shared" ref="GIN220" si="337">GIM220-GIL220</f>
        <v>0</v>
      </c>
      <c r="GIO220" s="5" t="s">
        <v>317</v>
      </c>
      <c r="GIP220" s="2" t="s">
        <v>22</v>
      </c>
      <c r="GIQ220" s="53" t="s">
        <v>334</v>
      </c>
      <c r="GIR220" s="2" t="s">
        <v>513</v>
      </c>
      <c r="GIS220" s="2" t="s">
        <v>25</v>
      </c>
      <c r="GIT220" s="2" t="s">
        <v>393</v>
      </c>
      <c r="GIU220" s="7">
        <v>-74.044305502618698</v>
      </c>
      <c r="GIV220" s="7">
        <v>4.6804459478222702</v>
      </c>
      <c r="GIW220" s="2" t="s">
        <v>357</v>
      </c>
      <c r="GIX220" s="2" t="s">
        <v>63</v>
      </c>
      <c r="GIY220" s="2" t="s">
        <v>83</v>
      </c>
      <c r="GIZ220" s="2" t="s">
        <v>63</v>
      </c>
      <c r="GJA220" s="24">
        <v>434</v>
      </c>
      <c r="GJB220" s="5">
        <v>46174</v>
      </c>
      <c r="GJC220" s="5">
        <v>46174</v>
      </c>
      <c r="GJD220" s="30">
        <f t="shared" ref="GJD220" si="338">GJC220-GJB220</f>
        <v>0</v>
      </c>
      <c r="GJE220" s="5" t="s">
        <v>317</v>
      </c>
      <c r="GJF220" s="2" t="s">
        <v>22</v>
      </c>
      <c r="GJG220" s="53" t="s">
        <v>334</v>
      </c>
      <c r="GJH220" s="2" t="s">
        <v>513</v>
      </c>
      <c r="GJI220" s="2" t="s">
        <v>25</v>
      </c>
      <c r="GJJ220" s="2" t="s">
        <v>393</v>
      </c>
      <c r="GJK220" s="7">
        <v>-74.044305502618698</v>
      </c>
      <c r="GJL220" s="7">
        <v>4.6804459478222702</v>
      </c>
      <c r="GJM220" s="2" t="s">
        <v>357</v>
      </c>
      <c r="GJN220" s="2" t="s">
        <v>63</v>
      </c>
      <c r="GJO220" s="2" t="s">
        <v>83</v>
      </c>
      <c r="GJP220" s="2" t="s">
        <v>63</v>
      </c>
      <c r="GJQ220" s="24">
        <v>434</v>
      </c>
      <c r="GJR220" s="5">
        <v>46174</v>
      </c>
      <c r="GJS220" s="5">
        <v>46174</v>
      </c>
      <c r="GJT220" s="30">
        <f t="shared" ref="GJT220" si="339">GJS220-GJR220</f>
        <v>0</v>
      </c>
      <c r="GJU220" s="5" t="s">
        <v>317</v>
      </c>
      <c r="GJV220" s="2" t="s">
        <v>22</v>
      </c>
      <c r="GJW220" s="53" t="s">
        <v>334</v>
      </c>
      <c r="GJX220" s="2" t="s">
        <v>513</v>
      </c>
      <c r="GJY220" s="2" t="s">
        <v>25</v>
      </c>
      <c r="GJZ220" s="2" t="s">
        <v>393</v>
      </c>
      <c r="GKA220" s="7">
        <v>-74.044305502618698</v>
      </c>
      <c r="GKB220" s="7">
        <v>4.6804459478222702</v>
      </c>
      <c r="GKC220" s="2" t="s">
        <v>357</v>
      </c>
      <c r="GKD220" s="2" t="s">
        <v>63</v>
      </c>
      <c r="GKE220" s="2" t="s">
        <v>83</v>
      </c>
      <c r="GKF220" s="2" t="s">
        <v>63</v>
      </c>
      <c r="GKG220" s="24">
        <v>434</v>
      </c>
      <c r="GKH220" s="5">
        <v>46174</v>
      </c>
      <c r="GKI220" s="5">
        <v>46174</v>
      </c>
      <c r="GKJ220" s="30">
        <f t="shared" ref="GKJ220" si="340">GKI220-GKH220</f>
        <v>0</v>
      </c>
      <c r="GKK220" s="5" t="s">
        <v>317</v>
      </c>
      <c r="GKL220" s="2" t="s">
        <v>22</v>
      </c>
      <c r="GKM220" s="53" t="s">
        <v>334</v>
      </c>
      <c r="GKN220" s="2" t="s">
        <v>513</v>
      </c>
      <c r="GKO220" s="2" t="s">
        <v>25</v>
      </c>
      <c r="GKP220" s="2" t="s">
        <v>393</v>
      </c>
      <c r="GKQ220" s="7">
        <v>-74.044305502618698</v>
      </c>
      <c r="GKR220" s="7">
        <v>4.6804459478222702</v>
      </c>
      <c r="GKS220" s="2" t="s">
        <v>357</v>
      </c>
      <c r="GKT220" s="2" t="s">
        <v>63</v>
      </c>
      <c r="GKU220" s="2" t="s">
        <v>83</v>
      </c>
      <c r="GKV220" s="2" t="s">
        <v>63</v>
      </c>
      <c r="GKW220" s="24">
        <v>434</v>
      </c>
      <c r="GKX220" s="5">
        <v>46174</v>
      </c>
      <c r="GKY220" s="5">
        <v>46174</v>
      </c>
      <c r="GKZ220" s="30">
        <f t="shared" ref="GKZ220" si="341">GKY220-GKX220</f>
        <v>0</v>
      </c>
      <c r="GLA220" s="5" t="s">
        <v>317</v>
      </c>
      <c r="GLB220" s="2" t="s">
        <v>22</v>
      </c>
      <c r="GLC220" s="53" t="s">
        <v>334</v>
      </c>
      <c r="GLD220" s="2" t="s">
        <v>513</v>
      </c>
      <c r="GLE220" s="2" t="s">
        <v>25</v>
      </c>
      <c r="GLF220" s="2" t="s">
        <v>393</v>
      </c>
      <c r="GLG220" s="7">
        <v>-74.044305502618698</v>
      </c>
      <c r="GLH220" s="7">
        <v>4.6804459478222702</v>
      </c>
      <c r="GLI220" s="2" t="s">
        <v>357</v>
      </c>
      <c r="GLJ220" s="2" t="s">
        <v>63</v>
      </c>
      <c r="GLK220" s="2" t="s">
        <v>83</v>
      </c>
      <c r="GLL220" s="2" t="s">
        <v>63</v>
      </c>
      <c r="GLM220" s="24">
        <v>434</v>
      </c>
      <c r="GLN220" s="5">
        <v>46174</v>
      </c>
      <c r="GLO220" s="5">
        <v>46174</v>
      </c>
      <c r="GLP220" s="30">
        <f t="shared" ref="GLP220" si="342">GLO220-GLN220</f>
        <v>0</v>
      </c>
      <c r="GLQ220" s="5" t="s">
        <v>317</v>
      </c>
      <c r="GLR220" s="2" t="s">
        <v>22</v>
      </c>
      <c r="GLS220" s="53" t="s">
        <v>334</v>
      </c>
      <c r="GLT220" s="2" t="s">
        <v>513</v>
      </c>
      <c r="GLU220" s="2" t="s">
        <v>25</v>
      </c>
      <c r="GLV220" s="2" t="s">
        <v>393</v>
      </c>
      <c r="GLW220" s="7">
        <v>-74.044305502618698</v>
      </c>
      <c r="GLX220" s="7">
        <v>4.6804459478222702</v>
      </c>
      <c r="GLY220" s="2" t="s">
        <v>357</v>
      </c>
      <c r="GLZ220" s="2" t="s">
        <v>63</v>
      </c>
      <c r="GMA220" s="2" t="s">
        <v>83</v>
      </c>
      <c r="GMB220" s="2" t="s">
        <v>63</v>
      </c>
      <c r="GMC220" s="24">
        <v>434</v>
      </c>
      <c r="GMD220" s="5">
        <v>46174</v>
      </c>
      <c r="GME220" s="5">
        <v>46174</v>
      </c>
      <c r="GMF220" s="30">
        <f t="shared" ref="GMF220" si="343">GME220-GMD220</f>
        <v>0</v>
      </c>
      <c r="GMG220" s="5" t="s">
        <v>317</v>
      </c>
      <c r="GMH220" s="2" t="s">
        <v>22</v>
      </c>
      <c r="GMI220" s="53" t="s">
        <v>334</v>
      </c>
      <c r="GMJ220" s="2" t="s">
        <v>513</v>
      </c>
      <c r="GMK220" s="2" t="s">
        <v>25</v>
      </c>
      <c r="GML220" s="2" t="s">
        <v>393</v>
      </c>
      <c r="GMM220" s="7">
        <v>-74.044305502618698</v>
      </c>
      <c r="GMN220" s="7">
        <v>4.6804459478222702</v>
      </c>
      <c r="GMO220" s="2" t="s">
        <v>357</v>
      </c>
      <c r="GMP220" s="2" t="s">
        <v>63</v>
      </c>
      <c r="GMQ220" s="2" t="s">
        <v>83</v>
      </c>
      <c r="GMR220" s="2" t="s">
        <v>63</v>
      </c>
      <c r="GMS220" s="24">
        <v>434</v>
      </c>
      <c r="GMT220" s="5">
        <v>46174</v>
      </c>
      <c r="GMU220" s="5">
        <v>46174</v>
      </c>
      <c r="GMV220" s="30">
        <f t="shared" ref="GMV220" si="344">GMU220-GMT220</f>
        <v>0</v>
      </c>
      <c r="GMW220" s="5" t="s">
        <v>317</v>
      </c>
      <c r="GMX220" s="2" t="s">
        <v>22</v>
      </c>
      <c r="GMY220" s="53" t="s">
        <v>334</v>
      </c>
      <c r="GMZ220" s="2" t="s">
        <v>513</v>
      </c>
      <c r="GNA220" s="2" t="s">
        <v>25</v>
      </c>
      <c r="GNB220" s="2" t="s">
        <v>393</v>
      </c>
      <c r="GNC220" s="7">
        <v>-74.044305502618698</v>
      </c>
      <c r="GND220" s="7">
        <v>4.6804459478222702</v>
      </c>
      <c r="GNE220" s="2" t="s">
        <v>357</v>
      </c>
      <c r="GNF220" s="2" t="s">
        <v>63</v>
      </c>
      <c r="GNG220" s="2" t="s">
        <v>83</v>
      </c>
      <c r="GNH220" s="2" t="s">
        <v>63</v>
      </c>
      <c r="GNI220" s="24">
        <v>434</v>
      </c>
      <c r="GNJ220" s="5">
        <v>46174</v>
      </c>
      <c r="GNK220" s="5">
        <v>46174</v>
      </c>
      <c r="GNL220" s="30">
        <f t="shared" ref="GNL220" si="345">GNK220-GNJ220</f>
        <v>0</v>
      </c>
      <c r="GNM220" s="5" t="s">
        <v>317</v>
      </c>
      <c r="GNN220" s="2" t="s">
        <v>22</v>
      </c>
      <c r="GNO220" s="53" t="s">
        <v>334</v>
      </c>
      <c r="GNP220" s="2" t="s">
        <v>513</v>
      </c>
      <c r="GNQ220" s="2" t="s">
        <v>25</v>
      </c>
      <c r="GNR220" s="2" t="s">
        <v>393</v>
      </c>
      <c r="GNS220" s="7">
        <v>-74.044305502618698</v>
      </c>
      <c r="GNT220" s="7">
        <v>4.6804459478222702</v>
      </c>
      <c r="GNU220" s="2" t="s">
        <v>357</v>
      </c>
      <c r="GNV220" s="2" t="s">
        <v>63</v>
      </c>
      <c r="GNW220" s="2" t="s">
        <v>83</v>
      </c>
      <c r="GNX220" s="2" t="s">
        <v>63</v>
      </c>
      <c r="GNY220" s="24">
        <v>434</v>
      </c>
      <c r="GNZ220" s="5">
        <v>46174</v>
      </c>
      <c r="GOA220" s="5">
        <v>46174</v>
      </c>
      <c r="GOB220" s="30">
        <f t="shared" ref="GOB220" si="346">GOA220-GNZ220</f>
        <v>0</v>
      </c>
      <c r="GOC220" s="5" t="s">
        <v>317</v>
      </c>
      <c r="GOD220" s="2" t="s">
        <v>22</v>
      </c>
      <c r="GOE220" s="53" t="s">
        <v>334</v>
      </c>
      <c r="GOF220" s="2" t="s">
        <v>513</v>
      </c>
      <c r="GOG220" s="2" t="s">
        <v>25</v>
      </c>
      <c r="GOH220" s="2" t="s">
        <v>393</v>
      </c>
      <c r="GOI220" s="7">
        <v>-74.044305502618698</v>
      </c>
      <c r="GOJ220" s="7">
        <v>4.6804459478222702</v>
      </c>
      <c r="GOK220" s="2" t="s">
        <v>357</v>
      </c>
      <c r="GOL220" s="2" t="s">
        <v>63</v>
      </c>
      <c r="GOM220" s="2" t="s">
        <v>83</v>
      </c>
      <c r="GON220" s="2" t="s">
        <v>63</v>
      </c>
      <c r="GOO220" s="24">
        <v>434</v>
      </c>
      <c r="GOP220" s="5">
        <v>46174</v>
      </c>
      <c r="GOQ220" s="5">
        <v>46174</v>
      </c>
      <c r="GOR220" s="30">
        <f t="shared" ref="GOR220" si="347">GOQ220-GOP220</f>
        <v>0</v>
      </c>
      <c r="GOS220" s="5" t="s">
        <v>317</v>
      </c>
      <c r="GOT220" s="2" t="s">
        <v>22</v>
      </c>
      <c r="GOU220" s="53" t="s">
        <v>334</v>
      </c>
      <c r="GOV220" s="2" t="s">
        <v>513</v>
      </c>
      <c r="GOW220" s="2" t="s">
        <v>25</v>
      </c>
      <c r="GOX220" s="2" t="s">
        <v>393</v>
      </c>
      <c r="GOY220" s="7">
        <v>-74.044305502618698</v>
      </c>
      <c r="GOZ220" s="7">
        <v>4.6804459478222702</v>
      </c>
      <c r="GPA220" s="2" t="s">
        <v>357</v>
      </c>
      <c r="GPB220" s="2" t="s">
        <v>63</v>
      </c>
      <c r="GPC220" s="2" t="s">
        <v>83</v>
      </c>
      <c r="GPD220" s="2" t="s">
        <v>63</v>
      </c>
      <c r="GPE220" s="24">
        <v>434</v>
      </c>
      <c r="GPF220" s="5">
        <v>46174</v>
      </c>
      <c r="GPG220" s="5">
        <v>46174</v>
      </c>
      <c r="GPH220" s="30">
        <f t="shared" ref="GPH220" si="348">GPG220-GPF220</f>
        <v>0</v>
      </c>
      <c r="GPI220" s="5" t="s">
        <v>317</v>
      </c>
      <c r="GPJ220" s="2" t="s">
        <v>22</v>
      </c>
      <c r="GPK220" s="53" t="s">
        <v>334</v>
      </c>
      <c r="GPL220" s="2" t="s">
        <v>513</v>
      </c>
      <c r="GPM220" s="2" t="s">
        <v>25</v>
      </c>
      <c r="GPN220" s="2" t="s">
        <v>393</v>
      </c>
      <c r="GPO220" s="7">
        <v>-74.044305502618698</v>
      </c>
      <c r="GPP220" s="7">
        <v>4.6804459478222702</v>
      </c>
      <c r="GPQ220" s="2" t="s">
        <v>357</v>
      </c>
      <c r="GPR220" s="2" t="s">
        <v>63</v>
      </c>
      <c r="GPS220" s="2" t="s">
        <v>83</v>
      </c>
      <c r="GPT220" s="2" t="s">
        <v>63</v>
      </c>
      <c r="GPU220" s="24">
        <v>434</v>
      </c>
      <c r="GPV220" s="5">
        <v>46174</v>
      </c>
      <c r="GPW220" s="5">
        <v>46174</v>
      </c>
      <c r="GPX220" s="30">
        <f t="shared" ref="GPX220" si="349">GPW220-GPV220</f>
        <v>0</v>
      </c>
      <c r="GPY220" s="5" t="s">
        <v>317</v>
      </c>
      <c r="GPZ220" s="2" t="s">
        <v>22</v>
      </c>
      <c r="GQA220" s="53" t="s">
        <v>334</v>
      </c>
      <c r="GQB220" s="2" t="s">
        <v>513</v>
      </c>
      <c r="GQC220" s="2" t="s">
        <v>25</v>
      </c>
      <c r="GQD220" s="2" t="s">
        <v>393</v>
      </c>
      <c r="GQE220" s="7">
        <v>-74.044305502618698</v>
      </c>
      <c r="GQF220" s="7">
        <v>4.6804459478222702</v>
      </c>
      <c r="GQG220" s="2" t="s">
        <v>357</v>
      </c>
      <c r="GQH220" s="2" t="s">
        <v>63</v>
      </c>
      <c r="GQI220" s="2" t="s">
        <v>83</v>
      </c>
      <c r="GQJ220" s="2" t="s">
        <v>63</v>
      </c>
      <c r="GQK220" s="24">
        <v>434</v>
      </c>
      <c r="GQL220" s="5">
        <v>46174</v>
      </c>
      <c r="GQM220" s="5">
        <v>46174</v>
      </c>
      <c r="GQN220" s="30">
        <f t="shared" ref="GQN220" si="350">GQM220-GQL220</f>
        <v>0</v>
      </c>
      <c r="GQO220" s="5" t="s">
        <v>317</v>
      </c>
      <c r="GQP220" s="2" t="s">
        <v>22</v>
      </c>
      <c r="GQQ220" s="53" t="s">
        <v>334</v>
      </c>
      <c r="GQR220" s="2" t="s">
        <v>513</v>
      </c>
      <c r="GQS220" s="2" t="s">
        <v>25</v>
      </c>
      <c r="GQT220" s="2" t="s">
        <v>393</v>
      </c>
      <c r="GQU220" s="7">
        <v>-74.044305502618698</v>
      </c>
      <c r="GQV220" s="7">
        <v>4.6804459478222702</v>
      </c>
      <c r="GQW220" s="2" t="s">
        <v>357</v>
      </c>
      <c r="GQX220" s="2" t="s">
        <v>63</v>
      </c>
      <c r="GQY220" s="2" t="s">
        <v>83</v>
      </c>
      <c r="GQZ220" s="2" t="s">
        <v>63</v>
      </c>
      <c r="GRA220" s="24">
        <v>434</v>
      </c>
      <c r="GRB220" s="5">
        <v>46174</v>
      </c>
      <c r="GRC220" s="5">
        <v>46174</v>
      </c>
      <c r="GRD220" s="30">
        <f t="shared" ref="GRD220" si="351">GRC220-GRB220</f>
        <v>0</v>
      </c>
      <c r="GRE220" s="5" t="s">
        <v>317</v>
      </c>
      <c r="GRF220" s="2" t="s">
        <v>22</v>
      </c>
      <c r="GRG220" s="53" t="s">
        <v>334</v>
      </c>
      <c r="GRH220" s="2" t="s">
        <v>513</v>
      </c>
      <c r="GRI220" s="2" t="s">
        <v>25</v>
      </c>
      <c r="GRJ220" s="2" t="s">
        <v>393</v>
      </c>
      <c r="GRK220" s="7">
        <v>-74.044305502618698</v>
      </c>
      <c r="GRL220" s="7">
        <v>4.6804459478222702</v>
      </c>
      <c r="GRM220" s="2" t="s">
        <v>357</v>
      </c>
      <c r="GRN220" s="2" t="s">
        <v>63</v>
      </c>
      <c r="GRO220" s="2" t="s">
        <v>83</v>
      </c>
      <c r="GRP220" s="2" t="s">
        <v>63</v>
      </c>
      <c r="GRQ220" s="24">
        <v>434</v>
      </c>
      <c r="GRR220" s="5">
        <v>46174</v>
      </c>
      <c r="GRS220" s="5">
        <v>46174</v>
      </c>
      <c r="GRT220" s="30">
        <f t="shared" ref="GRT220" si="352">GRS220-GRR220</f>
        <v>0</v>
      </c>
      <c r="GRU220" s="5" t="s">
        <v>317</v>
      </c>
      <c r="GRV220" s="2" t="s">
        <v>22</v>
      </c>
      <c r="GRW220" s="53" t="s">
        <v>334</v>
      </c>
      <c r="GRX220" s="2" t="s">
        <v>513</v>
      </c>
      <c r="GRY220" s="2" t="s">
        <v>25</v>
      </c>
      <c r="GRZ220" s="2" t="s">
        <v>393</v>
      </c>
      <c r="GSA220" s="7">
        <v>-74.044305502618698</v>
      </c>
      <c r="GSB220" s="7">
        <v>4.6804459478222702</v>
      </c>
      <c r="GSC220" s="2" t="s">
        <v>357</v>
      </c>
      <c r="GSD220" s="2" t="s">
        <v>63</v>
      </c>
      <c r="GSE220" s="2" t="s">
        <v>83</v>
      </c>
      <c r="GSF220" s="2" t="s">
        <v>63</v>
      </c>
      <c r="GSG220" s="24">
        <v>434</v>
      </c>
      <c r="GSH220" s="5">
        <v>46174</v>
      </c>
      <c r="GSI220" s="5">
        <v>46174</v>
      </c>
      <c r="GSJ220" s="30">
        <f t="shared" ref="GSJ220" si="353">GSI220-GSH220</f>
        <v>0</v>
      </c>
      <c r="GSK220" s="5" t="s">
        <v>317</v>
      </c>
      <c r="GSL220" s="2" t="s">
        <v>22</v>
      </c>
      <c r="GSM220" s="53" t="s">
        <v>334</v>
      </c>
      <c r="GSN220" s="2" t="s">
        <v>513</v>
      </c>
      <c r="GSO220" s="2" t="s">
        <v>25</v>
      </c>
      <c r="GSP220" s="2" t="s">
        <v>393</v>
      </c>
      <c r="GSQ220" s="7">
        <v>-74.044305502618698</v>
      </c>
      <c r="GSR220" s="7">
        <v>4.6804459478222702</v>
      </c>
      <c r="GSS220" s="2" t="s">
        <v>357</v>
      </c>
      <c r="GST220" s="2" t="s">
        <v>63</v>
      </c>
      <c r="GSU220" s="2" t="s">
        <v>83</v>
      </c>
      <c r="GSV220" s="2" t="s">
        <v>63</v>
      </c>
      <c r="GSW220" s="24">
        <v>434</v>
      </c>
      <c r="GSX220" s="5">
        <v>46174</v>
      </c>
      <c r="GSY220" s="5">
        <v>46174</v>
      </c>
      <c r="GSZ220" s="30">
        <f t="shared" ref="GSZ220" si="354">GSY220-GSX220</f>
        <v>0</v>
      </c>
      <c r="GTA220" s="5" t="s">
        <v>317</v>
      </c>
      <c r="GTB220" s="2" t="s">
        <v>22</v>
      </c>
      <c r="GTC220" s="53" t="s">
        <v>334</v>
      </c>
      <c r="GTD220" s="2" t="s">
        <v>513</v>
      </c>
      <c r="GTE220" s="2" t="s">
        <v>25</v>
      </c>
      <c r="GTF220" s="2" t="s">
        <v>393</v>
      </c>
      <c r="GTG220" s="7">
        <v>-74.044305502618698</v>
      </c>
      <c r="GTH220" s="7">
        <v>4.6804459478222702</v>
      </c>
      <c r="GTI220" s="2" t="s">
        <v>357</v>
      </c>
      <c r="GTJ220" s="2" t="s">
        <v>63</v>
      </c>
      <c r="GTK220" s="2" t="s">
        <v>83</v>
      </c>
      <c r="GTL220" s="2" t="s">
        <v>63</v>
      </c>
      <c r="GTM220" s="24">
        <v>434</v>
      </c>
      <c r="GTN220" s="5">
        <v>46174</v>
      </c>
      <c r="GTO220" s="5">
        <v>46174</v>
      </c>
      <c r="GTP220" s="30">
        <f t="shared" ref="GTP220" si="355">GTO220-GTN220</f>
        <v>0</v>
      </c>
      <c r="GTQ220" s="5" t="s">
        <v>317</v>
      </c>
      <c r="GTR220" s="2" t="s">
        <v>22</v>
      </c>
      <c r="GTS220" s="53" t="s">
        <v>334</v>
      </c>
      <c r="GTT220" s="2" t="s">
        <v>513</v>
      </c>
      <c r="GTU220" s="2" t="s">
        <v>25</v>
      </c>
      <c r="GTV220" s="2" t="s">
        <v>393</v>
      </c>
      <c r="GTW220" s="7">
        <v>-74.044305502618698</v>
      </c>
      <c r="GTX220" s="7">
        <v>4.6804459478222702</v>
      </c>
      <c r="GTY220" s="2" t="s">
        <v>357</v>
      </c>
      <c r="GTZ220" s="2" t="s">
        <v>63</v>
      </c>
      <c r="GUA220" s="2" t="s">
        <v>83</v>
      </c>
      <c r="GUB220" s="2" t="s">
        <v>63</v>
      </c>
      <c r="GUC220" s="24">
        <v>434</v>
      </c>
      <c r="GUD220" s="5">
        <v>46174</v>
      </c>
      <c r="GUE220" s="5">
        <v>46174</v>
      </c>
      <c r="GUF220" s="30">
        <f t="shared" ref="GUF220" si="356">GUE220-GUD220</f>
        <v>0</v>
      </c>
      <c r="GUG220" s="5" t="s">
        <v>317</v>
      </c>
      <c r="GUH220" s="2" t="s">
        <v>22</v>
      </c>
      <c r="GUI220" s="53" t="s">
        <v>334</v>
      </c>
      <c r="GUJ220" s="2" t="s">
        <v>513</v>
      </c>
      <c r="GUK220" s="2" t="s">
        <v>25</v>
      </c>
      <c r="GUL220" s="2" t="s">
        <v>393</v>
      </c>
      <c r="GUM220" s="7">
        <v>-74.044305502618698</v>
      </c>
      <c r="GUN220" s="7">
        <v>4.6804459478222702</v>
      </c>
      <c r="GUO220" s="2" t="s">
        <v>357</v>
      </c>
      <c r="GUP220" s="2" t="s">
        <v>63</v>
      </c>
      <c r="GUQ220" s="2" t="s">
        <v>83</v>
      </c>
      <c r="GUR220" s="2" t="s">
        <v>63</v>
      </c>
      <c r="GUS220" s="24">
        <v>434</v>
      </c>
      <c r="GUT220" s="5">
        <v>46174</v>
      </c>
      <c r="GUU220" s="5">
        <v>46174</v>
      </c>
      <c r="GUV220" s="30">
        <f t="shared" ref="GUV220" si="357">GUU220-GUT220</f>
        <v>0</v>
      </c>
      <c r="GUW220" s="5" t="s">
        <v>317</v>
      </c>
      <c r="GUX220" s="2" t="s">
        <v>22</v>
      </c>
      <c r="GUY220" s="53" t="s">
        <v>334</v>
      </c>
      <c r="GUZ220" s="2" t="s">
        <v>513</v>
      </c>
      <c r="GVA220" s="2" t="s">
        <v>25</v>
      </c>
      <c r="GVB220" s="2" t="s">
        <v>393</v>
      </c>
      <c r="GVC220" s="7">
        <v>-74.044305502618698</v>
      </c>
      <c r="GVD220" s="7">
        <v>4.6804459478222702</v>
      </c>
      <c r="GVE220" s="2" t="s">
        <v>357</v>
      </c>
      <c r="GVF220" s="2" t="s">
        <v>63</v>
      </c>
      <c r="GVG220" s="2" t="s">
        <v>83</v>
      </c>
      <c r="GVH220" s="2" t="s">
        <v>63</v>
      </c>
      <c r="GVI220" s="24">
        <v>434</v>
      </c>
      <c r="GVJ220" s="5">
        <v>46174</v>
      </c>
      <c r="GVK220" s="5">
        <v>46174</v>
      </c>
      <c r="GVL220" s="30">
        <f t="shared" ref="GVL220" si="358">GVK220-GVJ220</f>
        <v>0</v>
      </c>
      <c r="GVM220" s="5" t="s">
        <v>317</v>
      </c>
      <c r="GVN220" s="2" t="s">
        <v>22</v>
      </c>
      <c r="GVO220" s="53" t="s">
        <v>334</v>
      </c>
      <c r="GVP220" s="2" t="s">
        <v>513</v>
      </c>
      <c r="GVQ220" s="2" t="s">
        <v>25</v>
      </c>
      <c r="GVR220" s="2" t="s">
        <v>393</v>
      </c>
      <c r="GVS220" s="7">
        <v>-74.044305502618698</v>
      </c>
      <c r="GVT220" s="7">
        <v>4.6804459478222702</v>
      </c>
      <c r="GVU220" s="2" t="s">
        <v>357</v>
      </c>
      <c r="GVV220" s="2" t="s">
        <v>63</v>
      </c>
      <c r="GVW220" s="2" t="s">
        <v>83</v>
      </c>
      <c r="GVX220" s="2" t="s">
        <v>63</v>
      </c>
      <c r="GVY220" s="24">
        <v>434</v>
      </c>
      <c r="GVZ220" s="5">
        <v>46174</v>
      </c>
      <c r="GWA220" s="5">
        <v>46174</v>
      </c>
      <c r="GWB220" s="30">
        <f t="shared" ref="GWB220" si="359">GWA220-GVZ220</f>
        <v>0</v>
      </c>
      <c r="GWC220" s="5" t="s">
        <v>317</v>
      </c>
      <c r="GWD220" s="2" t="s">
        <v>22</v>
      </c>
      <c r="GWE220" s="53" t="s">
        <v>334</v>
      </c>
      <c r="GWF220" s="2" t="s">
        <v>513</v>
      </c>
      <c r="GWG220" s="2" t="s">
        <v>25</v>
      </c>
      <c r="GWH220" s="2" t="s">
        <v>393</v>
      </c>
      <c r="GWI220" s="7">
        <v>-74.044305502618698</v>
      </c>
      <c r="GWJ220" s="7">
        <v>4.6804459478222702</v>
      </c>
      <c r="GWK220" s="2" t="s">
        <v>357</v>
      </c>
      <c r="GWL220" s="2" t="s">
        <v>63</v>
      </c>
      <c r="GWM220" s="2" t="s">
        <v>83</v>
      </c>
      <c r="GWN220" s="2" t="s">
        <v>63</v>
      </c>
      <c r="GWO220" s="24">
        <v>434</v>
      </c>
      <c r="GWP220" s="5">
        <v>46174</v>
      </c>
      <c r="GWQ220" s="5">
        <v>46174</v>
      </c>
      <c r="GWR220" s="30">
        <f t="shared" ref="GWR220" si="360">GWQ220-GWP220</f>
        <v>0</v>
      </c>
      <c r="GWS220" s="5" t="s">
        <v>317</v>
      </c>
      <c r="GWT220" s="2" t="s">
        <v>22</v>
      </c>
      <c r="GWU220" s="53" t="s">
        <v>334</v>
      </c>
      <c r="GWV220" s="2" t="s">
        <v>513</v>
      </c>
      <c r="GWW220" s="2" t="s">
        <v>25</v>
      </c>
      <c r="GWX220" s="2" t="s">
        <v>393</v>
      </c>
      <c r="GWY220" s="7">
        <v>-74.044305502618698</v>
      </c>
      <c r="GWZ220" s="7">
        <v>4.6804459478222702</v>
      </c>
      <c r="GXA220" s="2" t="s">
        <v>357</v>
      </c>
      <c r="GXB220" s="2" t="s">
        <v>63</v>
      </c>
      <c r="GXC220" s="2" t="s">
        <v>83</v>
      </c>
      <c r="GXD220" s="2" t="s">
        <v>63</v>
      </c>
      <c r="GXE220" s="24">
        <v>434</v>
      </c>
      <c r="GXF220" s="5">
        <v>46174</v>
      </c>
      <c r="GXG220" s="5">
        <v>46174</v>
      </c>
      <c r="GXH220" s="30">
        <f t="shared" ref="GXH220" si="361">GXG220-GXF220</f>
        <v>0</v>
      </c>
      <c r="GXI220" s="5" t="s">
        <v>317</v>
      </c>
      <c r="GXJ220" s="2" t="s">
        <v>22</v>
      </c>
      <c r="GXK220" s="53" t="s">
        <v>334</v>
      </c>
      <c r="GXL220" s="2" t="s">
        <v>513</v>
      </c>
      <c r="GXM220" s="2" t="s">
        <v>25</v>
      </c>
      <c r="GXN220" s="2" t="s">
        <v>393</v>
      </c>
      <c r="GXO220" s="7">
        <v>-74.044305502618698</v>
      </c>
      <c r="GXP220" s="7">
        <v>4.6804459478222702</v>
      </c>
      <c r="GXQ220" s="2" t="s">
        <v>357</v>
      </c>
      <c r="GXR220" s="2" t="s">
        <v>63</v>
      </c>
      <c r="GXS220" s="2" t="s">
        <v>83</v>
      </c>
      <c r="GXT220" s="2" t="s">
        <v>63</v>
      </c>
      <c r="GXU220" s="24">
        <v>434</v>
      </c>
      <c r="GXV220" s="5">
        <v>46174</v>
      </c>
      <c r="GXW220" s="5">
        <v>46174</v>
      </c>
      <c r="GXX220" s="30">
        <f t="shared" ref="GXX220" si="362">GXW220-GXV220</f>
        <v>0</v>
      </c>
      <c r="GXY220" s="5" t="s">
        <v>317</v>
      </c>
      <c r="GXZ220" s="2" t="s">
        <v>22</v>
      </c>
      <c r="GYA220" s="53" t="s">
        <v>334</v>
      </c>
      <c r="GYB220" s="2" t="s">
        <v>513</v>
      </c>
      <c r="GYC220" s="2" t="s">
        <v>25</v>
      </c>
      <c r="GYD220" s="2" t="s">
        <v>393</v>
      </c>
      <c r="GYE220" s="7">
        <v>-74.044305502618698</v>
      </c>
      <c r="GYF220" s="7">
        <v>4.6804459478222702</v>
      </c>
      <c r="GYG220" s="2" t="s">
        <v>357</v>
      </c>
      <c r="GYH220" s="2" t="s">
        <v>63</v>
      </c>
      <c r="GYI220" s="2" t="s">
        <v>83</v>
      </c>
      <c r="GYJ220" s="2" t="s">
        <v>63</v>
      </c>
      <c r="GYK220" s="24">
        <v>434</v>
      </c>
      <c r="GYL220" s="5">
        <v>46174</v>
      </c>
      <c r="GYM220" s="5">
        <v>46174</v>
      </c>
      <c r="GYN220" s="30">
        <f t="shared" ref="GYN220" si="363">GYM220-GYL220</f>
        <v>0</v>
      </c>
      <c r="GYO220" s="5" t="s">
        <v>317</v>
      </c>
      <c r="GYP220" s="2" t="s">
        <v>22</v>
      </c>
      <c r="GYQ220" s="53" t="s">
        <v>334</v>
      </c>
      <c r="GYR220" s="2" t="s">
        <v>513</v>
      </c>
      <c r="GYS220" s="2" t="s">
        <v>25</v>
      </c>
      <c r="GYT220" s="2" t="s">
        <v>393</v>
      </c>
      <c r="GYU220" s="7">
        <v>-74.044305502618698</v>
      </c>
      <c r="GYV220" s="7">
        <v>4.6804459478222702</v>
      </c>
      <c r="GYW220" s="2" t="s">
        <v>357</v>
      </c>
      <c r="GYX220" s="2" t="s">
        <v>63</v>
      </c>
      <c r="GYY220" s="2" t="s">
        <v>83</v>
      </c>
      <c r="GYZ220" s="2" t="s">
        <v>63</v>
      </c>
      <c r="GZA220" s="24">
        <v>434</v>
      </c>
      <c r="GZB220" s="5">
        <v>46174</v>
      </c>
      <c r="GZC220" s="5">
        <v>46174</v>
      </c>
      <c r="GZD220" s="30">
        <f t="shared" ref="GZD220" si="364">GZC220-GZB220</f>
        <v>0</v>
      </c>
      <c r="GZE220" s="5" t="s">
        <v>317</v>
      </c>
      <c r="GZF220" s="2" t="s">
        <v>22</v>
      </c>
      <c r="GZG220" s="53" t="s">
        <v>334</v>
      </c>
      <c r="GZH220" s="2" t="s">
        <v>513</v>
      </c>
      <c r="GZI220" s="2" t="s">
        <v>25</v>
      </c>
      <c r="GZJ220" s="2" t="s">
        <v>393</v>
      </c>
      <c r="GZK220" s="7">
        <v>-74.044305502618698</v>
      </c>
      <c r="GZL220" s="7">
        <v>4.6804459478222702</v>
      </c>
      <c r="GZM220" s="2" t="s">
        <v>357</v>
      </c>
      <c r="GZN220" s="2" t="s">
        <v>63</v>
      </c>
      <c r="GZO220" s="2" t="s">
        <v>83</v>
      </c>
      <c r="GZP220" s="2" t="s">
        <v>63</v>
      </c>
      <c r="GZQ220" s="24">
        <v>434</v>
      </c>
      <c r="GZR220" s="5">
        <v>46174</v>
      </c>
      <c r="GZS220" s="5">
        <v>46174</v>
      </c>
      <c r="GZT220" s="30">
        <f t="shared" ref="GZT220" si="365">GZS220-GZR220</f>
        <v>0</v>
      </c>
      <c r="GZU220" s="5" t="s">
        <v>317</v>
      </c>
      <c r="GZV220" s="2" t="s">
        <v>22</v>
      </c>
      <c r="GZW220" s="53" t="s">
        <v>334</v>
      </c>
      <c r="GZX220" s="2" t="s">
        <v>513</v>
      </c>
      <c r="GZY220" s="2" t="s">
        <v>25</v>
      </c>
      <c r="GZZ220" s="2" t="s">
        <v>393</v>
      </c>
      <c r="HAA220" s="7">
        <v>-74.044305502618698</v>
      </c>
      <c r="HAB220" s="7">
        <v>4.6804459478222702</v>
      </c>
      <c r="HAC220" s="2" t="s">
        <v>357</v>
      </c>
      <c r="HAD220" s="2" t="s">
        <v>63</v>
      </c>
      <c r="HAE220" s="2" t="s">
        <v>83</v>
      </c>
      <c r="HAF220" s="2" t="s">
        <v>63</v>
      </c>
      <c r="HAG220" s="24">
        <v>434</v>
      </c>
      <c r="HAH220" s="5">
        <v>46174</v>
      </c>
      <c r="HAI220" s="5">
        <v>46174</v>
      </c>
      <c r="HAJ220" s="30">
        <f t="shared" ref="HAJ220" si="366">HAI220-HAH220</f>
        <v>0</v>
      </c>
      <c r="HAK220" s="5" t="s">
        <v>317</v>
      </c>
      <c r="HAL220" s="2" t="s">
        <v>22</v>
      </c>
      <c r="HAM220" s="53" t="s">
        <v>334</v>
      </c>
      <c r="HAN220" s="2" t="s">
        <v>513</v>
      </c>
      <c r="HAO220" s="2" t="s">
        <v>25</v>
      </c>
      <c r="HAP220" s="2" t="s">
        <v>393</v>
      </c>
      <c r="HAQ220" s="7">
        <v>-74.044305502618698</v>
      </c>
      <c r="HAR220" s="7">
        <v>4.6804459478222702</v>
      </c>
      <c r="HAS220" s="2" t="s">
        <v>357</v>
      </c>
      <c r="HAT220" s="2" t="s">
        <v>63</v>
      </c>
      <c r="HAU220" s="2" t="s">
        <v>83</v>
      </c>
      <c r="HAV220" s="2" t="s">
        <v>63</v>
      </c>
      <c r="HAW220" s="24">
        <v>434</v>
      </c>
      <c r="HAX220" s="5">
        <v>46174</v>
      </c>
      <c r="HAY220" s="5">
        <v>46174</v>
      </c>
      <c r="HAZ220" s="30">
        <f t="shared" ref="HAZ220" si="367">HAY220-HAX220</f>
        <v>0</v>
      </c>
      <c r="HBA220" s="5" t="s">
        <v>317</v>
      </c>
      <c r="HBB220" s="2" t="s">
        <v>22</v>
      </c>
      <c r="HBC220" s="53" t="s">
        <v>334</v>
      </c>
      <c r="HBD220" s="2" t="s">
        <v>513</v>
      </c>
      <c r="HBE220" s="2" t="s">
        <v>25</v>
      </c>
      <c r="HBF220" s="2" t="s">
        <v>393</v>
      </c>
      <c r="HBG220" s="7">
        <v>-74.044305502618698</v>
      </c>
      <c r="HBH220" s="7">
        <v>4.6804459478222702</v>
      </c>
      <c r="HBI220" s="2" t="s">
        <v>357</v>
      </c>
      <c r="HBJ220" s="2" t="s">
        <v>63</v>
      </c>
      <c r="HBK220" s="2" t="s">
        <v>83</v>
      </c>
      <c r="HBL220" s="2" t="s">
        <v>63</v>
      </c>
      <c r="HBM220" s="24">
        <v>434</v>
      </c>
      <c r="HBN220" s="5">
        <v>46174</v>
      </c>
      <c r="HBO220" s="5">
        <v>46174</v>
      </c>
      <c r="HBP220" s="30">
        <f t="shared" ref="HBP220" si="368">HBO220-HBN220</f>
        <v>0</v>
      </c>
      <c r="HBQ220" s="5" t="s">
        <v>317</v>
      </c>
      <c r="HBR220" s="2" t="s">
        <v>22</v>
      </c>
      <c r="HBS220" s="53" t="s">
        <v>334</v>
      </c>
      <c r="HBT220" s="2" t="s">
        <v>513</v>
      </c>
      <c r="HBU220" s="2" t="s">
        <v>25</v>
      </c>
      <c r="HBV220" s="2" t="s">
        <v>393</v>
      </c>
      <c r="HBW220" s="7">
        <v>-74.044305502618698</v>
      </c>
      <c r="HBX220" s="7">
        <v>4.6804459478222702</v>
      </c>
      <c r="HBY220" s="2" t="s">
        <v>357</v>
      </c>
      <c r="HBZ220" s="2" t="s">
        <v>63</v>
      </c>
      <c r="HCA220" s="2" t="s">
        <v>83</v>
      </c>
      <c r="HCB220" s="2" t="s">
        <v>63</v>
      </c>
      <c r="HCC220" s="24">
        <v>434</v>
      </c>
      <c r="HCD220" s="5">
        <v>46174</v>
      </c>
      <c r="HCE220" s="5">
        <v>46174</v>
      </c>
      <c r="HCF220" s="30">
        <f t="shared" ref="HCF220" si="369">HCE220-HCD220</f>
        <v>0</v>
      </c>
      <c r="HCG220" s="5" t="s">
        <v>317</v>
      </c>
      <c r="HCH220" s="2" t="s">
        <v>22</v>
      </c>
      <c r="HCI220" s="53" t="s">
        <v>334</v>
      </c>
      <c r="HCJ220" s="2" t="s">
        <v>513</v>
      </c>
      <c r="HCK220" s="2" t="s">
        <v>25</v>
      </c>
      <c r="HCL220" s="2" t="s">
        <v>393</v>
      </c>
      <c r="HCM220" s="7">
        <v>-74.044305502618698</v>
      </c>
      <c r="HCN220" s="7">
        <v>4.6804459478222702</v>
      </c>
      <c r="HCO220" s="2" t="s">
        <v>357</v>
      </c>
      <c r="HCP220" s="2" t="s">
        <v>63</v>
      </c>
      <c r="HCQ220" s="2" t="s">
        <v>83</v>
      </c>
      <c r="HCR220" s="2" t="s">
        <v>63</v>
      </c>
      <c r="HCS220" s="24">
        <v>434</v>
      </c>
      <c r="HCT220" s="5">
        <v>46174</v>
      </c>
      <c r="HCU220" s="5">
        <v>46174</v>
      </c>
      <c r="HCV220" s="30">
        <f t="shared" ref="HCV220" si="370">HCU220-HCT220</f>
        <v>0</v>
      </c>
      <c r="HCW220" s="5" t="s">
        <v>317</v>
      </c>
      <c r="HCX220" s="2" t="s">
        <v>22</v>
      </c>
      <c r="HCY220" s="53" t="s">
        <v>334</v>
      </c>
      <c r="HCZ220" s="2" t="s">
        <v>513</v>
      </c>
      <c r="HDA220" s="2" t="s">
        <v>25</v>
      </c>
      <c r="HDB220" s="2" t="s">
        <v>393</v>
      </c>
      <c r="HDC220" s="7">
        <v>-74.044305502618698</v>
      </c>
      <c r="HDD220" s="7">
        <v>4.6804459478222702</v>
      </c>
      <c r="HDE220" s="2" t="s">
        <v>357</v>
      </c>
      <c r="HDF220" s="2" t="s">
        <v>63</v>
      </c>
      <c r="HDG220" s="2" t="s">
        <v>83</v>
      </c>
      <c r="HDH220" s="2" t="s">
        <v>63</v>
      </c>
      <c r="HDI220" s="24">
        <v>434</v>
      </c>
      <c r="HDJ220" s="5">
        <v>46174</v>
      </c>
      <c r="HDK220" s="5">
        <v>46174</v>
      </c>
      <c r="HDL220" s="30">
        <f t="shared" ref="HDL220" si="371">HDK220-HDJ220</f>
        <v>0</v>
      </c>
      <c r="HDM220" s="5" t="s">
        <v>317</v>
      </c>
      <c r="HDN220" s="2" t="s">
        <v>22</v>
      </c>
      <c r="HDO220" s="53" t="s">
        <v>334</v>
      </c>
      <c r="HDP220" s="2" t="s">
        <v>513</v>
      </c>
      <c r="HDQ220" s="2" t="s">
        <v>25</v>
      </c>
      <c r="HDR220" s="2" t="s">
        <v>393</v>
      </c>
      <c r="HDS220" s="7">
        <v>-74.044305502618698</v>
      </c>
      <c r="HDT220" s="7">
        <v>4.6804459478222702</v>
      </c>
      <c r="HDU220" s="2" t="s">
        <v>357</v>
      </c>
      <c r="HDV220" s="2" t="s">
        <v>63</v>
      </c>
      <c r="HDW220" s="2" t="s">
        <v>83</v>
      </c>
      <c r="HDX220" s="2" t="s">
        <v>63</v>
      </c>
      <c r="HDY220" s="24">
        <v>434</v>
      </c>
      <c r="HDZ220" s="5">
        <v>46174</v>
      </c>
      <c r="HEA220" s="5">
        <v>46174</v>
      </c>
      <c r="HEB220" s="30">
        <f t="shared" ref="HEB220" si="372">HEA220-HDZ220</f>
        <v>0</v>
      </c>
      <c r="HEC220" s="5" t="s">
        <v>317</v>
      </c>
      <c r="HED220" s="2" t="s">
        <v>22</v>
      </c>
      <c r="HEE220" s="53" t="s">
        <v>334</v>
      </c>
      <c r="HEF220" s="2" t="s">
        <v>513</v>
      </c>
      <c r="HEG220" s="2" t="s">
        <v>25</v>
      </c>
      <c r="HEH220" s="2" t="s">
        <v>393</v>
      </c>
      <c r="HEI220" s="7">
        <v>-74.044305502618698</v>
      </c>
      <c r="HEJ220" s="7">
        <v>4.6804459478222702</v>
      </c>
      <c r="HEK220" s="2" t="s">
        <v>357</v>
      </c>
      <c r="HEL220" s="2" t="s">
        <v>63</v>
      </c>
      <c r="HEM220" s="2" t="s">
        <v>83</v>
      </c>
      <c r="HEN220" s="2" t="s">
        <v>63</v>
      </c>
      <c r="HEO220" s="24">
        <v>434</v>
      </c>
      <c r="HEP220" s="5">
        <v>46174</v>
      </c>
      <c r="HEQ220" s="5">
        <v>46174</v>
      </c>
      <c r="HER220" s="30">
        <f t="shared" ref="HER220" si="373">HEQ220-HEP220</f>
        <v>0</v>
      </c>
      <c r="HES220" s="5" t="s">
        <v>317</v>
      </c>
      <c r="HET220" s="2" t="s">
        <v>22</v>
      </c>
      <c r="HEU220" s="53" t="s">
        <v>334</v>
      </c>
      <c r="HEV220" s="2" t="s">
        <v>513</v>
      </c>
      <c r="HEW220" s="2" t="s">
        <v>25</v>
      </c>
      <c r="HEX220" s="2" t="s">
        <v>393</v>
      </c>
      <c r="HEY220" s="7">
        <v>-74.044305502618698</v>
      </c>
      <c r="HEZ220" s="7">
        <v>4.6804459478222702</v>
      </c>
      <c r="HFA220" s="2" t="s">
        <v>357</v>
      </c>
      <c r="HFB220" s="2" t="s">
        <v>63</v>
      </c>
      <c r="HFC220" s="2" t="s">
        <v>83</v>
      </c>
      <c r="HFD220" s="2" t="s">
        <v>63</v>
      </c>
      <c r="HFE220" s="24">
        <v>434</v>
      </c>
      <c r="HFF220" s="5">
        <v>46174</v>
      </c>
      <c r="HFG220" s="5">
        <v>46174</v>
      </c>
      <c r="HFH220" s="30">
        <f t="shared" ref="HFH220" si="374">HFG220-HFF220</f>
        <v>0</v>
      </c>
      <c r="HFI220" s="5" t="s">
        <v>317</v>
      </c>
      <c r="HFJ220" s="2" t="s">
        <v>22</v>
      </c>
      <c r="HFK220" s="53" t="s">
        <v>334</v>
      </c>
      <c r="HFL220" s="2" t="s">
        <v>513</v>
      </c>
      <c r="HFM220" s="2" t="s">
        <v>25</v>
      </c>
      <c r="HFN220" s="2" t="s">
        <v>393</v>
      </c>
      <c r="HFO220" s="7">
        <v>-74.044305502618698</v>
      </c>
      <c r="HFP220" s="7">
        <v>4.6804459478222702</v>
      </c>
      <c r="HFQ220" s="2" t="s">
        <v>357</v>
      </c>
      <c r="HFR220" s="2" t="s">
        <v>63</v>
      </c>
      <c r="HFS220" s="2" t="s">
        <v>83</v>
      </c>
      <c r="HFT220" s="2" t="s">
        <v>63</v>
      </c>
      <c r="HFU220" s="24">
        <v>434</v>
      </c>
      <c r="HFV220" s="5">
        <v>46174</v>
      </c>
      <c r="HFW220" s="5">
        <v>46174</v>
      </c>
      <c r="HFX220" s="30">
        <f t="shared" ref="HFX220" si="375">HFW220-HFV220</f>
        <v>0</v>
      </c>
      <c r="HFY220" s="5" t="s">
        <v>317</v>
      </c>
      <c r="HFZ220" s="2" t="s">
        <v>22</v>
      </c>
      <c r="HGA220" s="53" t="s">
        <v>334</v>
      </c>
      <c r="HGB220" s="2" t="s">
        <v>513</v>
      </c>
      <c r="HGC220" s="2" t="s">
        <v>25</v>
      </c>
      <c r="HGD220" s="2" t="s">
        <v>393</v>
      </c>
      <c r="HGE220" s="7">
        <v>-74.044305502618698</v>
      </c>
      <c r="HGF220" s="7">
        <v>4.6804459478222702</v>
      </c>
      <c r="HGG220" s="2" t="s">
        <v>357</v>
      </c>
      <c r="HGH220" s="2" t="s">
        <v>63</v>
      </c>
      <c r="HGI220" s="2" t="s">
        <v>83</v>
      </c>
      <c r="HGJ220" s="2" t="s">
        <v>63</v>
      </c>
      <c r="HGK220" s="24">
        <v>434</v>
      </c>
      <c r="HGL220" s="5">
        <v>46174</v>
      </c>
      <c r="HGM220" s="5">
        <v>46174</v>
      </c>
      <c r="HGN220" s="30">
        <f t="shared" ref="HGN220" si="376">HGM220-HGL220</f>
        <v>0</v>
      </c>
      <c r="HGO220" s="5" t="s">
        <v>317</v>
      </c>
      <c r="HGP220" s="2" t="s">
        <v>22</v>
      </c>
      <c r="HGQ220" s="53" t="s">
        <v>334</v>
      </c>
      <c r="HGR220" s="2" t="s">
        <v>513</v>
      </c>
      <c r="HGS220" s="2" t="s">
        <v>25</v>
      </c>
      <c r="HGT220" s="2" t="s">
        <v>393</v>
      </c>
      <c r="HGU220" s="7">
        <v>-74.044305502618698</v>
      </c>
      <c r="HGV220" s="7">
        <v>4.6804459478222702</v>
      </c>
      <c r="HGW220" s="2" t="s">
        <v>357</v>
      </c>
      <c r="HGX220" s="2" t="s">
        <v>63</v>
      </c>
      <c r="HGY220" s="2" t="s">
        <v>83</v>
      </c>
      <c r="HGZ220" s="2" t="s">
        <v>63</v>
      </c>
      <c r="HHA220" s="24">
        <v>434</v>
      </c>
      <c r="HHB220" s="5">
        <v>46174</v>
      </c>
      <c r="HHC220" s="5">
        <v>46174</v>
      </c>
      <c r="HHD220" s="30">
        <f t="shared" ref="HHD220" si="377">HHC220-HHB220</f>
        <v>0</v>
      </c>
      <c r="HHE220" s="5" t="s">
        <v>317</v>
      </c>
      <c r="HHF220" s="2" t="s">
        <v>22</v>
      </c>
      <c r="HHG220" s="53" t="s">
        <v>334</v>
      </c>
      <c r="HHH220" s="2" t="s">
        <v>513</v>
      </c>
      <c r="HHI220" s="2" t="s">
        <v>25</v>
      </c>
      <c r="HHJ220" s="2" t="s">
        <v>393</v>
      </c>
      <c r="HHK220" s="7">
        <v>-74.044305502618698</v>
      </c>
      <c r="HHL220" s="7">
        <v>4.6804459478222702</v>
      </c>
      <c r="HHM220" s="2" t="s">
        <v>357</v>
      </c>
      <c r="HHN220" s="2" t="s">
        <v>63</v>
      </c>
      <c r="HHO220" s="2" t="s">
        <v>83</v>
      </c>
      <c r="HHP220" s="2" t="s">
        <v>63</v>
      </c>
      <c r="HHQ220" s="24">
        <v>434</v>
      </c>
      <c r="HHR220" s="5">
        <v>46174</v>
      </c>
      <c r="HHS220" s="5">
        <v>46174</v>
      </c>
      <c r="HHT220" s="30">
        <f t="shared" ref="HHT220" si="378">HHS220-HHR220</f>
        <v>0</v>
      </c>
      <c r="HHU220" s="5" t="s">
        <v>317</v>
      </c>
      <c r="HHV220" s="2" t="s">
        <v>22</v>
      </c>
      <c r="HHW220" s="53" t="s">
        <v>334</v>
      </c>
      <c r="HHX220" s="2" t="s">
        <v>513</v>
      </c>
      <c r="HHY220" s="2" t="s">
        <v>25</v>
      </c>
      <c r="HHZ220" s="2" t="s">
        <v>393</v>
      </c>
      <c r="HIA220" s="7">
        <v>-74.044305502618698</v>
      </c>
      <c r="HIB220" s="7">
        <v>4.6804459478222702</v>
      </c>
      <c r="HIC220" s="2" t="s">
        <v>357</v>
      </c>
      <c r="HID220" s="2" t="s">
        <v>63</v>
      </c>
      <c r="HIE220" s="2" t="s">
        <v>83</v>
      </c>
      <c r="HIF220" s="2" t="s">
        <v>63</v>
      </c>
      <c r="HIG220" s="24">
        <v>434</v>
      </c>
      <c r="HIH220" s="5">
        <v>46174</v>
      </c>
      <c r="HII220" s="5">
        <v>46174</v>
      </c>
      <c r="HIJ220" s="30">
        <f t="shared" ref="HIJ220" si="379">HII220-HIH220</f>
        <v>0</v>
      </c>
      <c r="HIK220" s="5" t="s">
        <v>317</v>
      </c>
      <c r="HIL220" s="2" t="s">
        <v>22</v>
      </c>
      <c r="HIM220" s="53" t="s">
        <v>334</v>
      </c>
      <c r="HIN220" s="2" t="s">
        <v>513</v>
      </c>
      <c r="HIO220" s="2" t="s">
        <v>25</v>
      </c>
      <c r="HIP220" s="2" t="s">
        <v>393</v>
      </c>
      <c r="HIQ220" s="7">
        <v>-74.044305502618698</v>
      </c>
      <c r="HIR220" s="7">
        <v>4.6804459478222702</v>
      </c>
      <c r="HIS220" s="2" t="s">
        <v>357</v>
      </c>
      <c r="HIT220" s="2" t="s">
        <v>63</v>
      </c>
      <c r="HIU220" s="2" t="s">
        <v>83</v>
      </c>
      <c r="HIV220" s="2" t="s">
        <v>63</v>
      </c>
      <c r="HIW220" s="24">
        <v>434</v>
      </c>
      <c r="HIX220" s="5">
        <v>46174</v>
      </c>
      <c r="HIY220" s="5">
        <v>46174</v>
      </c>
      <c r="HIZ220" s="30">
        <f t="shared" ref="HIZ220" si="380">HIY220-HIX220</f>
        <v>0</v>
      </c>
      <c r="HJA220" s="5" t="s">
        <v>317</v>
      </c>
      <c r="HJB220" s="2" t="s">
        <v>22</v>
      </c>
      <c r="HJC220" s="53" t="s">
        <v>334</v>
      </c>
      <c r="HJD220" s="2" t="s">
        <v>513</v>
      </c>
      <c r="HJE220" s="2" t="s">
        <v>25</v>
      </c>
      <c r="HJF220" s="2" t="s">
        <v>393</v>
      </c>
      <c r="HJG220" s="7">
        <v>-74.044305502618698</v>
      </c>
      <c r="HJH220" s="7">
        <v>4.6804459478222702</v>
      </c>
      <c r="HJI220" s="2" t="s">
        <v>357</v>
      </c>
      <c r="HJJ220" s="2" t="s">
        <v>63</v>
      </c>
      <c r="HJK220" s="2" t="s">
        <v>83</v>
      </c>
      <c r="HJL220" s="2" t="s">
        <v>63</v>
      </c>
      <c r="HJM220" s="24">
        <v>434</v>
      </c>
      <c r="HJN220" s="5">
        <v>46174</v>
      </c>
      <c r="HJO220" s="5">
        <v>46174</v>
      </c>
      <c r="HJP220" s="30">
        <f t="shared" ref="HJP220" si="381">HJO220-HJN220</f>
        <v>0</v>
      </c>
      <c r="HJQ220" s="5" t="s">
        <v>317</v>
      </c>
      <c r="HJR220" s="2" t="s">
        <v>22</v>
      </c>
      <c r="HJS220" s="53" t="s">
        <v>334</v>
      </c>
      <c r="HJT220" s="2" t="s">
        <v>513</v>
      </c>
      <c r="HJU220" s="2" t="s">
        <v>25</v>
      </c>
      <c r="HJV220" s="2" t="s">
        <v>393</v>
      </c>
      <c r="HJW220" s="7">
        <v>-74.044305502618698</v>
      </c>
      <c r="HJX220" s="7">
        <v>4.6804459478222702</v>
      </c>
      <c r="HJY220" s="2" t="s">
        <v>357</v>
      </c>
      <c r="HJZ220" s="2" t="s">
        <v>63</v>
      </c>
      <c r="HKA220" s="2" t="s">
        <v>83</v>
      </c>
      <c r="HKB220" s="2" t="s">
        <v>63</v>
      </c>
      <c r="HKC220" s="24">
        <v>434</v>
      </c>
      <c r="HKD220" s="5">
        <v>46174</v>
      </c>
      <c r="HKE220" s="5">
        <v>46174</v>
      </c>
      <c r="HKF220" s="30">
        <f t="shared" ref="HKF220" si="382">HKE220-HKD220</f>
        <v>0</v>
      </c>
      <c r="HKG220" s="5" t="s">
        <v>317</v>
      </c>
      <c r="HKH220" s="2" t="s">
        <v>22</v>
      </c>
      <c r="HKI220" s="53" t="s">
        <v>334</v>
      </c>
      <c r="HKJ220" s="2" t="s">
        <v>513</v>
      </c>
      <c r="HKK220" s="2" t="s">
        <v>25</v>
      </c>
      <c r="HKL220" s="2" t="s">
        <v>393</v>
      </c>
      <c r="HKM220" s="7">
        <v>-74.044305502618698</v>
      </c>
      <c r="HKN220" s="7">
        <v>4.6804459478222702</v>
      </c>
      <c r="HKO220" s="2" t="s">
        <v>357</v>
      </c>
      <c r="HKP220" s="2" t="s">
        <v>63</v>
      </c>
      <c r="HKQ220" s="2" t="s">
        <v>83</v>
      </c>
      <c r="HKR220" s="2" t="s">
        <v>63</v>
      </c>
      <c r="HKS220" s="24">
        <v>434</v>
      </c>
      <c r="HKT220" s="5">
        <v>46174</v>
      </c>
      <c r="HKU220" s="5">
        <v>46174</v>
      </c>
      <c r="HKV220" s="30">
        <f t="shared" ref="HKV220" si="383">HKU220-HKT220</f>
        <v>0</v>
      </c>
      <c r="HKW220" s="5" t="s">
        <v>317</v>
      </c>
      <c r="HKX220" s="2" t="s">
        <v>22</v>
      </c>
      <c r="HKY220" s="53" t="s">
        <v>334</v>
      </c>
      <c r="HKZ220" s="2" t="s">
        <v>513</v>
      </c>
      <c r="HLA220" s="2" t="s">
        <v>25</v>
      </c>
      <c r="HLB220" s="2" t="s">
        <v>393</v>
      </c>
      <c r="HLC220" s="7">
        <v>-74.044305502618698</v>
      </c>
      <c r="HLD220" s="7">
        <v>4.6804459478222702</v>
      </c>
      <c r="HLE220" s="2" t="s">
        <v>357</v>
      </c>
      <c r="HLF220" s="2" t="s">
        <v>63</v>
      </c>
      <c r="HLG220" s="2" t="s">
        <v>83</v>
      </c>
      <c r="HLH220" s="2" t="s">
        <v>63</v>
      </c>
      <c r="HLI220" s="24">
        <v>434</v>
      </c>
      <c r="HLJ220" s="5">
        <v>46174</v>
      </c>
      <c r="HLK220" s="5">
        <v>46174</v>
      </c>
      <c r="HLL220" s="30">
        <f t="shared" ref="HLL220" si="384">HLK220-HLJ220</f>
        <v>0</v>
      </c>
      <c r="HLM220" s="5" t="s">
        <v>317</v>
      </c>
      <c r="HLN220" s="2" t="s">
        <v>22</v>
      </c>
      <c r="HLO220" s="53" t="s">
        <v>334</v>
      </c>
      <c r="HLP220" s="2" t="s">
        <v>513</v>
      </c>
      <c r="HLQ220" s="2" t="s">
        <v>25</v>
      </c>
      <c r="HLR220" s="2" t="s">
        <v>393</v>
      </c>
      <c r="HLS220" s="7">
        <v>-74.044305502618698</v>
      </c>
      <c r="HLT220" s="7">
        <v>4.6804459478222702</v>
      </c>
      <c r="HLU220" s="2" t="s">
        <v>357</v>
      </c>
      <c r="HLV220" s="2" t="s">
        <v>63</v>
      </c>
      <c r="HLW220" s="2" t="s">
        <v>83</v>
      </c>
      <c r="HLX220" s="2" t="s">
        <v>63</v>
      </c>
      <c r="HLY220" s="24">
        <v>434</v>
      </c>
      <c r="HLZ220" s="5">
        <v>46174</v>
      </c>
      <c r="HMA220" s="5">
        <v>46174</v>
      </c>
      <c r="HMB220" s="30">
        <f t="shared" ref="HMB220" si="385">HMA220-HLZ220</f>
        <v>0</v>
      </c>
      <c r="HMC220" s="5" t="s">
        <v>317</v>
      </c>
      <c r="HMD220" s="2" t="s">
        <v>22</v>
      </c>
      <c r="HME220" s="53" t="s">
        <v>334</v>
      </c>
      <c r="HMF220" s="2" t="s">
        <v>513</v>
      </c>
      <c r="HMG220" s="2" t="s">
        <v>25</v>
      </c>
      <c r="HMH220" s="2" t="s">
        <v>393</v>
      </c>
      <c r="HMI220" s="7">
        <v>-74.044305502618698</v>
      </c>
      <c r="HMJ220" s="7">
        <v>4.6804459478222702</v>
      </c>
      <c r="HMK220" s="2" t="s">
        <v>357</v>
      </c>
      <c r="HML220" s="2" t="s">
        <v>63</v>
      </c>
      <c r="HMM220" s="2" t="s">
        <v>83</v>
      </c>
      <c r="HMN220" s="2" t="s">
        <v>63</v>
      </c>
      <c r="HMO220" s="24">
        <v>434</v>
      </c>
      <c r="HMP220" s="5">
        <v>46174</v>
      </c>
      <c r="HMQ220" s="5">
        <v>46174</v>
      </c>
      <c r="HMR220" s="30">
        <f t="shared" ref="HMR220" si="386">HMQ220-HMP220</f>
        <v>0</v>
      </c>
      <c r="HMS220" s="5" t="s">
        <v>317</v>
      </c>
      <c r="HMT220" s="2" t="s">
        <v>22</v>
      </c>
      <c r="HMU220" s="53" t="s">
        <v>334</v>
      </c>
      <c r="HMV220" s="2" t="s">
        <v>513</v>
      </c>
      <c r="HMW220" s="2" t="s">
        <v>25</v>
      </c>
      <c r="HMX220" s="2" t="s">
        <v>393</v>
      </c>
      <c r="HMY220" s="7">
        <v>-74.044305502618698</v>
      </c>
      <c r="HMZ220" s="7">
        <v>4.6804459478222702</v>
      </c>
      <c r="HNA220" s="2" t="s">
        <v>357</v>
      </c>
      <c r="HNB220" s="2" t="s">
        <v>63</v>
      </c>
      <c r="HNC220" s="2" t="s">
        <v>83</v>
      </c>
      <c r="HND220" s="2" t="s">
        <v>63</v>
      </c>
      <c r="HNE220" s="24">
        <v>434</v>
      </c>
      <c r="HNF220" s="5">
        <v>46174</v>
      </c>
      <c r="HNG220" s="5">
        <v>46174</v>
      </c>
      <c r="HNH220" s="30">
        <f t="shared" ref="HNH220" si="387">HNG220-HNF220</f>
        <v>0</v>
      </c>
      <c r="HNI220" s="5" t="s">
        <v>317</v>
      </c>
      <c r="HNJ220" s="2" t="s">
        <v>22</v>
      </c>
      <c r="HNK220" s="53" t="s">
        <v>334</v>
      </c>
      <c r="HNL220" s="2" t="s">
        <v>513</v>
      </c>
      <c r="HNM220" s="2" t="s">
        <v>25</v>
      </c>
      <c r="HNN220" s="2" t="s">
        <v>393</v>
      </c>
      <c r="HNO220" s="7">
        <v>-74.044305502618698</v>
      </c>
      <c r="HNP220" s="7">
        <v>4.6804459478222702</v>
      </c>
      <c r="HNQ220" s="2" t="s">
        <v>357</v>
      </c>
      <c r="HNR220" s="2" t="s">
        <v>63</v>
      </c>
      <c r="HNS220" s="2" t="s">
        <v>83</v>
      </c>
      <c r="HNT220" s="2" t="s">
        <v>63</v>
      </c>
      <c r="HNU220" s="24">
        <v>434</v>
      </c>
      <c r="HNV220" s="5">
        <v>46174</v>
      </c>
      <c r="HNW220" s="5">
        <v>46174</v>
      </c>
      <c r="HNX220" s="30">
        <f t="shared" ref="HNX220" si="388">HNW220-HNV220</f>
        <v>0</v>
      </c>
      <c r="HNY220" s="5" t="s">
        <v>317</v>
      </c>
      <c r="HNZ220" s="2" t="s">
        <v>22</v>
      </c>
      <c r="HOA220" s="53" t="s">
        <v>334</v>
      </c>
      <c r="HOB220" s="2" t="s">
        <v>513</v>
      </c>
      <c r="HOC220" s="2" t="s">
        <v>25</v>
      </c>
      <c r="HOD220" s="2" t="s">
        <v>393</v>
      </c>
      <c r="HOE220" s="7">
        <v>-74.044305502618698</v>
      </c>
      <c r="HOF220" s="7">
        <v>4.6804459478222702</v>
      </c>
      <c r="HOG220" s="2" t="s">
        <v>357</v>
      </c>
      <c r="HOH220" s="2" t="s">
        <v>63</v>
      </c>
      <c r="HOI220" s="2" t="s">
        <v>83</v>
      </c>
      <c r="HOJ220" s="2" t="s">
        <v>63</v>
      </c>
      <c r="HOK220" s="24">
        <v>434</v>
      </c>
      <c r="HOL220" s="5">
        <v>46174</v>
      </c>
      <c r="HOM220" s="5">
        <v>46174</v>
      </c>
      <c r="HON220" s="30">
        <f t="shared" ref="HON220" si="389">HOM220-HOL220</f>
        <v>0</v>
      </c>
      <c r="HOO220" s="5" t="s">
        <v>317</v>
      </c>
      <c r="HOP220" s="2" t="s">
        <v>22</v>
      </c>
      <c r="HOQ220" s="53" t="s">
        <v>334</v>
      </c>
      <c r="HOR220" s="2" t="s">
        <v>513</v>
      </c>
      <c r="HOS220" s="2" t="s">
        <v>25</v>
      </c>
      <c r="HOT220" s="2" t="s">
        <v>393</v>
      </c>
      <c r="HOU220" s="7">
        <v>-74.044305502618698</v>
      </c>
      <c r="HOV220" s="7">
        <v>4.6804459478222702</v>
      </c>
      <c r="HOW220" s="2" t="s">
        <v>357</v>
      </c>
      <c r="HOX220" s="2" t="s">
        <v>63</v>
      </c>
      <c r="HOY220" s="2" t="s">
        <v>83</v>
      </c>
      <c r="HOZ220" s="2" t="s">
        <v>63</v>
      </c>
      <c r="HPA220" s="24">
        <v>434</v>
      </c>
      <c r="HPB220" s="5">
        <v>46174</v>
      </c>
      <c r="HPC220" s="5">
        <v>46174</v>
      </c>
      <c r="HPD220" s="30">
        <f t="shared" ref="HPD220" si="390">HPC220-HPB220</f>
        <v>0</v>
      </c>
      <c r="HPE220" s="5" t="s">
        <v>317</v>
      </c>
      <c r="HPF220" s="2" t="s">
        <v>22</v>
      </c>
      <c r="HPG220" s="53" t="s">
        <v>334</v>
      </c>
      <c r="HPH220" s="2" t="s">
        <v>513</v>
      </c>
      <c r="HPI220" s="2" t="s">
        <v>25</v>
      </c>
      <c r="HPJ220" s="2" t="s">
        <v>393</v>
      </c>
      <c r="HPK220" s="7">
        <v>-74.044305502618698</v>
      </c>
      <c r="HPL220" s="7">
        <v>4.6804459478222702</v>
      </c>
      <c r="HPM220" s="2" t="s">
        <v>357</v>
      </c>
      <c r="HPN220" s="2" t="s">
        <v>63</v>
      </c>
      <c r="HPO220" s="2" t="s">
        <v>83</v>
      </c>
      <c r="HPP220" s="2" t="s">
        <v>63</v>
      </c>
      <c r="HPQ220" s="24">
        <v>434</v>
      </c>
      <c r="HPR220" s="5">
        <v>46174</v>
      </c>
      <c r="HPS220" s="5">
        <v>46174</v>
      </c>
      <c r="HPT220" s="30">
        <f t="shared" ref="HPT220" si="391">HPS220-HPR220</f>
        <v>0</v>
      </c>
      <c r="HPU220" s="5" t="s">
        <v>317</v>
      </c>
      <c r="HPV220" s="2" t="s">
        <v>22</v>
      </c>
      <c r="HPW220" s="53" t="s">
        <v>334</v>
      </c>
      <c r="HPX220" s="2" t="s">
        <v>513</v>
      </c>
      <c r="HPY220" s="2" t="s">
        <v>25</v>
      </c>
      <c r="HPZ220" s="2" t="s">
        <v>393</v>
      </c>
      <c r="HQA220" s="7">
        <v>-74.044305502618698</v>
      </c>
      <c r="HQB220" s="7">
        <v>4.6804459478222702</v>
      </c>
      <c r="HQC220" s="2" t="s">
        <v>357</v>
      </c>
      <c r="HQD220" s="2" t="s">
        <v>63</v>
      </c>
      <c r="HQE220" s="2" t="s">
        <v>83</v>
      </c>
      <c r="HQF220" s="2" t="s">
        <v>63</v>
      </c>
      <c r="HQG220" s="24">
        <v>434</v>
      </c>
      <c r="HQH220" s="5">
        <v>46174</v>
      </c>
      <c r="HQI220" s="5">
        <v>46174</v>
      </c>
      <c r="HQJ220" s="30">
        <f t="shared" ref="HQJ220" si="392">HQI220-HQH220</f>
        <v>0</v>
      </c>
      <c r="HQK220" s="5" t="s">
        <v>317</v>
      </c>
      <c r="HQL220" s="2" t="s">
        <v>22</v>
      </c>
      <c r="HQM220" s="53" t="s">
        <v>334</v>
      </c>
      <c r="HQN220" s="2" t="s">
        <v>513</v>
      </c>
      <c r="HQO220" s="2" t="s">
        <v>25</v>
      </c>
      <c r="HQP220" s="2" t="s">
        <v>393</v>
      </c>
      <c r="HQQ220" s="7">
        <v>-74.044305502618698</v>
      </c>
      <c r="HQR220" s="7">
        <v>4.6804459478222702</v>
      </c>
      <c r="HQS220" s="2" t="s">
        <v>357</v>
      </c>
      <c r="HQT220" s="2" t="s">
        <v>63</v>
      </c>
      <c r="HQU220" s="2" t="s">
        <v>83</v>
      </c>
      <c r="HQV220" s="2" t="s">
        <v>63</v>
      </c>
      <c r="HQW220" s="24">
        <v>434</v>
      </c>
      <c r="HQX220" s="5">
        <v>46174</v>
      </c>
      <c r="HQY220" s="5">
        <v>46174</v>
      </c>
      <c r="HQZ220" s="30">
        <f t="shared" ref="HQZ220" si="393">HQY220-HQX220</f>
        <v>0</v>
      </c>
      <c r="HRA220" s="5" t="s">
        <v>317</v>
      </c>
      <c r="HRB220" s="2" t="s">
        <v>22</v>
      </c>
      <c r="HRC220" s="53" t="s">
        <v>334</v>
      </c>
      <c r="HRD220" s="2" t="s">
        <v>513</v>
      </c>
      <c r="HRE220" s="2" t="s">
        <v>25</v>
      </c>
      <c r="HRF220" s="2" t="s">
        <v>393</v>
      </c>
      <c r="HRG220" s="7">
        <v>-74.044305502618698</v>
      </c>
      <c r="HRH220" s="7">
        <v>4.6804459478222702</v>
      </c>
      <c r="HRI220" s="2" t="s">
        <v>357</v>
      </c>
      <c r="HRJ220" s="2" t="s">
        <v>63</v>
      </c>
      <c r="HRK220" s="2" t="s">
        <v>83</v>
      </c>
      <c r="HRL220" s="2" t="s">
        <v>63</v>
      </c>
      <c r="HRM220" s="24">
        <v>434</v>
      </c>
      <c r="HRN220" s="5">
        <v>46174</v>
      </c>
      <c r="HRO220" s="5">
        <v>46174</v>
      </c>
      <c r="HRP220" s="30">
        <f t="shared" ref="HRP220" si="394">HRO220-HRN220</f>
        <v>0</v>
      </c>
      <c r="HRQ220" s="5" t="s">
        <v>317</v>
      </c>
      <c r="HRR220" s="2" t="s">
        <v>22</v>
      </c>
      <c r="HRS220" s="53" t="s">
        <v>334</v>
      </c>
      <c r="HRT220" s="2" t="s">
        <v>513</v>
      </c>
      <c r="HRU220" s="2" t="s">
        <v>25</v>
      </c>
      <c r="HRV220" s="2" t="s">
        <v>393</v>
      </c>
      <c r="HRW220" s="7">
        <v>-74.044305502618698</v>
      </c>
      <c r="HRX220" s="7">
        <v>4.6804459478222702</v>
      </c>
      <c r="HRY220" s="2" t="s">
        <v>357</v>
      </c>
      <c r="HRZ220" s="2" t="s">
        <v>63</v>
      </c>
      <c r="HSA220" s="2" t="s">
        <v>83</v>
      </c>
      <c r="HSB220" s="2" t="s">
        <v>63</v>
      </c>
      <c r="HSC220" s="24">
        <v>434</v>
      </c>
      <c r="HSD220" s="5">
        <v>46174</v>
      </c>
      <c r="HSE220" s="5">
        <v>46174</v>
      </c>
      <c r="HSF220" s="30">
        <f t="shared" ref="HSF220" si="395">HSE220-HSD220</f>
        <v>0</v>
      </c>
      <c r="HSG220" s="5" t="s">
        <v>317</v>
      </c>
      <c r="HSH220" s="2" t="s">
        <v>22</v>
      </c>
      <c r="HSI220" s="53" t="s">
        <v>334</v>
      </c>
      <c r="HSJ220" s="2" t="s">
        <v>513</v>
      </c>
      <c r="HSK220" s="2" t="s">
        <v>25</v>
      </c>
      <c r="HSL220" s="2" t="s">
        <v>393</v>
      </c>
      <c r="HSM220" s="7">
        <v>-74.044305502618698</v>
      </c>
      <c r="HSN220" s="7">
        <v>4.6804459478222702</v>
      </c>
      <c r="HSO220" s="2" t="s">
        <v>357</v>
      </c>
      <c r="HSP220" s="2" t="s">
        <v>63</v>
      </c>
      <c r="HSQ220" s="2" t="s">
        <v>83</v>
      </c>
      <c r="HSR220" s="2" t="s">
        <v>63</v>
      </c>
      <c r="HSS220" s="24">
        <v>434</v>
      </c>
      <c r="HST220" s="5">
        <v>46174</v>
      </c>
      <c r="HSU220" s="5">
        <v>46174</v>
      </c>
      <c r="HSV220" s="30">
        <f t="shared" ref="HSV220" si="396">HSU220-HST220</f>
        <v>0</v>
      </c>
      <c r="HSW220" s="5" t="s">
        <v>317</v>
      </c>
      <c r="HSX220" s="2" t="s">
        <v>22</v>
      </c>
      <c r="HSY220" s="53" t="s">
        <v>334</v>
      </c>
      <c r="HSZ220" s="2" t="s">
        <v>513</v>
      </c>
      <c r="HTA220" s="2" t="s">
        <v>25</v>
      </c>
      <c r="HTB220" s="2" t="s">
        <v>393</v>
      </c>
      <c r="HTC220" s="7">
        <v>-74.044305502618698</v>
      </c>
      <c r="HTD220" s="7">
        <v>4.6804459478222702</v>
      </c>
      <c r="HTE220" s="2" t="s">
        <v>357</v>
      </c>
      <c r="HTF220" s="2" t="s">
        <v>63</v>
      </c>
      <c r="HTG220" s="2" t="s">
        <v>83</v>
      </c>
      <c r="HTH220" s="2" t="s">
        <v>63</v>
      </c>
      <c r="HTI220" s="24">
        <v>434</v>
      </c>
      <c r="HTJ220" s="5">
        <v>46174</v>
      </c>
      <c r="HTK220" s="5">
        <v>46174</v>
      </c>
      <c r="HTL220" s="30">
        <f t="shared" ref="HTL220" si="397">HTK220-HTJ220</f>
        <v>0</v>
      </c>
      <c r="HTM220" s="5" t="s">
        <v>317</v>
      </c>
      <c r="HTN220" s="2" t="s">
        <v>22</v>
      </c>
      <c r="HTO220" s="53" t="s">
        <v>334</v>
      </c>
      <c r="HTP220" s="2" t="s">
        <v>513</v>
      </c>
      <c r="HTQ220" s="2" t="s">
        <v>25</v>
      </c>
      <c r="HTR220" s="2" t="s">
        <v>393</v>
      </c>
      <c r="HTS220" s="7">
        <v>-74.044305502618698</v>
      </c>
      <c r="HTT220" s="7">
        <v>4.6804459478222702</v>
      </c>
      <c r="HTU220" s="2" t="s">
        <v>357</v>
      </c>
      <c r="HTV220" s="2" t="s">
        <v>63</v>
      </c>
      <c r="HTW220" s="2" t="s">
        <v>83</v>
      </c>
      <c r="HTX220" s="2" t="s">
        <v>63</v>
      </c>
      <c r="HTY220" s="24">
        <v>434</v>
      </c>
      <c r="HTZ220" s="5">
        <v>46174</v>
      </c>
      <c r="HUA220" s="5">
        <v>46174</v>
      </c>
      <c r="HUB220" s="30">
        <f t="shared" ref="HUB220" si="398">HUA220-HTZ220</f>
        <v>0</v>
      </c>
      <c r="HUC220" s="5" t="s">
        <v>317</v>
      </c>
      <c r="HUD220" s="2" t="s">
        <v>22</v>
      </c>
      <c r="HUE220" s="53" t="s">
        <v>334</v>
      </c>
      <c r="HUF220" s="2" t="s">
        <v>513</v>
      </c>
      <c r="HUG220" s="2" t="s">
        <v>25</v>
      </c>
      <c r="HUH220" s="2" t="s">
        <v>393</v>
      </c>
      <c r="HUI220" s="7">
        <v>-74.044305502618698</v>
      </c>
      <c r="HUJ220" s="7">
        <v>4.6804459478222702</v>
      </c>
      <c r="HUK220" s="2" t="s">
        <v>357</v>
      </c>
      <c r="HUL220" s="2" t="s">
        <v>63</v>
      </c>
      <c r="HUM220" s="2" t="s">
        <v>83</v>
      </c>
      <c r="HUN220" s="2" t="s">
        <v>63</v>
      </c>
      <c r="HUO220" s="24">
        <v>434</v>
      </c>
      <c r="HUP220" s="5">
        <v>46174</v>
      </c>
      <c r="HUQ220" s="5">
        <v>46174</v>
      </c>
      <c r="HUR220" s="30">
        <f t="shared" ref="HUR220" si="399">HUQ220-HUP220</f>
        <v>0</v>
      </c>
      <c r="HUS220" s="5" t="s">
        <v>317</v>
      </c>
      <c r="HUT220" s="2" t="s">
        <v>22</v>
      </c>
      <c r="HUU220" s="53" t="s">
        <v>334</v>
      </c>
      <c r="HUV220" s="2" t="s">
        <v>513</v>
      </c>
      <c r="HUW220" s="2" t="s">
        <v>25</v>
      </c>
      <c r="HUX220" s="2" t="s">
        <v>393</v>
      </c>
      <c r="HUY220" s="7">
        <v>-74.044305502618698</v>
      </c>
      <c r="HUZ220" s="7">
        <v>4.6804459478222702</v>
      </c>
      <c r="HVA220" s="2" t="s">
        <v>357</v>
      </c>
      <c r="HVB220" s="2" t="s">
        <v>63</v>
      </c>
      <c r="HVC220" s="2" t="s">
        <v>83</v>
      </c>
      <c r="HVD220" s="2" t="s">
        <v>63</v>
      </c>
      <c r="HVE220" s="24">
        <v>434</v>
      </c>
      <c r="HVF220" s="5">
        <v>46174</v>
      </c>
      <c r="HVG220" s="5">
        <v>46174</v>
      </c>
      <c r="HVH220" s="30">
        <f t="shared" ref="HVH220" si="400">HVG220-HVF220</f>
        <v>0</v>
      </c>
      <c r="HVI220" s="5" t="s">
        <v>317</v>
      </c>
      <c r="HVJ220" s="2" t="s">
        <v>22</v>
      </c>
      <c r="HVK220" s="53" t="s">
        <v>334</v>
      </c>
      <c r="HVL220" s="2" t="s">
        <v>513</v>
      </c>
      <c r="HVM220" s="2" t="s">
        <v>25</v>
      </c>
      <c r="HVN220" s="2" t="s">
        <v>393</v>
      </c>
      <c r="HVO220" s="7">
        <v>-74.044305502618698</v>
      </c>
      <c r="HVP220" s="7">
        <v>4.6804459478222702</v>
      </c>
      <c r="HVQ220" s="2" t="s">
        <v>357</v>
      </c>
      <c r="HVR220" s="2" t="s">
        <v>63</v>
      </c>
      <c r="HVS220" s="2" t="s">
        <v>83</v>
      </c>
      <c r="HVT220" s="2" t="s">
        <v>63</v>
      </c>
      <c r="HVU220" s="24">
        <v>434</v>
      </c>
      <c r="HVV220" s="5">
        <v>46174</v>
      </c>
      <c r="HVW220" s="5">
        <v>46174</v>
      </c>
      <c r="HVX220" s="30">
        <f t="shared" ref="HVX220" si="401">HVW220-HVV220</f>
        <v>0</v>
      </c>
      <c r="HVY220" s="5" t="s">
        <v>317</v>
      </c>
      <c r="HVZ220" s="2" t="s">
        <v>22</v>
      </c>
      <c r="HWA220" s="53" t="s">
        <v>334</v>
      </c>
      <c r="HWB220" s="2" t="s">
        <v>513</v>
      </c>
      <c r="HWC220" s="2" t="s">
        <v>25</v>
      </c>
      <c r="HWD220" s="2" t="s">
        <v>393</v>
      </c>
      <c r="HWE220" s="7">
        <v>-74.044305502618698</v>
      </c>
      <c r="HWF220" s="7">
        <v>4.6804459478222702</v>
      </c>
      <c r="HWG220" s="2" t="s">
        <v>357</v>
      </c>
      <c r="HWH220" s="2" t="s">
        <v>63</v>
      </c>
      <c r="HWI220" s="2" t="s">
        <v>83</v>
      </c>
      <c r="HWJ220" s="2" t="s">
        <v>63</v>
      </c>
      <c r="HWK220" s="24">
        <v>434</v>
      </c>
      <c r="HWL220" s="5">
        <v>46174</v>
      </c>
      <c r="HWM220" s="5">
        <v>46174</v>
      </c>
      <c r="HWN220" s="30">
        <f t="shared" ref="HWN220" si="402">HWM220-HWL220</f>
        <v>0</v>
      </c>
      <c r="HWO220" s="5" t="s">
        <v>317</v>
      </c>
      <c r="HWP220" s="2" t="s">
        <v>22</v>
      </c>
      <c r="HWQ220" s="53" t="s">
        <v>334</v>
      </c>
      <c r="HWR220" s="2" t="s">
        <v>513</v>
      </c>
      <c r="HWS220" s="2" t="s">
        <v>25</v>
      </c>
      <c r="HWT220" s="2" t="s">
        <v>393</v>
      </c>
      <c r="HWU220" s="7">
        <v>-74.044305502618698</v>
      </c>
      <c r="HWV220" s="7">
        <v>4.6804459478222702</v>
      </c>
      <c r="HWW220" s="2" t="s">
        <v>357</v>
      </c>
      <c r="HWX220" s="2" t="s">
        <v>63</v>
      </c>
      <c r="HWY220" s="2" t="s">
        <v>83</v>
      </c>
      <c r="HWZ220" s="2" t="s">
        <v>63</v>
      </c>
      <c r="HXA220" s="24">
        <v>434</v>
      </c>
      <c r="HXB220" s="5">
        <v>46174</v>
      </c>
      <c r="HXC220" s="5">
        <v>46174</v>
      </c>
      <c r="HXD220" s="30">
        <f t="shared" ref="HXD220" si="403">HXC220-HXB220</f>
        <v>0</v>
      </c>
      <c r="HXE220" s="5" t="s">
        <v>317</v>
      </c>
      <c r="HXF220" s="2" t="s">
        <v>22</v>
      </c>
      <c r="HXG220" s="53" t="s">
        <v>334</v>
      </c>
      <c r="HXH220" s="2" t="s">
        <v>513</v>
      </c>
      <c r="HXI220" s="2" t="s">
        <v>25</v>
      </c>
      <c r="HXJ220" s="2" t="s">
        <v>393</v>
      </c>
      <c r="HXK220" s="7">
        <v>-74.044305502618698</v>
      </c>
      <c r="HXL220" s="7">
        <v>4.6804459478222702</v>
      </c>
      <c r="HXM220" s="2" t="s">
        <v>357</v>
      </c>
      <c r="HXN220" s="2" t="s">
        <v>63</v>
      </c>
      <c r="HXO220" s="2" t="s">
        <v>83</v>
      </c>
      <c r="HXP220" s="2" t="s">
        <v>63</v>
      </c>
      <c r="HXQ220" s="24">
        <v>434</v>
      </c>
      <c r="HXR220" s="5">
        <v>46174</v>
      </c>
      <c r="HXS220" s="5">
        <v>46174</v>
      </c>
      <c r="HXT220" s="30">
        <f t="shared" ref="HXT220" si="404">HXS220-HXR220</f>
        <v>0</v>
      </c>
      <c r="HXU220" s="5" t="s">
        <v>317</v>
      </c>
      <c r="HXV220" s="2" t="s">
        <v>22</v>
      </c>
      <c r="HXW220" s="53" t="s">
        <v>334</v>
      </c>
      <c r="HXX220" s="2" t="s">
        <v>513</v>
      </c>
      <c r="HXY220" s="2" t="s">
        <v>25</v>
      </c>
      <c r="HXZ220" s="2" t="s">
        <v>393</v>
      </c>
      <c r="HYA220" s="7">
        <v>-74.044305502618698</v>
      </c>
      <c r="HYB220" s="7">
        <v>4.6804459478222702</v>
      </c>
      <c r="HYC220" s="2" t="s">
        <v>357</v>
      </c>
      <c r="HYD220" s="2" t="s">
        <v>63</v>
      </c>
      <c r="HYE220" s="2" t="s">
        <v>83</v>
      </c>
      <c r="HYF220" s="2" t="s">
        <v>63</v>
      </c>
      <c r="HYG220" s="24">
        <v>434</v>
      </c>
      <c r="HYH220" s="5">
        <v>46174</v>
      </c>
      <c r="HYI220" s="5">
        <v>46174</v>
      </c>
      <c r="HYJ220" s="30">
        <f t="shared" ref="HYJ220" si="405">HYI220-HYH220</f>
        <v>0</v>
      </c>
      <c r="HYK220" s="5" t="s">
        <v>317</v>
      </c>
      <c r="HYL220" s="2" t="s">
        <v>22</v>
      </c>
      <c r="HYM220" s="53" t="s">
        <v>334</v>
      </c>
      <c r="HYN220" s="2" t="s">
        <v>513</v>
      </c>
      <c r="HYO220" s="2" t="s">
        <v>25</v>
      </c>
      <c r="HYP220" s="2" t="s">
        <v>393</v>
      </c>
      <c r="HYQ220" s="7">
        <v>-74.044305502618698</v>
      </c>
      <c r="HYR220" s="7">
        <v>4.6804459478222702</v>
      </c>
      <c r="HYS220" s="2" t="s">
        <v>357</v>
      </c>
      <c r="HYT220" s="2" t="s">
        <v>63</v>
      </c>
      <c r="HYU220" s="2" t="s">
        <v>83</v>
      </c>
      <c r="HYV220" s="2" t="s">
        <v>63</v>
      </c>
      <c r="HYW220" s="24">
        <v>434</v>
      </c>
      <c r="HYX220" s="5">
        <v>46174</v>
      </c>
      <c r="HYY220" s="5">
        <v>46174</v>
      </c>
      <c r="HYZ220" s="30">
        <f t="shared" ref="HYZ220" si="406">HYY220-HYX220</f>
        <v>0</v>
      </c>
      <c r="HZA220" s="5" t="s">
        <v>317</v>
      </c>
      <c r="HZB220" s="2" t="s">
        <v>22</v>
      </c>
      <c r="HZC220" s="53" t="s">
        <v>334</v>
      </c>
      <c r="HZD220" s="2" t="s">
        <v>513</v>
      </c>
      <c r="HZE220" s="2" t="s">
        <v>25</v>
      </c>
      <c r="HZF220" s="2" t="s">
        <v>393</v>
      </c>
      <c r="HZG220" s="7">
        <v>-74.044305502618698</v>
      </c>
      <c r="HZH220" s="7">
        <v>4.6804459478222702</v>
      </c>
      <c r="HZI220" s="2" t="s">
        <v>357</v>
      </c>
      <c r="HZJ220" s="2" t="s">
        <v>63</v>
      </c>
      <c r="HZK220" s="2" t="s">
        <v>83</v>
      </c>
      <c r="HZL220" s="2" t="s">
        <v>63</v>
      </c>
      <c r="HZM220" s="24">
        <v>434</v>
      </c>
      <c r="HZN220" s="5">
        <v>46174</v>
      </c>
      <c r="HZO220" s="5">
        <v>46174</v>
      </c>
      <c r="HZP220" s="30">
        <f t="shared" ref="HZP220" si="407">HZO220-HZN220</f>
        <v>0</v>
      </c>
      <c r="HZQ220" s="5" t="s">
        <v>317</v>
      </c>
      <c r="HZR220" s="2" t="s">
        <v>22</v>
      </c>
      <c r="HZS220" s="53" t="s">
        <v>334</v>
      </c>
      <c r="HZT220" s="2" t="s">
        <v>513</v>
      </c>
      <c r="HZU220" s="2" t="s">
        <v>25</v>
      </c>
      <c r="HZV220" s="2" t="s">
        <v>393</v>
      </c>
      <c r="HZW220" s="7">
        <v>-74.044305502618698</v>
      </c>
      <c r="HZX220" s="7">
        <v>4.6804459478222702</v>
      </c>
      <c r="HZY220" s="2" t="s">
        <v>357</v>
      </c>
      <c r="HZZ220" s="2" t="s">
        <v>63</v>
      </c>
      <c r="IAA220" s="2" t="s">
        <v>83</v>
      </c>
      <c r="IAB220" s="2" t="s">
        <v>63</v>
      </c>
      <c r="IAC220" s="24">
        <v>434</v>
      </c>
      <c r="IAD220" s="5">
        <v>46174</v>
      </c>
      <c r="IAE220" s="5">
        <v>46174</v>
      </c>
      <c r="IAF220" s="30">
        <f t="shared" ref="IAF220" si="408">IAE220-IAD220</f>
        <v>0</v>
      </c>
      <c r="IAG220" s="5" t="s">
        <v>317</v>
      </c>
      <c r="IAH220" s="2" t="s">
        <v>22</v>
      </c>
      <c r="IAI220" s="53" t="s">
        <v>334</v>
      </c>
      <c r="IAJ220" s="2" t="s">
        <v>513</v>
      </c>
      <c r="IAK220" s="2" t="s">
        <v>25</v>
      </c>
      <c r="IAL220" s="2" t="s">
        <v>393</v>
      </c>
      <c r="IAM220" s="7">
        <v>-74.044305502618698</v>
      </c>
      <c r="IAN220" s="7">
        <v>4.6804459478222702</v>
      </c>
      <c r="IAO220" s="2" t="s">
        <v>357</v>
      </c>
      <c r="IAP220" s="2" t="s">
        <v>63</v>
      </c>
      <c r="IAQ220" s="2" t="s">
        <v>83</v>
      </c>
      <c r="IAR220" s="2" t="s">
        <v>63</v>
      </c>
      <c r="IAS220" s="24">
        <v>434</v>
      </c>
      <c r="IAT220" s="5">
        <v>46174</v>
      </c>
      <c r="IAU220" s="5">
        <v>46174</v>
      </c>
      <c r="IAV220" s="30">
        <f t="shared" ref="IAV220" si="409">IAU220-IAT220</f>
        <v>0</v>
      </c>
      <c r="IAW220" s="5" t="s">
        <v>317</v>
      </c>
      <c r="IAX220" s="2" t="s">
        <v>22</v>
      </c>
      <c r="IAY220" s="53" t="s">
        <v>334</v>
      </c>
      <c r="IAZ220" s="2" t="s">
        <v>513</v>
      </c>
      <c r="IBA220" s="2" t="s">
        <v>25</v>
      </c>
      <c r="IBB220" s="2" t="s">
        <v>393</v>
      </c>
      <c r="IBC220" s="7">
        <v>-74.044305502618698</v>
      </c>
      <c r="IBD220" s="7">
        <v>4.6804459478222702</v>
      </c>
      <c r="IBE220" s="2" t="s">
        <v>357</v>
      </c>
      <c r="IBF220" s="2" t="s">
        <v>63</v>
      </c>
      <c r="IBG220" s="2" t="s">
        <v>83</v>
      </c>
      <c r="IBH220" s="2" t="s">
        <v>63</v>
      </c>
      <c r="IBI220" s="24">
        <v>434</v>
      </c>
      <c r="IBJ220" s="5">
        <v>46174</v>
      </c>
      <c r="IBK220" s="5">
        <v>46174</v>
      </c>
      <c r="IBL220" s="30">
        <f t="shared" ref="IBL220" si="410">IBK220-IBJ220</f>
        <v>0</v>
      </c>
      <c r="IBM220" s="5" t="s">
        <v>317</v>
      </c>
      <c r="IBN220" s="2" t="s">
        <v>22</v>
      </c>
      <c r="IBO220" s="53" t="s">
        <v>334</v>
      </c>
      <c r="IBP220" s="2" t="s">
        <v>513</v>
      </c>
      <c r="IBQ220" s="2" t="s">
        <v>25</v>
      </c>
      <c r="IBR220" s="2" t="s">
        <v>393</v>
      </c>
      <c r="IBS220" s="7">
        <v>-74.044305502618698</v>
      </c>
      <c r="IBT220" s="7">
        <v>4.6804459478222702</v>
      </c>
      <c r="IBU220" s="2" t="s">
        <v>357</v>
      </c>
      <c r="IBV220" s="2" t="s">
        <v>63</v>
      </c>
      <c r="IBW220" s="2" t="s">
        <v>83</v>
      </c>
      <c r="IBX220" s="2" t="s">
        <v>63</v>
      </c>
      <c r="IBY220" s="24">
        <v>434</v>
      </c>
      <c r="IBZ220" s="5">
        <v>46174</v>
      </c>
      <c r="ICA220" s="5">
        <v>46174</v>
      </c>
      <c r="ICB220" s="30">
        <f t="shared" ref="ICB220" si="411">ICA220-IBZ220</f>
        <v>0</v>
      </c>
      <c r="ICC220" s="5" t="s">
        <v>317</v>
      </c>
      <c r="ICD220" s="2" t="s">
        <v>22</v>
      </c>
      <c r="ICE220" s="53" t="s">
        <v>334</v>
      </c>
      <c r="ICF220" s="2" t="s">
        <v>513</v>
      </c>
      <c r="ICG220" s="2" t="s">
        <v>25</v>
      </c>
      <c r="ICH220" s="2" t="s">
        <v>393</v>
      </c>
      <c r="ICI220" s="7">
        <v>-74.044305502618698</v>
      </c>
      <c r="ICJ220" s="7">
        <v>4.6804459478222702</v>
      </c>
      <c r="ICK220" s="2" t="s">
        <v>357</v>
      </c>
      <c r="ICL220" s="2" t="s">
        <v>63</v>
      </c>
      <c r="ICM220" s="2" t="s">
        <v>83</v>
      </c>
      <c r="ICN220" s="2" t="s">
        <v>63</v>
      </c>
      <c r="ICO220" s="24">
        <v>434</v>
      </c>
      <c r="ICP220" s="5">
        <v>46174</v>
      </c>
      <c r="ICQ220" s="5">
        <v>46174</v>
      </c>
      <c r="ICR220" s="30">
        <f t="shared" ref="ICR220" si="412">ICQ220-ICP220</f>
        <v>0</v>
      </c>
      <c r="ICS220" s="5" t="s">
        <v>317</v>
      </c>
      <c r="ICT220" s="2" t="s">
        <v>22</v>
      </c>
      <c r="ICU220" s="53" t="s">
        <v>334</v>
      </c>
      <c r="ICV220" s="2" t="s">
        <v>513</v>
      </c>
      <c r="ICW220" s="2" t="s">
        <v>25</v>
      </c>
      <c r="ICX220" s="2" t="s">
        <v>393</v>
      </c>
      <c r="ICY220" s="7">
        <v>-74.044305502618698</v>
      </c>
      <c r="ICZ220" s="7">
        <v>4.6804459478222702</v>
      </c>
      <c r="IDA220" s="2" t="s">
        <v>357</v>
      </c>
      <c r="IDB220" s="2" t="s">
        <v>63</v>
      </c>
      <c r="IDC220" s="2" t="s">
        <v>83</v>
      </c>
      <c r="IDD220" s="2" t="s">
        <v>63</v>
      </c>
      <c r="IDE220" s="24">
        <v>434</v>
      </c>
      <c r="IDF220" s="5">
        <v>46174</v>
      </c>
      <c r="IDG220" s="5">
        <v>46174</v>
      </c>
      <c r="IDH220" s="30">
        <f t="shared" ref="IDH220" si="413">IDG220-IDF220</f>
        <v>0</v>
      </c>
      <c r="IDI220" s="5" t="s">
        <v>317</v>
      </c>
      <c r="IDJ220" s="2" t="s">
        <v>22</v>
      </c>
      <c r="IDK220" s="53" t="s">
        <v>334</v>
      </c>
      <c r="IDL220" s="2" t="s">
        <v>513</v>
      </c>
      <c r="IDM220" s="2" t="s">
        <v>25</v>
      </c>
      <c r="IDN220" s="2" t="s">
        <v>393</v>
      </c>
      <c r="IDO220" s="7">
        <v>-74.044305502618698</v>
      </c>
      <c r="IDP220" s="7">
        <v>4.6804459478222702</v>
      </c>
      <c r="IDQ220" s="2" t="s">
        <v>357</v>
      </c>
      <c r="IDR220" s="2" t="s">
        <v>63</v>
      </c>
      <c r="IDS220" s="2" t="s">
        <v>83</v>
      </c>
      <c r="IDT220" s="2" t="s">
        <v>63</v>
      </c>
      <c r="IDU220" s="24">
        <v>434</v>
      </c>
      <c r="IDV220" s="5">
        <v>46174</v>
      </c>
      <c r="IDW220" s="5">
        <v>46174</v>
      </c>
      <c r="IDX220" s="30">
        <f t="shared" ref="IDX220" si="414">IDW220-IDV220</f>
        <v>0</v>
      </c>
      <c r="IDY220" s="5" t="s">
        <v>317</v>
      </c>
      <c r="IDZ220" s="2" t="s">
        <v>22</v>
      </c>
      <c r="IEA220" s="53" t="s">
        <v>334</v>
      </c>
      <c r="IEB220" s="2" t="s">
        <v>513</v>
      </c>
      <c r="IEC220" s="2" t="s">
        <v>25</v>
      </c>
      <c r="IED220" s="2" t="s">
        <v>393</v>
      </c>
      <c r="IEE220" s="7">
        <v>-74.044305502618698</v>
      </c>
      <c r="IEF220" s="7">
        <v>4.6804459478222702</v>
      </c>
      <c r="IEG220" s="2" t="s">
        <v>357</v>
      </c>
      <c r="IEH220" s="2" t="s">
        <v>63</v>
      </c>
      <c r="IEI220" s="2" t="s">
        <v>83</v>
      </c>
      <c r="IEJ220" s="2" t="s">
        <v>63</v>
      </c>
      <c r="IEK220" s="24">
        <v>434</v>
      </c>
      <c r="IEL220" s="5">
        <v>46174</v>
      </c>
      <c r="IEM220" s="5">
        <v>46174</v>
      </c>
      <c r="IEN220" s="30">
        <f t="shared" ref="IEN220" si="415">IEM220-IEL220</f>
        <v>0</v>
      </c>
      <c r="IEO220" s="5" t="s">
        <v>317</v>
      </c>
      <c r="IEP220" s="2" t="s">
        <v>22</v>
      </c>
      <c r="IEQ220" s="53" t="s">
        <v>334</v>
      </c>
      <c r="IER220" s="2" t="s">
        <v>513</v>
      </c>
      <c r="IES220" s="2" t="s">
        <v>25</v>
      </c>
      <c r="IET220" s="2" t="s">
        <v>393</v>
      </c>
      <c r="IEU220" s="7">
        <v>-74.044305502618698</v>
      </c>
      <c r="IEV220" s="7">
        <v>4.6804459478222702</v>
      </c>
      <c r="IEW220" s="2" t="s">
        <v>357</v>
      </c>
      <c r="IEX220" s="2" t="s">
        <v>63</v>
      </c>
      <c r="IEY220" s="2" t="s">
        <v>83</v>
      </c>
      <c r="IEZ220" s="2" t="s">
        <v>63</v>
      </c>
      <c r="IFA220" s="24">
        <v>434</v>
      </c>
      <c r="IFB220" s="5">
        <v>46174</v>
      </c>
      <c r="IFC220" s="5">
        <v>46174</v>
      </c>
      <c r="IFD220" s="30">
        <f t="shared" ref="IFD220" si="416">IFC220-IFB220</f>
        <v>0</v>
      </c>
      <c r="IFE220" s="5" t="s">
        <v>317</v>
      </c>
      <c r="IFF220" s="2" t="s">
        <v>22</v>
      </c>
      <c r="IFG220" s="53" t="s">
        <v>334</v>
      </c>
      <c r="IFH220" s="2" t="s">
        <v>513</v>
      </c>
      <c r="IFI220" s="2" t="s">
        <v>25</v>
      </c>
      <c r="IFJ220" s="2" t="s">
        <v>393</v>
      </c>
      <c r="IFK220" s="7">
        <v>-74.044305502618698</v>
      </c>
      <c r="IFL220" s="7">
        <v>4.6804459478222702</v>
      </c>
      <c r="IFM220" s="2" t="s">
        <v>357</v>
      </c>
      <c r="IFN220" s="2" t="s">
        <v>63</v>
      </c>
      <c r="IFO220" s="2" t="s">
        <v>83</v>
      </c>
      <c r="IFP220" s="2" t="s">
        <v>63</v>
      </c>
      <c r="IFQ220" s="24">
        <v>434</v>
      </c>
      <c r="IFR220" s="5">
        <v>46174</v>
      </c>
      <c r="IFS220" s="5">
        <v>46174</v>
      </c>
      <c r="IFT220" s="30">
        <f t="shared" ref="IFT220" si="417">IFS220-IFR220</f>
        <v>0</v>
      </c>
      <c r="IFU220" s="5" t="s">
        <v>317</v>
      </c>
      <c r="IFV220" s="2" t="s">
        <v>22</v>
      </c>
      <c r="IFW220" s="53" t="s">
        <v>334</v>
      </c>
      <c r="IFX220" s="2" t="s">
        <v>513</v>
      </c>
      <c r="IFY220" s="2" t="s">
        <v>25</v>
      </c>
      <c r="IFZ220" s="2" t="s">
        <v>393</v>
      </c>
      <c r="IGA220" s="7">
        <v>-74.044305502618698</v>
      </c>
      <c r="IGB220" s="7">
        <v>4.6804459478222702</v>
      </c>
      <c r="IGC220" s="2" t="s">
        <v>357</v>
      </c>
      <c r="IGD220" s="2" t="s">
        <v>63</v>
      </c>
      <c r="IGE220" s="2" t="s">
        <v>83</v>
      </c>
      <c r="IGF220" s="2" t="s">
        <v>63</v>
      </c>
      <c r="IGG220" s="24">
        <v>434</v>
      </c>
      <c r="IGH220" s="5">
        <v>46174</v>
      </c>
      <c r="IGI220" s="5">
        <v>46174</v>
      </c>
      <c r="IGJ220" s="30">
        <f t="shared" ref="IGJ220" si="418">IGI220-IGH220</f>
        <v>0</v>
      </c>
      <c r="IGK220" s="5" t="s">
        <v>317</v>
      </c>
      <c r="IGL220" s="2" t="s">
        <v>22</v>
      </c>
      <c r="IGM220" s="53" t="s">
        <v>334</v>
      </c>
      <c r="IGN220" s="2" t="s">
        <v>513</v>
      </c>
      <c r="IGO220" s="2" t="s">
        <v>25</v>
      </c>
      <c r="IGP220" s="2" t="s">
        <v>393</v>
      </c>
      <c r="IGQ220" s="7">
        <v>-74.044305502618698</v>
      </c>
      <c r="IGR220" s="7">
        <v>4.6804459478222702</v>
      </c>
      <c r="IGS220" s="2" t="s">
        <v>357</v>
      </c>
      <c r="IGT220" s="2" t="s">
        <v>63</v>
      </c>
      <c r="IGU220" s="2" t="s">
        <v>83</v>
      </c>
      <c r="IGV220" s="2" t="s">
        <v>63</v>
      </c>
      <c r="IGW220" s="24">
        <v>434</v>
      </c>
      <c r="IGX220" s="5">
        <v>46174</v>
      </c>
      <c r="IGY220" s="5">
        <v>46174</v>
      </c>
      <c r="IGZ220" s="30">
        <f t="shared" ref="IGZ220" si="419">IGY220-IGX220</f>
        <v>0</v>
      </c>
      <c r="IHA220" s="5" t="s">
        <v>317</v>
      </c>
      <c r="IHB220" s="2" t="s">
        <v>22</v>
      </c>
      <c r="IHC220" s="53" t="s">
        <v>334</v>
      </c>
      <c r="IHD220" s="2" t="s">
        <v>513</v>
      </c>
      <c r="IHE220" s="2" t="s">
        <v>25</v>
      </c>
      <c r="IHF220" s="2" t="s">
        <v>393</v>
      </c>
      <c r="IHG220" s="7">
        <v>-74.044305502618698</v>
      </c>
      <c r="IHH220" s="7">
        <v>4.6804459478222702</v>
      </c>
      <c r="IHI220" s="2" t="s">
        <v>357</v>
      </c>
      <c r="IHJ220" s="2" t="s">
        <v>63</v>
      </c>
      <c r="IHK220" s="2" t="s">
        <v>83</v>
      </c>
      <c r="IHL220" s="2" t="s">
        <v>63</v>
      </c>
      <c r="IHM220" s="24">
        <v>434</v>
      </c>
      <c r="IHN220" s="5">
        <v>46174</v>
      </c>
      <c r="IHO220" s="5">
        <v>46174</v>
      </c>
      <c r="IHP220" s="30">
        <f t="shared" ref="IHP220" si="420">IHO220-IHN220</f>
        <v>0</v>
      </c>
      <c r="IHQ220" s="5" t="s">
        <v>317</v>
      </c>
      <c r="IHR220" s="2" t="s">
        <v>22</v>
      </c>
      <c r="IHS220" s="53" t="s">
        <v>334</v>
      </c>
      <c r="IHT220" s="2" t="s">
        <v>513</v>
      </c>
      <c r="IHU220" s="2" t="s">
        <v>25</v>
      </c>
      <c r="IHV220" s="2" t="s">
        <v>393</v>
      </c>
      <c r="IHW220" s="7">
        <v>-74.044305502618698</v>
      </c>
      <c r="IHX220" s="7">
        <v>4.6804459478222702</v>
      </c>
      <c r="IHY220" s="2" t="s">
        <v>357</v>
      </c>
      <c r="IHZ220" s="2" t="s">
        <v>63</v>
      </c>
      <c r="IIA220" s="2" t="s">
        <v>83</v>
      </c>
      <c r="IIB220" s="2" t="s">
        <v>63</v>
      </c>
      <c r="IIC220" s="24">
        <v>434</v>
      </c>
      <c r="IID220" s="5">
        <v>46174</v>
      </c>
      <c r="IIE220" s="5">
        <v>46174</v>
      </c>
      <c r="IIF220" s="30">
        <f t="shared" ref="IIF220" si="421">IIE220-IID220</f>
        <v>0</v>
      </c>
      <c r="IIG220" s="5" t="s">
        <v>317</v>
      </c>
      <c r="IIH220" s="2" t="s">
        <v>22</v>
      </c>
      <c r="III220" s="53" t="s">
        <v>334</v>
      </c>
      <c r="IIJ220" s="2" t="s">
        <v>513</v>
      </c>
      <c r="IIK220" s="2" t="s">
        <v>25</v>
      </c>
      <c r="IIL220" s="2" t="s">
        <v>393</v>
      </c>
      <c r="IIM220" s="7">
        <v>-74.044305502618698</v>
      </c>
      <c r="IIN220" s="7">
        <v>4.6804459478222702</v>
      </c>
      <c r="IIO220" s="2" t="s">
        <v>357</v>
      </c>
      <c r="IIP220" s="2" t="s">
        <v>63</v>
      </c>
      <c r="IIQ220" s="2" t="s">
        <v>83</v>
      </c>
      <c r="IIR220" s="2" t="s">
        <v>63</v>
      </c>
      <c r="IIS220" s="24">
        <v>434</v>
      </c>
      <c r="IIT220" s="5">
        <v>46174</v>
      </c>
      <c r="IIU220" s="5">
        <v>46174</v>
      </c>
      <c r="IIV220" s="30">
        <f t="shared" ref="IIV220" si="422">IIU220-IIT220</f>
        <v>0</v>
      </c>
      <c r="IIW220" s="5" t="s">
        <v>317</v>
      </c>
      <c r="IIX220" s="2" t="s">
        <v>22</v>
      </c>
      <c r="IIY220" s="53" t="s">
        <v>334</v>
      </c>
      <c r="IIZ220" s="2" t="s">
        <v>513</v>
      </c>
      <c r="IJA220" s="2" t="s">
        <v>25</v>
      </c>
      <c r="IJB220" s="2" t="s">
        <v>393</v>
      </c>
      <c r="IJC220" s="7">
        <v>-74.044305502618698</v>
      </c>
      <c r="IJD220" s="7">
        <v>4.6804459478222702</v>
      </c>
      <c r="IJE220" s="2" t="s">
        <v>357</v>
      </c>
      <c r="IJF220" s="2" t="s">
        <v>63</v>
      </c>
      <c r="IJG220" s="2" t="s">
        <v>83</v>
      </c>
      <c r="IJH220" s="2" t="s">
        <v>63</v>
      </c>
      <c r="IJI220" s="24">
        <v>434</v>
      </c>
      <c r="IJJ220" s="5">
        <v>46174</v>
      </c>
      <c r="IJK220" s="5">
        <v>46174</v>
      </c>
      <c r="IJL220" s="30">
        <f t="shared" ref="IJL220" si="423">IJK220-IJJ220</f>
        <v>0</v>
      </c>
      <c r="IJM220" s="5" t="s">
        <v>317</v>
      </c>
      <c r="IJN220" s="2" t="s">
        <v>22</v>
      </c>
      <c r="IJO220" s="53" t="s">
        <v>334</v>
      </c>
      <c r="IJP220" s="2" t="s">
        <v>513</v>
      </c>
      <c r="IJQ220" s="2" t="s">
        <v>25</v>
      </c>
      <c r="IJR220" s="2" t="s">
        <v>393</v>
      </c>
      <c r="IJS220" s="7">
        <v>-74.044305502618698</v>
      </c>
      <c r="IJT220" s="7">
        <v>4.6804459478222702</v>
      </c>
      <c r="IJU220" s="2" t="s">
        <v>357</v>
      </c>
      <c r="IJV220" s="2" t="s">
        <v>63</v>
      </c>
      <c r="IJW220" s="2" t="s">
        <v>83</v>
      </c>
      <c r="IJX220" s="2" t="s">
        <v>63</v>
      </c>
      <c r="IJY220" s="24">
        <v>434</v>
      </c>
      <c r="IJZ220" s="5">
        <v>46174</v>
      </c>
      <c r="IKA220" s="5">
        <v>46174</v>
      </c>
      <c r="IKB220" s="30">
        <f t="shared" ref="IKB220" si="424">IKA220-IJZ220</f>
        <v>0</v>
      </c>
      <c r="IKC220" s="5" t="s">
        <v>317</v>
      </c>
      <c r="IKD220" s="2" t="s">
        <v>22</v>
      </c>
      <c r="IKE220" s="53" t="s">
        <v>334</v>
      </c>
      <c r="IKF220" s="2" t="s">
        <v>513</v>
      </c>
      <c r="IKG220" s="2" t="s">
        <v>25</v>
      </c>
      <c r="IKH220" s="2" t="s">
        <v>393</v>
      </c>
      <c r="IKI220" s="7">
        <v>-74.044305502618698</v>
      </c>
      <c r="IKJ220" s="7">
        <v>4.6804459478222702</v>
      </c>
      <c r="IKK220" s="2" t="s">
        <v>357</v>
      </c>
      <c r="IKL220" s="2" t="s">
        <v>63</v>
      </c>
      <c r="IKM220" s="2" t="s">
        <v>83</v>
      </c>
      <c r="IKN220" s="2" t="s">
        <v>63</v>
      </c>
      <c r="IKO220" s="24">
        <v>434</v>
      </c>
      <c r="IKP220" s="5">
        <v>46174</v>
      </c>
      <c r="IKQ220" s="5">
        <v>46174</v>
      </c>
      <c r="IKR220" s="30">
        <f t="shared" ref="IKR220" si="425">IKQ220-IKP220</f>
        <v>0</v>
      </c>
      <c r="IKS220" s="5" t="s">
        <v>317</v>
      </c>
      <c r="IKT220" s="2" t="s">
        <v>22</v>
      </c>
      <c r="IKU220" s="53" t="s">
        <v>334</v>
      </c>
      <c r="IKV220" s="2" t="s">
        <v>513</v>
      </c>
      <c r="IKW220" s="2" t="s">
        <v>25</v>
      </c>
      <c r="IKX220" s="2" t="s">
        <v>393</v>
      </c>
      <c r="IKY220" s="7">
        <v>-74.044305502618698</v>
      </c>
      <c r="IKZ220" s="7">
        <v>4.6804459478222702</v>
      </c>
      <c r="ILA220" s="2" t="s">
        <v>357</v>
      </c>
      <c r="ILB220" s="2" t="s">
        <v>63</v>
      </c>
      <c r="ILC220" s="2" t="s">
        <v>83</v>
      </c>
      <c r="ILD220" s="2" t="s">
        <v>63</v>
      </c>
      <c r="ILE220" s="24">
        <v>434</v>
      </c>
      <c r="ILF220" s="5">
        <v>46174</v>
      </c>
      <c r="ILG220" s="5">
        <v>46174</v>
      </c>
      <c r="ILH220" s="30">
        <f t="shared" ref="ILH220" si="426">ILG220-ILF220</f>
        <v>0</v>
      </c>
      <c r="ILI220" s="5" t="s">
        <v>317</v>
      </c>
      <c r="ILJ220" s="2" t="s">
        <v>22</v>
      </c>
      <c r="ILK220" s="53" t="s">
        <v>334</v>
      </c>
      <c r="ILL220" s="2" t="s">
        <v>513</v>
      </c>
      <c r="ILM220" s="2" t="s">
        <v>25</v>
      </c>
      <c r="ILN220" s="2" t="s">
        <v>393</v>
      </c>
      <c r="ILO220" s="7">
        <v>-74.044305502618698</v>
      </c>
      <c r="ILP220" s="7">
        <v>4.6804459478222702</v>
      </c>
      <c r="ILQ220" s="2" t="s">
        <v>357</v>
      </c>
      <c r="ILR220" s="2" t="s">
        <v>63</v>
      </c>
      <c r="ILS220" s="2" t="s">
        <v>83</v>
      </c>
      <c r="ILT220" s="2" t="s">
        <v>63</v>
      </c>
      <c r="ILU220" s="24">
        <v>434</v>
      </c>
      <c r="ILV220" s="5">
        <v>46174</v>
      </c>
      <c r="ILW220" s="5">
        <v>46174</v>
      </c>
      <c r="ILX220" s="30">
        <f t="shared" ref="ILX220" si="427">ILW220-ILV220</f>
        <v>0</v>
      </c>
      <c r="ILY220" s="5" t="s">
        <v>317</v>
      </c>
      <c r="ILZ220" s="2" t="s">
        <v>22</v>
      </c>
      <c r="IMA220" s="53" t="s">
        <v>334</v>
      </c>
      <c r="IMB220" s="2" t="s">
        <v>513</v>
      </c>
      <c r="IMC220" s="2" t="s">
        <v>25</v>
      </c>
      <c r="IMD220" s="2" t="s">
        <v>393</v>
      </c>
      <c r="IME220" s="7">
        <v>-74.044305502618698</v>
      </c>
      <c r="IMF220" s="7">
        <v>4.6804459478222702</v>
      </c>
      <c r="IMG220" s="2" t="s">
        <v>357</v>
      </c>
      <c r="IMH220" s="2" t="s">
        <v>63</v>
      </c>
      <c r="IMI220" s="2" t="s">
        <v>83</v>
      </c>
      <c r="IMJ220" s="2" t="s">
        <v>63</v>
      </c>
      <c r="IMK220" s="24">
        <v>434</v>
      </c>
      <c r="IML220" s="5">
        <v>46174</v>
      </c>
      <c r="IMM220" s="5">
        <v>46174</v>
      </c>
      <c r="IMN220" s="30">
        <f t="shared" ref="IMN220" si="428">IMM220-IML220</f>
        <v>0</v>
      </c>
      <c r="IMO220" s="5" t="s">
        <v>317</v>
      </c>
      <c r="IMP220" s="2" t="s">
        <v>22</v>
      </c>
      <c r="IMQ220" s="53" t="s">
        <v>334</v>
      </c>
      <c r="IMR220" s="2" t="s">
        <v>513</v>
      </c>
      <c r="IMS220" s="2" t="s">
        <v>25</v>
      </c>
      <c r="IMT220" s="2" t="s">
        <v>393</v>
      </c>
      <c r="IMU220" s="7">
        <v>-74.044305502618698</v>
      </c>
      <c r="IMV220" s="7">
        <v>4.6804459478222702</v>
      </c>
      <c r="IMW220" s="2" t="s">
        <v>357</v>
      </c>
      <c r="IMX220" s="2" t="s">
        <v>63</v>
      </c>
      <c r="IMY220" s="2" t="s">
        <v>83</v>
      </c>
      <c r="IMZ220" s="2" t="s">
        <v>63</v>
      </c>
      <c r="INA220" s="24">
        <v>434</v>
      </c>
      <c r="INB220" s="5">
        <v>46174</v>
      </c>
      <c r="INC220" s="5">
        <v>46174</v>
      </c>
      <c r="IND220" s="30">
        <f t="shared" ref="IND220" si="429">INC220-INB220</f>
        <v>0</v>
      </c>
      <c r="INE220" s="5" t="s">
        <v>317</v>
      </c>
      <c r="INF220" s="2" t="s">
        <v>22</v>
      </c>
      <c r="ING220" s="53" t="s">
        <v>334</v>
      </c>
      <c r="INH220" s="2" t="s">
        <v>513</v>
      </c>
      <c r="INI220" s="2" t="s">
        <v>25</v>
      </c>
      <c r="INJ220" s="2" t="s">
        <v>393</v>
      </c>
      <c r="INK220" s="7">
        <v>-74.044305502618698</v>
      </c>
      <c r="INL220" s="7">
        <v>4.6804459478222702</v>
      </c>
      <c r="INM220" s="2" t="s">
        <v>357</v>
      </c>
      <c r="INN220" s="2" t="s">
        <v>63</v>
      </c>
      <c r="INO220" s="2" t="s">
        <v>83</v>
      </c>
      <c r="INP220" s="2" t="s">
        <v>63</v>
      </c>
      <c r="INQ220" s="24">
        <v>434</v>
      </c>
      <c r="INR220" s="5">
        <v>46174</v>
      </c>
      <c r="INS220" s="5">
        <v>46174</v>
      </c>
      <c r="INT220" s="30">
        <f t="shared" ref="INT220" si="430">INS220-INR220</f>
        <v>0</v>
      </c>
      <c r="INU220" s="5" t="s">
        <v>317</v>
      </c>
      <c r="INV220" s="2" t="s">
        <v>22</v>
      </c>
      <c r="INW220" s="53" t="s">
        <v>334</v>
      </c>
      <c r="INX220" s="2" t="s">
        <v>513</v>
      </c>
      <c r="INY220" s="2" t="s">
        <v>25</v>
      </c>
      <c r="INZ220" s="2" t="s">
        <v>393</v>
      </c>
      <c r="IOA220" s="7">
        <v>-74.044305502618698</v>
      </c>
      <c r="IOB220" s="7">
        <v>4.6804459478222702</v>
      </c>
      <c r="IOC220" s="2" t="s">
        <v>357</v>
      </c>
      <c r="IOD220" s="2" t="s">
        <v>63</v>
      </c>
      <c r="IOE220" s="2" t="s">
        <v>83</v>
      </c>
      <c r="IOF220" s="2" t="s">
        <v>63</v>
      </c>
      <c r="IOG220" s="24">
        <v>434</v>
      </c>
      <c r="IOH220" s="5">
        <v>46174</v>
      </c>
      <c r="IOI220" s="5">
        <v>46174</v>
      </c>
      <c r="IOJ220" s="30">
        <f t="shared" ref="IOJ220" si="431">IOI220-IOH220</f>
        <v>0</v>
      </c>
      <c r="IOK220" s="5" t="s">
        <v>317</v>
      </c>
      <c r="IOL220" s="2" t="s">
        <v>22</v>
      </c>
      <c r="IOM220" s="53" t="s">
        <v>334</v>
      </c>
      <c r="ION220" s="2" t="s">
        <v>513</v>
      </c>
      <c r="IOO220" s="2" t="s">
        <v>25</v>
      </c>
      <c r="IOP220" s="2" t="s">
        <v>393</v>
      </c>
      <c r="IOQ220" s="7">
        <v>-74.044305502618698</v>
      </c>
      <c r="IOR220" s="7">
        <v>4.6804459478222702</v>
      </c>
      <c r="IOS220" s="2" t="s">
        <v>357</v>
      </c>
      <c r="IOT220" s="2" t="s">
        <v>63</v>
      </c>
      <c r="IOU220" s="2" t="s">
        <v>83</v>
      </c>
      <c r="IOV220" s="2" t="s">
        <v>63</v>
      </c>
      <c r="IOW220" s="24">
        <v>434</v>
      </c>
      <c r="IOX220" s="5">
        <v>46174</v>
      </c>
      <c r="IOY220" s="5">
        <v>46174</v>
      </c>
      <c r="IOZ220" s="30">
        <f t="shared" ref="IOZ220" si="432">IOY220-IOX220</f>
        <v>0</v>
      </c>
      <c r="IPA220" s="5" t="s">
        <v>317</v>
      </c>
      <c r="IPB220" s="2" t="s">
        <v>22</v>
      </c>
      <c r="IPC220" s="53" t="s">
        <v>334</v>
      </c>
      <c r="IPD220" s="2" t="s">
        <v>513</v>
      </c>
      <c r="IPE220" s="2" t="s">
        <v>25</v>
      </c>
      <c r="IPF220" s="2" t="s">
        <v>393</v>
      </c>
      <c r="IPG220" s="7">
        <v>-74.044305502618698</v>
      </c>
      <c r="IPH220" s="7">
        <v>4.6804459478222702</v>
      </c>
      <c r="IPI220" s="2" t="s">
        <v>357</v>
      </c>
      <c r="IPJ220" s="2" t="s">
        <v>63</v>
      </c>
      <c r="IPK220" s="2" t="s">
        <v>83</v>
      </c>
      <c r="IPL220" s="2" t="s">
        <v>63</v>
      </c>
      <c r="IPM220" s="24">
        <v>434</v>
      </c>
      <c r="IPN220" s="5">
        <v>46174</v>
      </c>
      <c r="IPO220" s="5">
        <v>46174</v>
      </c>
      <c r="IPP220" s="30">
        <f t="shared" ref="IPP220" si="433">IPO220-IPN220</f>
        <v>0</v>
      </c>
      <c r="IPQ220" s="5" t="s">
        <v>317</v>
      </c>
      <c r="IPR220" s="2" t="s">
        <v>22</v>
      </c>
      <c r="IPS220" s="53" t="s">
        <v>334</v>
      </c>
      <c r="IPT220" s="2" t="s">
        <v>513</v>
      </c>
      <c r="IPU220" s="2" t="s">
        <v>25</v>
      </c>
      <c r="IPV220" s="2" t="s">
        <v>393</v>
      </c>
      <c r="IPW220" s="7">
        <v>-74.044305502618698</v>
      </c>
      <c r="IPX220" s="7">
        <v>4.6804459478222702</v>
      </c>
      <c r="IPY220" s="2" t="s">
        <v>357</v>
      </c>
      <c r="IPZ220" s="2" t="s">
        <v>63</v>
      </c>
      <c r="IQA220" s="2" t="s">
        <v>83</v>
      </c>
      <c r="IQB220" s="2" t="s">
        <v>63</v>
      </c>
      <c r="IQC220" s="24">
        <v>434</v>
      </c>
      <c r="IQD220" s="5">
        <v>46174</v>
      </c>
      <c r="IQE220" s="5">
        <v>46174</v>
      </c>
      <c r="IQF220" s="30">
        <f t="shared" ref="IQF220" si="434">IQE220-IQD220</f>
        <v>0</v>
      </c>
      <c r="IQG220" s="5" t="s">
        <v>317</v>
      </c>
      <c r="IQH220" s="2" t="s">
        <v>22</v>
      </c>
      <c r="IQI220" s="53" t="s">
        <v>334</v>
      </c>
      <c r="IQJ220" s="2" t="s">
        <v>513</v>
      </c>
      <c r="IQK220" s="2" t="s">
        <v>25</v>
      </c>
      <c r="IQL220" s="2" t="s">
        <v>393</v>
      </c>
      <c r="IQM220" s="7">
        <v>-74.044305502618698</v>
      </c>
      <c r="IQN220" s="7">
        <v>4.6804459478222702</v>
      </c>
      <c r="IQO220" s="2" t="s">
        <v>357</v>
      </c>
      <c r="IQP220" s="2" t="s">
        <v>63</v>
      </c>
      <c r="IQQ220" s="2" t="s">
        <v>83</v>
      </c>
      <c r="IQR220" s="2" t="s">
        <v>63</v>
      </c>
      <c r="IQS220" s="24">
        <v>434</v>
      </c>
      <c r="IQT220" s="5">
        <v>46174</v>
      </c>
      <c r="IQU220" s="5">
        <v>46174</v>
      </c>
      <c r="IQV220" s="30">
        <f t="shared" ref="IQV220" si="435">IQU220-IQT220</f>
        <v>0</v>
      </c>
      <c r="IQW220" s="5" t="s">
        <v>317</v>
      </c>
      <c r="IQX220" s="2" t="s">
        <v>22</v>
      </c>
      <c r="IQY220" s="53" t="s">
        <v>334</v>
      </c>
      <c r="IQZ220" s="2" t="s">
        <v>513</v>
      </c>
      <c r="IRA220" s="2" t="s">
        <v>25</v>
      </c>
      <c r="IRB220" s="2" t="s">
        <v>393</v>
      </c>
      <c r="IRC220" s="7">
        <v>-74.044305502618698</v>
      </c>
      <c r="IRD220" s="7">
        <v>4.6804459478222702</v>
      </c>
      <c r="IRE220" s="2" t="s">
        <v>357</v>
      </c>
      <c r="IRF220" s="2" t="s">
        <v>63</v>
      </c>
      <c r="IRG220" s="2" t="s">
        <v>83</v>
      </c>
      <c r="IRH220" s="2" t="s">
        <v>63</v>
      </c>
      <c r="IRI220" s="24">
        <v>434</v>
      </c>
      <c r="IRJ220" s="5">
        <v>46174</v>
      </c>
      <c r="IRK220" s="5">
        <v>46174</v>
      </c>
      <c r="IRL220" s="30">
        <f t="shared" ref="IRL220" si="436">IRK220-IRJ220</f>
        <v>0</v>
      </c>
      <c r="IRM220" s="5" t="s">
        <v>317</v>
      </c>
      <c r="IRN220" s="2" t="s">
        <v>22</v>
      </c>
      <c r="IRO220" s="53" t="s">
        <v>334</v>
      </c>
      <c r="IRP220" s="2" t="s">
        <v>513</v>
      </c>
      <c r="IRQ220" s="2" t="s">
        <v>25</v>
      </c>
      <c r="IRR220" s="2" t="s">
        <v>393</v>
      </c>
      <c r="IRS220" s="7">
        <v>-74.044305502618698</v>
      </c>
      <c r="IRT220" s="7">
        <v>4.6804459478222702</v>
      </c>
      <c r="IRU220" s="2" t="s">
        <v>357</v>
      </c>
      <c r="IRV220" s="2" t="s">
        <v>63</v>
      </c>
      <c r="IRW220" s="2" t="s">
        <v>83</v>
      </c>
      <c r="IRX220" s="2" t="s">
        <v>63</v>
      </c>
      <c r="IRY220" s="24">
        <v>434</v>
      </c>
      <c r="IRZ220" s="5">
        <v>46174</v>
      </c>
      <c r="ISA220" s="5">
        <v>46174</v>
      </c>
      <c r="ISB220" s="30">
        <f t="shared" ref="ISB220" si="437">ISA220-IRZ220</f>
        <v>0</v>
      </c>
      <c r="ISC220" s="5" t="s">
        <v>317</v>
      </c>
      <c r="ISD220" s="2" t="s">
        <v>22</v>
      </c>
      <c r="ISE220" s="53" t="s">
        <v>334</v>
      </c>
      <c r="ISF220" s="2" t="s">
        <v>513</v>
      </c>
      <c r="ISG220" s="2" t="s">
        <v>25</v>
      </c>
      <c r="ISH220" s="2" t="s">
        <v>393</v>
      </c>
      <c r="ISI220" s="7">
        <v>-74.044305502618698</v>
      </c>
      <c r="ISJ220" s="7">
        <v>4.6804459478222702</v>
      </c>
      <c r="ISK220" s="2" t="s">
        <v>357</v>
      </c>
      <c r="ISL220" s="2" t="s">
        <v>63</v>
      </c>
      <c r="ISM220" s="2" t="s">
        <v>83</v>
      </c>
      <c r="ISN220" s="2" t="s">
        <v>63</v>
      </c>
      <c r="ISO220" s="24">
        <v>434</v>
      </c>
      <c r="ISP220" s="5">
        <v>46174</v>
      </c>
      <c r="ISQ220" s="5">
        <v>46174</v>
      </c>
      <c r="ISR220" s="30">
        <f t="shared" ref="ISR220" si="438">ISQ220-ISP220</f>
        <v>0</v>
      </c>
      <c r="ISS220" s="5" t="s">
        <v>317</v>
      </c>
      <c r="IST220" s="2" t="s">
        <v>22</v>
      </c>
      <c r="ISU220" s="53" t="s">
        <v>334</v>
      </c>
      <c r="ISV220" s="2" t="s">
        <v>513</v>
      </c>
      <c r="ISW220" s="2" t="s">
        <v>25</v>
      </c>
      <c r="ISX220" s="2" t="s">
        <v>393</v>
      </c>
      <c r="ISY220" s="7">
        <v>-74.044305502618698</v>
      </c>
      <c r="ISZ220" s="7">
        <v>4.6804459478222702</v>
      </c>
      <c r="ITA220" s="2" t="s">
        <v>357</v>
      </c>
      <c r="ITB220" s="2" t="s">
        <v>63</v>
      </c>
      <c r="ITC220" s="2" t="s">
        <v>83</v>
      </c>
      <c r="ITD220" s="2" t="s">
        <v>63</v>
      </c>
      <c r="ITE220" s="24">
        <v>434</v>
      </c>
      <c r="ITF220" s="5">
        <v>46174</v>
      </c>
      <c r="ITG220" s="5">
        <v>46174</v>
      </c>
      <c r="ITH220" s="30">
        <f t="shared" ref="ITH220" si="439">ITG220-ITF220</f>
        <v>0</v>
      </c>
      <c r="ITI220" s="5" t="s">
        <v>317</v>
      </c>
      <c r="ITJ220" s="2" t="s">
        <v>22</v>
      </c>
      <c r="ITK220" s="53" t="s">
        <v>334</v>
      </c>
      <c r="ITL220" s="2" t="s">
        <v>513</v>
      </c>
      <c r="ITM220" s="2" t="s">
        <v>25</v>
      </c>
      <c r="ITN220" s="2" t="s">
        <v>393</v>
      </c>
      <c r="ITO220" s="7">
        <v>-74.044305502618698</v>
      </c>
      <c r="ITP220" s="7">
        <v>4.6804459478222702</v>
      </c>
      <c r="ITQ220" s="2" t="s">
        <v>357</v>
      </c>
      <c r="ITR220" s="2" t="s">
        <v>63</v>
      </c>
      <c r="ITS220" s="2" t="s">
        <v>83</v>
      </c>
      <c r="ITT220" s="2" t="s">
        <v>63</v>
      </c>
      <c r="ITU220" s="24">
        <v>434</v>
      </c>
      <c r="ITV220" s="5">
        <v>46174</v>
      </c>
      <c r="ITW220" s="5">
        <v>46174</v>
      </c>
      <c r="ITX220" s="30">
        <f t="shared" ref="ITX220" si="440">ITW220-ITV220</f>
        <v>0</v>
      </c>
      <c r="ITY220" s="5" t="s">
        <v>317</v>
      </c>
      <c r="ITZ220" s="2" t="s">
        <v>22</v>
      </c>
      <c r="IUA220" s="53" t="s">
        <v>334</v>
      </c>
      <c r="IUB220" s="2" t="s">
        <v>513</v>
      </c>
      <c r="IUC220" s="2" t="s">
        <v>25</v>
      </c>
      <c r="IUD220" s="2" t="s">
        <v>393</v>
      </c>
      <c r="IUE220" s="7">
        <v>-74.044305502618698</v>
      </c>
      <c r="IUF220" s="7">
        <v>4.6804459478222702</v>
      </c>
      <c r="IUG220" s="2" t="s">
        <v>357</v>
      </c>
      <c r="IUH220" s="2" t="s">
        <v>63</v>
      </c>
      <c r="IUI220" s="2" t="s">
        <v>83</v>
      </c>
      <c r="IUJ220" s="2" t="s">
        <v>63</v>
      </c>
      <c r="IUK220" s="24">
        <v>434</v>
      </c>
      <c r="IUL220" s="5">
        <v>46174</v>
      </c>
      <c r="IUM220" s="5">
        <v>46174</v>
      </c>
      <c r="IUN220" s="30">
        <f t="shared" ref="IUN220" si="441">IUM220-IUL220</f>
        <v>0</v>
      </c>
      <c r="IUO220" s="5" t="s">
        <v>317</v>
      </c>
      <c r="IUP220" s="2" t="s">
        <v>22</v>
      </c>
      <c r="IUQ220" s="53" t="s">
        <v>334</v>
      </c>
      <c r="IUR220" s="2" t="s">
        <v>513</v>
      </c>
      <c r="IUS220" s="2" t="s">
        <v>25</v>
      </c>
      <c r="IUT220" s="2" t="s">
        <v>393</v>
      </c>
      <c r="IUU220" s="7">
        <v>-74.044305502618698</v>
      </c>
      <c r="IUV220" s="7">
        <v>4.6804459478222702</v>
      </c>
      <c r="IUW220" s="2" t="s">
        <v>357</v>
      </c>
      <c r="IUX220" s="2" t="s">
        <v>63</v>
      </c>
      <c r="IUY220" s="2" t="s">
        <v>83</v>
      </c>
      <c r="IUZ220" s="2" t="s">
        <v>63</v>
      </c>
      <c r="IVA220" s="24">
        <v>434</v>
      </c>
      <c r="IVB220" s="5">
        <v>46174</v>
      </c>
      <c r="IVC220" s="5">
        <v>46174</v>
      </c>
      <c r="IVD220" s="30">
        <f t="shared" ref="IVD220" si="442">IVC220-IVB220</f>
        <v>0</v>
      </c>
      <c r="IVE220" s="5" t="s">
        <v>317</v>
      </c>
      <c r="IVF220" s="2" t="s">
        <v>22</v>
      </c>
      <c r="IVG220" s="53" t="s">
        <v>334</v>
      </c>
      <c r="IVH220" s="2" t="s">
        <v>513</v>
      </c>
      <c r="IVI220" s="2" t="s">
        <v>25</v>
      </c>
      <c r="IVJ220" s="2" t="s">
        <v>393</v>
      </c>
      <c r="IVK220" s="7">
        <v>-74.044305502618698</v>
      </c>
      <c r="IVL220" s="7">
        <v>4.6804459478222702</v>
      </c>
      <c r="IVM220" s="2" t="s">
        <v>357</v>
      </c>
      <c r="IVN220" s="2" t="s">
        <v>63</v>
      </c>
      <c r="IVO220" s="2" t="s">
        <v>83</v>
      </c>
      <c r="IVP220" s="2" t="s">
        <v>63</v>
      </c>
      <c r="IVQ220" s="24">
        <v>434</v>
      </c>
      <c r="IVR220" s="5">
        <v>46174</v>
      </c>
      <c r="IVS220" s="5">
        <v>46174</v>
      </c>
      <c r="IVT220" s="30">
        <f t="shared" ref="IVT220" si="443">IVS220-IVR220</f>
        <v>0</v>
      </c>
      <c r="IVU220" s="5" t="s">
        <v>317</v>
      </c>
      <c r="IVV220" s="2" t="s">
        <v>22</v>
      </c>
      <c r="IVW220" s="53" t="s">
        <v>334</v>
      </c>
      <c r="IVX220" s="2" t="s">
        <v>513</v>
      </c>
      <c r="IVY220" s="2" t="s">
        <v>25</v>
      </c>
      <c r="IVZ220" s="2" t="s">
        <v>393</v>
      </c>
      <c r="IWA220" s="7">
        <v>-74.044305502618698</v>
      </c>
      <c r="IWB220" s="7">
        <v>4.6804459478222702</v>
      </c>
      <c r="IWC220" s="2" t="s">
        <v>357</v>
      </c>
      <c r="IWD220" s="2" t="s">
        <v>63</v>
      </c>
      <c r="IWE220" s="2" t="s">
        <v>83</v>
      </c>
      <c r="IWF220" s="2" t="s">
        <v>63</v>
      </c>
      <c r="IWG220" s="24">
        <v>434</v>
      </c>
      <c r="IWH220" s="5">
        <v>46174</v>
      </c>
      <c r="IWI220" s="5">
        <v>46174</v>
      </c>
      <c r="IWJ220" s="30">
        <f t="shared" ref="IWJ220" si="444">IWI220-IWH220</f>
        <v>0</v>
      </c>
      <c r="IWK220" s="5" t="s">
        <v>317</v>
      </c>
      <c r="IWL220" s="2" t="s">
        <v>22</v>
      </c>
      <c r="IWM220" s="53" t="s">
        <v>334</v>
      </c>
      <c r="IWN220" s="2" t="s">
        <v>513</v>
      </c>
      <c r="IWO220" s="2" t="s">
        <v>25</v>
      </c>
      <c r="IWP220" s="2" t="s">
        <v>393</v>
      </c>
      <c r="IWQ220" s="7">
        <v>-74.044305502618698</v>
      </c>
      <c r="IWR220" s="7">
        <v>4.6804459478222702</v>
      </c>
      <c r="IWS220" s="2" t="s">
        <v>357</v>
      </c>
      <c r="IWT220" s="2" t="s">
        <v>63</v>
      </c>
      <c r="IWU220" s="2" t="s">
        <v>83</v>
      </c>
      <c r="IWV220" s="2" t="s">
        <v>63</v>
      </c>
      <c r="IWW220" s="24">
        <v>434</v>
      </c>
      <c r="IWX220" s="5">
        <v>46174</v>
      </c>
      <c r="IWY220" s="5">
        <v>46174</v>
      </c>
      <c r="IWZ220" s="30">
        <f t="shared" ref="IWZ220" si="445">IWY220-IWX220</f>
        <v>0</v>
      </c>
      <c r="IXA220" s="5" t="s">
        <v>317</v>
      </c>
      <c r="IXB220" s="2" t="s">
        <v>22</v>
      </c>
      <c r="IXC220" s="53" t="s">
        <v>334</v>
      </c>
      <c r="IXD220" s="2" t="s">
        <v>513</v>
      </c>
      <c r="IXE220" s="2" t="s">
        <v>25</v>
      </c>
      <c r="IXF220" s="2" t="s">
        <v>393</v>
      </c>
      <c r="IXG220" s="7">
        <v>-74.044305502618698</v>
      </c>
      <c r="IXH220" s="7">
        <v>4.6804459478222702</v>
      </c>
      <c r="IXI220" s="2" t="s">
        <v>357</v>
      </c>
      <c r="IXJ220" s="2" t="s">
        <v>63</v>
      </c>
      <c r="IXK220" s="2" t="s">
        <v>83</v>
      </c>
      <c r="IXL220" s="2" t="s">
        <v>63</v>
      </c>
      <c r="IXM220" s="24">
        <v>434</v>
      </c>
      <c r="IXN220" s="5">
        <v>46174</v>
      </c>
      <c r="IXO220" s="5">
        <v>46174</v>
      </c>
      <c r="IXP220" s="30">
        <f t="shared" ref="IXP220" si="446">IXO220-IXN220</f>
        <v>0</v>
      </c>
      <c r="IXQ220" s="5" t="s">
        <v>317</v>
      </c>
      <c r="IXR220" s="2" t="s">
        <v>22</v>
      </c>
      <c r="IXS220" s="53" t="s">
        <v>334</v>
      </c>
      <c r="IXT220" s="2" t="s">
        <v>513</v>
      </c>
      <c r="IXU220" s="2" t="s">
        <v>25</v>
      </c>
      <c r="IXV220" s="2" t="s">
        <v>393</v>
      </c>
      <c r="IXW220" s="7">
        <v>-74.044305502618698</v>
      </c>
      <c r="IXX220" s="7">
        <v>4.6804459478222702</v>
      </c>
      <c r="IXY220" s="2" t="s">
        <v>357</v>
      </c>
      <c r="IXZ220" s="2" t="s">
        <v>63</v>
      </c>
      <c r="IYA220" s="2" t="s">
        <v>83</v>
      </c>
      <c r="IYB220" s="2" t="s">
        <v>63</v>
      </c>
      <c r="IYC220" s="24">
        <v>434</v>
      </c>
      <c r="IYD220" s="5">
        <v>46174</v>
      </c>
      <c r="IYE220" s="5">
        <v>46174</v>
      </c>
      <c r="IYF220" s="30">
        <f t="shared" ref="IYF220" si="447">IYE220-IYD220</f>
        <v>0</v>
      </c>
      <c r="IYG220" s="5" t="s">
        <v>317</v>
      </c>
      <c r="IYH220" s="2" t="s">
        <v>22</v>
      </c>
      <c r="IYI220" s="53" t="s">
        <v>334</v>
      </c>
      <c r="IYJ220" s="2" t="s">
        <v>513</v>
      </c>
      <c r="IYK220" s="2" t="s">
        <v>25</v>
      </c>
      <c r="IYL220" s="2" t="s">
        <v>393</v>
      </c>
      <c r="IYM220" s="7">
        <v>-74.044305502618698</v>
      </c>
      <c r="IYN220" s="7">
        <v>4.6804459478222702</v>
      </c>
      <c r="IYO220" s="2" t="s">
        <v>357</v>
      </c>
      <c r="IYP220" s="2" t="s">
        <v>63</v>
      </c>
      <c r="IYQ220" s="2" t="s">
        <v>83</v>
      </c>
      <c r="IYR220" s="2" t="s">
        <v>63</v>
      </c>
      <c r="IYS220" s="24">
        <v>434</v>
      </c>
      <c r="IYT220" s="5">
        <v>46174</v>
      </c>
      <c r="IYU220" s="5">
        <v>46174</v>
      </c>
      <c r="IYV220" s="30">
        <f t="shared" ref="IYV220" si="448">IYU220-IYT220</f>
        <v>0</v>
      </c>
      <c r="IYW220" s="5" t="s">
        <v>317</v>
      </c>
      <c r="IYX220" s="2" t="s">
        <v>22</v>
      </c>
      <c r="IYY220" s="53" t="s">
        <v>334</v>
      </c>
      <c r="IYZ220" s="2" t="s">
        <v>513</v>
      </c>
      <c r="IZA220" s="2" t="s">
        <v>25</v>
      </c>
      <c r="IZB220" s="2" t="s">
        <v>393</v>
      </c>
      <c r="IZC220" s="7">
        <v>-74.044305502618698</v>
      </c>
      <c r="IZD220" s="7">
        <v>4.6804459478222702</v>
      </c>
      <c r="IZE220" s="2" t="s">
        <v>357</v>
      </c>
      <c r="IZF220" s="2" t="s">
        <v>63</v>
      </c>
      <c r="IZG220" s="2" t="s">
        <v>83</v>
      </c>
      <c r="IZH220" s="2" t="s">
        <v>63</v>
      </c>
      <c r="IZI220" s="24">
        <v>434</v>
      </c>
      <c r="IZJ220" s="5">
        <v>46174</v>
      </c>
      <c r="IZK220" s="5">
        <v>46174</v>
      </c>
      <c r="IZL220" s="30">
        <f t="shared" ref="IZL220" si="449">IZK220-IZJ220</f>
        <v>0</v>
      </c>
      <c r="IZM220" s="5" t="s">
        <v>317</v>
      </c>
      <c r="IZN220" s="2" t="s">
        <v>22</v>
      </c>
      <c r="IZO220" s="53" t="s">
        <v>334</v>
      </c>
      <c r="IZP220" s="2" t="s">
        <v>513</v>
      </c>
      <c r="IZQ220" s="2" t="s">
        <v>25</v>
      </c>
      <c r="IZR220" s="2" t="s">
        <v>393</v>
      </c>
      <c r="IZS220" s="7">
        <v>-74.044305502618698</v>
      </c>
      <c r="IZT220" s="7">
        <v>4.6804459478222702</v>
      </c>
      <c r="IZU220" s="2" t="s">
        <v>357</v>
      </c>
      <c r="IZV220" s="2" t="s">
        <v>63</v>
      </c>
      <c r="IZW220" s="2" t="s">
        <v>83</v>
      </c>
      <c r="IZX220" s="2" t="s">
        <v>63</v>
      </c>
      <c r="IZY220" s="24">
        <v>434</v>
      </c>
      <c r="IZZ220" s="5">
        <v>46174</v>
      </c>
      <c r="JAA220" s="5">
        <v>46174</v>
      </c>
      <c r="JAB220" s="30">
        <f t="shared" ref="JAB220" si="450">JAA220-IZZ220</f>
        <v>0</v>
      </c>
      <c r="JAC220" s="5" t="s">
        <v>317</v>
      </c>
      <c r="JAD220" s="2" t="s">
        <v>22</v>
      </c>
      <c r="JAE220" s="53" t="s">
        <v>334</v>
      </c>
      <c r="JAF220" s="2" t="s">
        <v>513</v>
      </c>
      <c r="JAG220" s="2" t="s">
        <v>25</v>
      </c>
      <c r="JAH220" s="2" t="s">
        <v>393</v>
      </c>
      <c r="JAI220" s="7">
        <v>-74.044305502618698</v>
      </c>
      <c r="JAJ220" s="7">
        <v>4.6804459478222702</v>
      </c>
      <c r="JAK220" s="2" t="s">
        <v>357</v>
      </c>
      <c r="JAL220" s="2" t="s">
        <v>63</v>
      </c>
      <c r="JAM220" s="2" t="s">
        <v>83</v>
      </c>
      <c r="JAN220" s="2" t="s">
        <v>63</v>
      </c>
      <c r="JAO220" s="24">
        <v>434</v>
      </c>
      <c r="JAP220" s="5">
        <v>46174</v>
      </c>
      <c r="JAQ220" s="5">
        <v>46174</v>
      </c>
      <c r="JAR220" s="30">
        <f t="shared" ref="JAR220" si="451">JAQ220-JAP220</f>
        <v>0</v>
      </c>
      <c r="JAS220" s="5" t="s">
        <v>317</v>
      </c>
      <c r="JAT220" s="2" t="s">
        <v>22</v>
      </c>
      <c r="JAU220" s="53" t="s">
        <v>334</v>
      </c>
      <c r="JAV220" s="2" t="s">
        <v>513</v>
      </c>
      <c r="JAW220" s="2" t="s">
        <v>25</v>
      </c>
      <c r="JAX220" s="2" t="s">
        <v>393</v>
      </c>
      <c r="JAY220" s="7">
        <v>-74.044305502618698</v>
      </c>
      <c r="JAZ220" s="7">
        <v>4.6804459478222702</v>
      </c>
      <c r="JBA220" s="2" t="s">
        <v>357</v>
      </c>
      <c r="JBB220" s="2" t="s">
        <v>63</v>
      </c>
      <c r="JBC220" s="2" t="s">
        <v>83</v>
      </c>
      <c r="JBD220" s="2" t="s">
        <v>63</v>
      </c>
      <c r="JBE220" s="24">
        <v>434</v>
      </c>
      <c r="JBF220" s="5">
        <v>46174</v>
      </c>
      <c r="JBG220" s="5">
        <v>46174</v>
      </c>
      <c r="JBH220" s="30">
        <f t="shared" ref="JBH220" si="452">JBG220-JBF220</f>
        <v>0</v>
      </c>
      <c r="JBI220" s="5" t="s">
        <v>317</v>
      </c>
      <c r="JBJ220" s="2" t="s">
        <v>22</v>
      </c>
      <c r="JBK220" s="53" t="s">
        <v>334</v>
      </c>
      <c r="JBL220" s="2" t="s">
        <v>513</v>
      </c>
      <c r="JBM220" s="2" t="s">
        <v>25</v>
      </c>
      <c r="JBN220" s="2" t="s">
        <v>393</v>
      </c>
      <c r="JBO220" s="7">
        <v>-74.044305502618698</v>
      </c>
      <c r="JBP220" s="7">
        <v>4.6804459478222702</v>
      </c>
      <c r="JBQ220" s="2" t="s">
        <v>357</v>
      </c>
      <c r="JBR220" s="2" t="s">
        <v>63</v>
      </c>
      <c r="JBS220" s="2" t="s">
        <v>83</v>
      </c>
      <c r="JBT220" s="2" t="s">
        <v>63</v>
      </c>
      <c r="JBU220" s="24">
        <v>434</v>
      </c>
      <c r="JBV220" s="5">
        <v>46174</v>
      </c>
      <c r="JBW220" s="5">
        <v>46174</v>
      </c>
      <c r="JBX220" s="30">
        <f t="shared" ref="JBX220" si="453">JBW220-JBV220</f>
        <v>0</v>
      </c>
      <c r="JBY220" s="5" t="s">
        <v>317</v>
      </c>
      <c r="JBZ220" s="2" t="s">
        <v>22</v>
      </c>
      <c r="JCA220" s="53" t="s">
        <v>334</v>
      </c>
      <c r="JCB220" s="2" t="s">
        <v>513</v>
      </c>
      <c r="JCC220" s="2" t="s">
        <v>25</v>
      </c>
      <c r="JCD220" s="2" t="s">
        <v>393</v>
      </c>
      <c r="JCE220" s="7">
        <v>-74.044305502618698</v>
      </c>
      <c r="JCF220" s="7">
        <v>4.6804459478222702</v>
      </c>
      <c r="JCG220" s="2" t="s">
        <v>357</v>
      </c>
      <c r="JCH220" s="2" t="s">
        <v>63</v>
      </c>
      <c r="JCI220" s="2" t="s">
        <v>83</v>
      </c>
      <c r="JCJ220" s="2" t="s">
        <v>63</v>
      </c>
      <c r="JCK220" s="24">
        <v>434</v>
      </c>
      <c r="JCL220" s="5">
        <v>46174</v>
      </c>
      <c r="JCM220" s="5">
        <v>46174</v>
      </c>
      <c r="JCN220" s="30">
        <f t="shared" ref="JCN220" si="454">JCM220-JCL220</f>
        <v>0</v>
      </c>
      <c r="JCO220" s="5" t="s">
        <v>317</v>
      </c>
      <c r="JCP220" s="2" t="s">
        <v>22</v>
      </c>
      <c r="JCQ220" s="53" t="s">
        <v>334</v>
      </c>
      <c r="JCR220" s="2" t="s">
        <v>513</v>
      </c>
      <c r="JCS220" s="2" t="s">
        <v>25</v>
      </c>
      <c r="JCT220" s="2" t="s">
        <v>393</v>
      </c>
      <c r="JCU220" s="7">
        <v>-74.044305502618698</v>
      </c>
      <c r="JCV220" s="7">
        <v>4.6804459478222702</v>
      </c>
      <c r="JCW220" s="2" t="s">
        <v>357</v>
      </c>
      <c r="JCX220" s="2" t="s">
        <v>63</v>
      </c>
      <c r="JCY220" s="2" t="s">
        <v>83</v>
      </c>
      <c r="JCZ220" s="2" t="s">
        <v>63</v>
      </c>
      <c r="JDA220" s="24">
        <v>434</v>
      </c>
      <c r="JDB220" s="5">
        <v>46174</v>
      </c>
      <c r="JDC220" s="5">
        <v>46174</v>
      </c>
      <c r="JDD220" s="30">
        <f t="shared" ref="JDD220" si="455">JDC220-JDB220</f>
        <v>0</v>
      </c>
      <c r="JDE220" s="5" t="s">
        <v>317</v>
      </c>
      <c r="JDF220" s="2" t="s">
        <v>22</v>
      </c>
      <c r="JDG220" s="53" t="s">
        <v>334</v>
      </c>
      <c r="JDH220" s="2" t="s">
        <v>513</v>
      </c>
      <c r="JDI220" s="2" t="s">
        <v>25</v>
      </c>
      <c r="JDJ220" s="2" t="s">
        <v>393</v>
      </c>
      <c r="JDK220" s="7">
        <v>-74.044305502618698</v>
      </c>
      <c r="JDL220" s="7">
        <v>4.6804459478222702</v>
      </c>
      <c r="JDM220" s="2" t="s">
        <v>357</v>
      </c>
      <c r="JDN220" s="2" t="s">
        <v>63</v>
      </c>
      <c r="JDO220" s="2" t="s">
        <v>83</v>
      </c>
      <c r="JDP220" s="2" t="s">
        <v>63</v>
      </c>
      <c r="JDQ220" s="24">
        <v>434</v>
      </c>
      <c r="JDR220" s="5">
        <v>46174</v>
      </c>
      <c r="JDS220" s="5">
        <v>46174</v>
      </c>
      <c r="JDT220" s="30">
        <f t="shared" ref="JDT220" si="456">JDS220-JDR220</f>
        <v>0</v>
      </c>
      <c r="JDU220" s="5" t="s">
        <v>317</v>
      </c>
      <c r="JDV220" s="2" t="s">
        <v>22</v>
      </c>
      <c r="JDW220" s="53" t="s">
        <v>334</v>
      </c>
      <c r="JDX220" s="2" t="s">
        <v>513</v>
      </c>
      <c r="JDY220" s="2" t="s">
        <v>25</v>
      </c>
      <c r="JDZ220" s="2" t="s">
        <v>393</v>
      </c>
      <c r="JEA220" s="7">
        <v>-74.044305502618698</v>
      </c>
      <c r="JEB220" s="7">
        <v>4.6804459478222702</v>
      </c>
      <c r="JEC220" s="2" t="s">
        <v>357</v>
      </c>
      <c r="JED220" s="2" t="s">
        <v>63</v>
      </c>
      <c r="JEE220" s="2" t="s">
        <v>83</v>
      </c>
      <c r="JEF220" s="2" t="s">
        <v>63</v>
      </c>
      <c r="JEG220" s="24">
        <v>434</v>
      </c>
      <c r="JEH220" s="5">
        <v>46174</v>
      </c>
      <c r="JEI220" s="5">
        <v>46174</v>
      </c>
      <c r="JEJ220" s="30">
        <f t="shared" ref="JEJ220" si="457">JEI220-JEH220</f>
        <v>0</v>
      </c>
      <c r="JEK220" s="5" t="s">
        <v>317</v>
      </c>
      <c r="JEL220" s="2" t="s">
        <v>22</v>
      </c>
      <c r="JEM220" s="53" t="s">
        <v>334</v>
      </c>
      <c r="JEN220" s="2" t="s">
        <v>513</v>
      </c>
      <c r="JEO220" s="2" t="s">
        <v>25</v>
      </c>
      <c r="JEP220" s="2" t="s">
        <v>393</v>
      </c>
      <c r="JEQ220" s="7">
        <v>-74.044305502618698</v>
      </c>
      <c r="JER220" s="7">
        <v>4.6804459478222702</v>
      </c>
      <c r="JES220" s="2" t="s">
        <v>357</v>
      </c>
      <c r="JET220" s="2" t="s">
        <v>63</v>
      </c>
      <c r="JEU220" s="2" t="s">
        <v>83</v>
      </c>
      <c r="JEV220" s="2" t="s">
        <v>63</v>
      </c>
      <c r="JEW220" s="24">
        <v>434</v>
      </c>
      <c r="JEX220" s="5">
        <v>46174</v>
      </c>
      <c r="JEY220" s="5">
        <v>46174</v>
      </c>
      <c r="JEZ220" s="30">
        <f t="shared" ref="JEZ220" si="458">JEY220-JEX220</f>
        <v>0</v>
      </c>
      <c r="JFA220" s="5" t="s">
        <v>317</v>
      </c>
      <c r="JFB220" s="2" t="s">
        <v>22</v>
      </c>
      <c r="JFC220" s="53" t="s">
        <v>334</v>
      </c>
      <c r="JFD220" s="2" t="s">
        <v>513</v>
      </c>
      <c r="JFE220" s="2" t="s">
        <v>25</v>
      </c>
      <c r="JFF220" s="2" t="s">
        <v>393</v>
      </c>
      <c r="JFG220" s="7">
        <v>-74.044305502618698</v>
      </c>
      <c r="JFH220" s="7">
        <v>4.6804459478222702</v>
      </c>
      <c r="JFI220" s="2" t="s">
        <v>357</v>
      </c>
      <c r="JFJ220" s="2" t="s">
        <v>63</v>
      </c>
      <c r="JFK220" s="2" t="s">
        <v>83</v>
      </c>
      <c r="JFL220" s="2" t="s">
        <v>63</v>
      </c>
      <c r="JFM220" s="24">
        <v>434</v>
      </c>
      <c r="JFN220" s="5">
        <v>46174</v>
      </c>
      <c r="JFO220" s="5">
        <v>46174</v>
      </c>
      <c r="JFP220" s="30">
        <f t="shared" ref="JFP220" si="459">JFO220-JFN220</f>
        <v>0</v>
      </c>
      <c r="JFQ220" s="5" t="s">
        <v>317</v>
      </c>
      <c r="JFR220" s="2" t="s">
        <v>22</v>
      </c>
      <c r="JFS220" s="53" t="s">
        <v>334</v>
      </c>
      <c r="JFT220" s="2" t="s">
        <v>513</v>
      </c>
      <c r="JFU220" s="2" t="s">
        <v>25</v>
      </c>
      <c r="JFV220" s="2" t="s">
        <v>393</v>
      </c>
      <c r="JFW220" s="7">
        <v>-74.044305502618698</v>
      </c>
      <c r="JFX220" s="7">
        <v>4.6804459478222702</v>
      </c>
      <c r="JFY220" s="2" t="s">
        <v>357</v>
      </c>
      <c r="JFZ220" s="2" t="s">
        <v>63</v>
      </c>
      <c r="JGA220" s="2" t="s">
        <v>83</v>
      </c>
      <c r="JGB220" s="2" t="s">
        <v>63</v>
      </c>
      <c r="JGC220" s="24">
        <v>434</v>
      </c>
      <c r="JGD220" s="5">
        <v>46174</v>
      </c>
      <c r="JGE220" s="5">
        <v>46174</v>
      </c>
      <c r="JGF220" s="30">
        <f t="shared" ref="JGF220" si="460">JGE220-JGD220</f>
        <v>0</v>
      </c>
      <c r="JGG220" s="5" t="s">
        <v>317</v>
      </c>
      <c r="JGH220" s="2" t="s">
        <v>22</v>
      </c>
      <c r="JGI220" s="53" t="s">
        <v>334</v>
      </c>
      <c r="JGJ220" s="2" t="s">
        <v>513</v>
      </c>
      <c r="JGK220" s="2" t="s">
        <v>25</v>
      </c>
      <c r="JGL220" s="2" t="s">
        <v>393</v>
      </c>
      <c r="JGM220" s="7">
        <v>-74.044305502618698</v>
      </c>
      <c r="JGN220" s="7">
        <v>4.6804459478222702</v>
      </c>
      <c r="JGO220" s="2" t="s">
        <v>357</v>
      </c>
      <c r="JGP220" s="2" t="s">
        <v>63</v>
      </c>
      <c r="JGQ220" s="2" t="s">
        <v>83</v>
      </c>
      <c r="JGR220" s="2" t="s">
        <v>63</v>
      </c>
      <c r="JGS220" s="24">
        <v>434</v>
      </c>
      <c r="JGT220" s="5">
        <v>46174</v>
      </c>
      <c r="JGU220" s="5">
        <v>46174</v>
      </c>
      <c r="JGV220" s="30">
        <f t="shared" ref="JGV220" si="461">JGU220-JGT220</f>
        <v>0</v>
      </c>
      <c r="JGW220" s="5" t="s">
        <v>317</v>
      </c>
      <c r="JGX220" s="2" t="s">
        <v>22</v>
      </c>
      <c r="JGY220" s="53" t="s">
        <v>334</v>
      </c>
      <c r="JGZ220" s="2" t="s">
        <v>513</v>
      </c>
      <c r="JHA220" s="2" t="s">
        <v>25</v>
      </c>
      <c r="JHB220" s="2" t="s">
        <v>393</v>
      </c>
      <c r="JHC220" s="7">
        <v>-74.044305502618698</v>
      </c>
      <c r="JHD220" s="7">
        <v>4.6804459478222702</v>
      </c>
      <c r="JHE220" s="2" t="s">
        <v>357</v>
      </c>
      <c r="JHF220" s="2" t="s">
        <v>63</v>
      </c>
      <c r="JHG220" s="2" t="s">
        <v>83</v>
      </c>
      <c r="JHH220" s="2" t="s">
        <v>63</v>
      </c>
      <c r="JHI220" s="24">
        <v>434</v>
      </c>
      <c r="JHJ220" s="5">
        <v>46174</v>
      </c>
      <c r="JHK220" s="5">
        <v>46174</v>
      </c>
      <c r="JHL220" s="30">
        <f t="shared" ref="JHL220" si="462">JHK220-JHJ220</f>
        <v>0</v>
      </c>
      <c r="JHM220" s="5" t="s">
        <v>317</v>
      </c>
      <c r="JHN220" s="2" t="s">
        <v>22</v>
      </c>
      <c r="JHO220" s="53" t="s">
        <v>334</v>
      </c>
      <c r="JHP220" s="2" t="s">
        <v>513</v>
      </c>
      <c r="JHQ220" s="2" t="s">
        <v>25</v>
      </c>
      <c r="JHR220" s="2" t="s">
        <v>393</v>
      </c>
      <c r="JHS220" s="7">
        <v>-74.044305502618698</v>
      </c>
      <c r="JHT220" s="7">
        <v>4.6804459478222702</v>
      </c>
      <c r="JHU220" s="2" t="s">
        <v>357</v>
      </c>
      <c r="JHV220" s="2" t="s">
        <v>63</v>
      </c>
      <c r="JHW220" s="2" t="s">
        <v>83</v>
      </c>
      <c r="JHX220" s="2" t="s">
        <v>63</v>
      </c>
      <c r="JHY220" s="24">
        <v>434</v>
      </c>
      <c r="JHZ220" s="5">
        <v>46174</v>
      </c>
      <c r="JIA220" s="5">
        <v>46174</v>
      </c>
      <c r="JIB220" s="30">
        <f t="shared" ref="JIB220" si="463">JIA220-JHZ220</f>
        <v>0</v>
      </c>
      <c r="JIC220" s="5" t="s">
        <v>317</v>
      </c>
      <c r="JID220" s="2" t="s">
        <v>22</v>
      </c>
      <c r="JIE220" s="53" t="s">
        <v>334</v>
      </c>
      <c r="JIF220" s="2" t="s">
        <v>513</v>
      </c>
      <c r="JIG220" s="2" t="s">
        <v>25</v>
      </c>
      <c r="JIH220" s="2" t="s">
        <v>393</v>
      </c>
      <c r="JII220" s="7">
        <v>-74.044305502618698</v>
      </c>
      <c r="JIJ220" s="7">
        <v>4.6804459478222702</v>
      </c>
      <c r="JIK220" s="2" t="s">
        <v>357</v>
      </c>
      <c r="JIL220" s="2" t="s">
        <v>63</v>
      </c>
      <c r="JIM220" s="2" t="s">
        <v>83</v>
      </c>
      <c r="JIN220" s="2" t="s">
        <v>63</v>
      </c>
      <c r="JIO220" s="24">
        <v>434</v>
      </c>
      <c r="JIP220" s="5">
        <v>46174</v>
      </c>
      <c r="JIQ220" s="5">
        <v>46174</v>
      </c>
      <c r="JIR220" s="30">
        <f t="shared" ref="JIR220" si="464">JIQ220-JIP220</f>
        <v>0</v>
      </c>
      <c r="JIS220" s="5" t="s">
        <v>317</v>
      </c>
      <c r="JIT220" s="2" t="s">
        <v>22</v>
      </c>
      <c r="JIU220" s="53" t="s">
        <v>334</v>
      </c>
      <c r="JIV220" s="2" t="s">
        <v>513</v>
      </c>
      <c r="JIW220" s="2" t="s">
        <v>25</v>
      </c>
      <c r="JIX220" s="2" t="s">
        <v>393</v>
      </c>
      <c r="JIY220" s="7">
        <v>-74.044305502618698</v>
      </c>
      <c r="JIZ220" s="7">
        <v>4.6804459478222702</v>
      </c>
      <c r="JJA220" s="2" t="s">
        <v>357</v>
      </c>
      <c r="JJB220" s="2" t="s">
        <v>63</v>
      </c>
      <c r="JJC220" s="2" t="s">
        <v>83</v>
      </c>
      <c r="JJD220" s="2" t="s">
        <v>63</v>
      </c>
      <c r="JJE220" s="24">
        <v>434</v>
      </c>
      <c r="JJF220" s="5">
        <v>46174</v>
      </c>
      <c r="JJG220" s="5">
        <v>46174</v>
      </c>
      <c r="JJH220" s="30">
        <f t="shared" ref="JJH220" si="465">JJG220-JJF220</f>
        <v>0</v>
      </c>
      <c r="JJI220" s="5" t="s">
        <v>317</v>
      </c>
      <c r="JJJ220" s="2" t="s">
        <v>22</v>
      </c>
      <c r="JJK220" s="53" t="s">
        <v>334</v>
      </c>
      <c r="JJL220" s="2" t="s">
        <v>513</v>
      </c>
      <c r="JJM220" s="2" t="s">
        <v>25</v>
      </c>
      <c r="JJN220" s="2" t="s">
        <v>393</v>
      </c>
      <c r="JJO220" s="7">
        <v>-74.044305502618698</v>
      </c>
      <c r="JJP220" s="7">
        <v>4.6804459478222702</v>
      </c>
      <c r="JJQ220" s="2" t="s">
        <v>357</v>
      </c>
      <c r="JJR220" s="2" t="s">
        <v>63</v>
      </c>
      <c r="JJS220" s="2" t="s">
        <v>83</v>
      </c>
      <c r="JJT220" s="2" t="s">
        <v>63</v>
      </c>
      <c r="JJU220" s="24">
        <v>434</v>
      </c>
      <c r="JJV220" s="5">
        <v>46174</v>
      </c>
      <c r="JJW220" s="5">
        <v>46174</v>
      </c>
      <c r="JJX220" s="30">
        <f t="shared" ref="JJX220" si="466">JJW220-JJV220</f>
        <v>0</v>
      </c>
      <c r="JJY220" s="5" t="s">
        <v>317</v>
      </c>
      <c r="JJZ220" s="2" t="s">
        <v>22</v>
      </c>
      <c r="JKA220" s="53" t="s">
        <v>334</v>
      </c>
      <c r="JKB220" s="2" t="s">
        <v>513</v>
      </c>
      <c r="JKC220" s="2" t="s">
        <v>25</v>
      </c>
      <c r="JKD220" s="2" t="s">
        <v>393</v>
      </c>
      <c r="JKE220" s="7">
        <v>-74.044305502618698</v>
      </c>
      <c r="JKF220" s="7">
        <v>4.6804459478222702</v>
      </c>
      <c r="JKG220" s="2" t="s">
        <v>357</v>
      </c>
      <c r="JKH220" s="2" t="s">
        <v>63</v>
      </c>
      <c r="JKI220" s="2" t="s">
        <v>83</v>
      </c>
      <c r="JKJ220" s="2" t="s">
        <v>63</v>
      </c>
      <c r="JKK220" s="24">
        <v>434</v>
      </c>
      <c r="JKL220" s="5">
        <v>46174</v>
      </c>
      <c r="JKM220" s="5">
        <v>46174</v>
      </c>
      <c r="JKN220" s="30">
        <f t="shared" ref="JKN220" si="467">JKM220-JKL220</f>
        <v>0</v>
      </c>
      <c r="JKO220" s="5" t="s">
        <v>317</v>
      </c>
      <c r="JKP220" s="2" t="s">
        <v>22</v>
      </c>
      <c r="JKQ220" s="53" t="s">
        <v>334</v>
      </c>
      <c r="JKR220" s="2" t="s">
        <v>513</v>
      </c>
      <c r="JKS220" s="2" t="s">
        <v>25</v>
      </c>
      <c r="JKT220" s="2" t="s">
        <v>393</v>
      </c>
      <c r="JKU220" s="7">
        <v>-74.044305502618698</v>
      </c>
      <c r="JKV220" s="7">
        <v>4.6804459478222702</v>
      </c>
      <c r="JKW220" s="2" t="s">
        <v>357</v>
      </c>
      <c r="JKX220" s="2" t="s">
        <v>63</v>
      </c>
      <c r="JKY220" s="2" t="s">
        <v>83</v>
      </c>
      <c r="JKZ220" s="2" t="s">
        <v>63</v>
      </c>
      <c r="JLA220" s="24">
        <v>434</v>
      </c>
      <c r="JLB220" s="5">
        <v>46174</v>
      </c>
      <c r="JLC220" s="5">
        <v>46174</v>
      </c>
      <c r="JLD220" s="30">
        <f t="shared" ref="JLD220" si="468">JLC220-JLB220</f>
        <v>0</v>
      </c>
      <c r="JLE220" s="5" t="s">
        <v>317</v>
      </c>
      <c r="JLF220" s="2" t="s">
        <v>22</v>
      </c>
      <c r="JLG220" s="53" t="s">
        <v>334</v>
      </c>
      <c r="JLH220" s="2" t="s">
        <v>513</v>
      </c>
      <c r="JLI220" s="2" t="s">
        <v>25</v>
      </c>
      <c r="JLJ220" s="2" t="s">
        <v>393</v>
      </c>
      <c r="JLK220" s="7">
        <v>-74.044305502618698</v>
      </c>
      <c r="JLL220" s="7">
        <v>4.6804459478222702</v>
      </c>
      <c r="JLM220" s="2" t="s">
        <v>357</v>
      </c>
      <c r="JLN220" s="2" t="s">
        <v>63</v>
      </c>
      <c r="JLO220" s="2" t="s">
        <v>83</v>
      </c>
      <c r="JLP220" s="2" t="s">
        <v>63</v>
      </c>
      <c r="JLQ220" s="24">
        <v>434</v>
      </c>
      <c r="JLR220" s="5">
        <v>46174</v>
      </c>
      <c r="JLS220" s="5">
        <v>46174</v>
      </c>
      <c r="JLT220" s="30">
        <f t="shared" ref="JLT220" si="469">JLS220-JLR220</f>
        <v>0</v>
      </c>
      <c r="JLU220" s="5" t="s">
        <v>317</v>
      </c>
      <c r="JLV220" s="2" t="s">
        <v>22</v>
      </c>
      <c r="JLW220" s="53" t="s">
        <v>334</v>
      </c>
      <c r="JLX220" s="2" t="s">
        <v>513</v>
      </c>
      <c r="JLY220" s="2" t="s">
        <v>25</v>
      </c>
      <c r="JLZ220" s="2" t="s">
        <v>393</v>
      </c>
      <c r="JMA220" s="7">
        <v>-74.044305502618698</v>
      </c>
      <c r="JMB220" s="7">
        <v>4.6804459478222702</v>
      </c>
      <c r="JMC220" s="2" t="s">
        <v>357</v>
      </c>
      <c r="JMD220" s="2" t="s">
        <v>63</v>
      </c>
      <c r="JME220" s="2" t="s">
        <v>83</v>
      </c>
      <c r="JMF220" s="2" t="s">
        <v>63</v>
      </c>
      <c r="JMG220" s="24">
        <v>434</v>
      </c>
      <c r="JMH220" s="5">
        <v>46174</v>
      </c>
      <c r="JMI220" s="5">
        <v>46174</v>
      </c>
      <c r="JMJ220" s="30">
        <f t="shared" ref="JMJ220" si="470">JMI220-JMH220</f>
        <v>0</v>
      </c>
      <c r="JMK220" s="5" t="s">
        <v>317</v>
      </c>
      <c r="JML220" s="2" t="s">
        <v>22</v>
      </c>
      <c r="JMM220" s="53" t="s">
        <v>334</v>
      </c>
      <c r="JMN220" s="2" t="s">
        <v>513</v>
      </c>
      <c r="JMO220" s="2" t="s">
        <v>25</v>
      </c>
      <c r="JMP220" s="2" t="s">
        <v>393</v>
      </c>
      <c r="JMQ220" s="7">
        <v>-74.044305502618698</v>
      </c>
      <c r="JMR220" s="7">
        <v>4.6804459478222702</v>
      </c>
      <c r="JMS220" s="2" t="s">
        <v>357</v>
      </c>
      <c r="JMT220" s="2" t="s">
        <v>63</v>
      </c>
      <c r="JMU220" s="2" t="s">
        <v>83</v>
      </c>
      <c r="JMV220" s="2" t="s">
        <v>63</v>
      </c>
      <c r="JMW220" s="24">
        <v>434</v>
      </c>
      <c r="JMX220" s="5">
        <v>46174</v>
      </c>
      <c r="JMY220" s="5">
        <v>46174</v>
      </c>
      <c r="JMZ220" s="30">
        <f t="shared" ref="JMZ220" si="471">JMY220-JMX220</f>
        <v>0</v>
      </c>
      <c r="JNA220" s="5" t="s">
        <v>317</v>
      </c>
      <c r="JNB220" s="2" t="s">
        <v>22</v>
      </c>
      <c r="JNC220" s="53" t="s">
        <v>334</v>
      </c>
      <c r="JND220" s="2" t="s">
        <v>513</v>
      </c>
      <c r="JNE220" s="2" t="s">
        <v>25</v>
      </c>
      <c r="JNF220" s="2" t="s">
        <v>393</v>
      </c>
      <c r="JNG220" s="7">
        <v>-74.044305502618698</v>
      </c>
      <c r="JNH220" s="7">
        <v>4.6804459478222702</v>
      </c>
      <c r="JNI220" s="2" t="s">
        <v>357</v>
      </c>
      <c r="JNJ220" s="2" t="s">
        <v>63</v>
      </c>
      <c r="JNK220" s="2" t="s">
        <v>83</v>
      </c>
      <c r="JNL220" s="2" t="s">
        <v>63</v>
      </c>
      <c r="JNM220" s="24">
        <v>434</v>
      </c>
      <c r="JNN220" s="5">
        <v>46174</v>
      </c>
      <c r="JNO220" s="5">
        <v>46174</v>
      </c>
      <c r="JNP220" s="30">
        <f t="shared" ref="JNP220" si="472">JNO220-JNN220</f>
        <v>0</v>
      </c>
      <c r="JNQ220" s="5" t="s">
        <v>317</v>
      </c>
      <c r="JNR220" s="2" t="s">
        <v>22</v>
      </c>
      <c r="JNS220" s="53" t="s">
        <v>334</v>
      </c>
      <c r="JNT220" s="2" t="s">
        <v>513</v>
      </c>
      <c r="JNU220" s="2" t="s">
        <v>25</v>
      </c>
      <c r="JNV220" s="2" t="s">
        <v>393</v>
      </c>
      <c r="JNW220" s="7">
        <v>-74.044305502618698</v>
      </c>
      <c r="JNX220" s="7">
        <v>4.6804459478222702</v>
      </c>
      <c r="JNY220" s="2" t="s">
        <v>357</v>
      </c>
      <c r="JNZ220" s="2" t="s">
        <v>63</v>
      </c>
      <c r="JOA220" s="2" t="s">
        <v>83</v>
      </c>
      <c r="JOB220" s="2" t="s">
        <v>63</v>
      </c>
      <c r="JOC220" s="24">
        <v>434</v>
      </c>
      <c r="JOD220" s="5">
        <v>46174</v>
      </c>
      <c r="JOE220" s="5">
        <v>46174</v>
      </c>
      <c r="JOF220" s="30">
        <f t="shared" ref="JOF220" si="473">JOE220-JOD220</f>
        <v>0</v>
      </c>
      <c r="JOG220" s="5" t="s">
        <v>317</v>
      </c>
      <c r="JOH220" s="2" t="s">
        <v>22</v>
      </c>
      <c r="JOI220" s="53" t="s">
        <v>334</v>
      </c>
      <c r="JOJ220" s="2" t="s">
        <v>513</v>
      </c>
      <c r="JOK220" s="2" t="s">
        <v>25</v>
      </c>
      <c r="JOL220" s="2" t="s">
        <v>393</v>
      </c>
      <c r="JOM220" s="7">
        <v>-74.044305502618698</v>
      </c>
      <c r="JON220" s="7">
        <v>4.6804459478222702</v>
      </c>
      <c r="JOO220" s="2" t="s">
        <v>357</v>
      </c>
      <c r="JOP220" s="2" t="s">
        <v>63</v>
      </c>
      <c r="JOQ220" s="2" t="s">
        <v>83</v>
      </c>
      <c r="JOR220" s="2" t="s">
        <v>63</v>
      </c>
      <c r="JOS220" s="24">
        <v>434</v>
      </c>
      <c r="JOT220" s="5">
        <v>46174</v>
      </c>
      <c r="JOU220" s="5">
        <v>46174</v>
      </c>
      <c r="JOV220" s="30">
        <f t="shared" ref="JOV220" si="474">JOU220-JOT220</f>
        <v>0</v>
      </c>
      <c r="JOW220" s="5" t="s">
        <v>317</v>
      </c>
      <c r="JOX220" s="2" t="s">
        <v>22</v>
      </c>
      <c r="JOY220" s="53" t="s">
        <v>334</v>
      </c>
      <c r="JOZ220" s="2" t="s">
        <v>513</v>
      </c>
      <c r="JPA220" s="2" t="s">
        <v>25</v>
      </c>
      <c r="JPB220" s="2" t="s">
        <v>393</v>
      </c>
      <c r="JPC220" s="7">
        <v>-74.044305502618698</v>
      </c>
      <c r="JPD220" s="7">
        <v>4.6804459478222702</v>
      </c>
      <c r="JPE220" s="2" t="s">
        <v>357</v>
      </c>
      <c r="JPF220" s="2" t="s">
        <v>63</v>
      </c>
      <c r="JPG220" s="2" t="s">
        <v>83</v>
      </c>
      <c r="JPH220" s="2" t="s">
        <v>63</v>
      </c>
      <c r="JPI220" s="24">
        <v>434</v>
      </c>
      <c r="JPJ220" s="5">
        <v>46174</v>
      </c>
      <c r="JPK220" s="5">
        <v>46174</v>
      </c>
      <c r="JPL220" s="30">
        <f t="shared" ref="JPL220" si="475">JPK220-JPJ220</f>
        <v>0</v>
      </c>
      <c r="JPM220" s="5" t="s">
        <v>317</v>
      </c>
      <c r="JPN220" s="2" t="s">
        <v>22</v>
      </c>
      <c r="JPO220" s="53" t="s">
        <v>334</v>
      </c>
      <c r="JPP220" s="2" t="s">
        <v>513</v>
      </c>
      <c r="JPQ220" s="2" t="s">
        <v>25</v>
      </c>
      <c r="JPR220" s="2" t="s">
        <v>393</v>
      </c>
      <c r="JPS220" s="7">
        <v>-74.044305502618698</v>
      </c>
      <c r="JPT220" s="7">
        <v>4.6804459478222702</v>
      </c>
      <c r="JPU220" s="2" t="s">
        <v>357</v>
      </c>
      <c r="JPV220" s="2" t="s">
        <v>63</v>
      </c>
      <c r="JPW220" s="2" t="s">
        <v>83</v>
      </c>
      <c r="JPX220" s="2" t="s">
        <v>63</v>
      </c>
      <c r="JPY220" s="24">
        <v>434</v>
      </c>
      <c r="JPZ220" s="5">
        <v>46174</v>
      </c>
      <c r="JQA220" s="5">
        <v>46174</v>
      </c>
      <c r="JQB220" s="30">
        <f t="shared" ref="JQB220" si="476">JQA220-JPZ220</f>
        <v>0</v>
      </c>
      <c r="JQC220" s="5" t="s">
        <v>317</v>
      </c>
      <c r="JQD220" s="2" t="s">
        <v>22</v>
      </c>
      <c r="JQE220" s="53" t="s">
        <v>334</v>
      </c>
      <c r="JQF220" s="2" t="s">
        <v>513</v>
      </c>
      <c r="JQG220" s="2" t="s">
        <v>25</v>
      </c>
      <c r="JQH220" s="2" t="s">
        <v>393</v>
      </c>
      <c r="JQI220" s="7">
        <v>-74.044305502618698</v>
      </c>
      <c r="JQJ220" s="7">
        <v>4.6804459478222702</v>
      </c>
      <c r="JQK220" s="2" t="s">
        <v>357</v>
      </c>
      <c r="JQL220" s="2" t="s">
        <v>63</v>
      </c>
      <c r="JQM220" s="2" t="s">
        <v>83</v>
      </c>
      <c r="JQN220" s="2" t="s">
        <v>63</v>
      </c>
      <c r="JQO220" s="24">
        <v>434</v>
      </c>
      <c r="JQP220" s="5">
        <v>46174</v>
      </c>
      <c r="JQQ220" s="5">
        <v>46174</v>
      </c>
      <c r="JQR220" s="30">
        <f t="shared" ref="JQR220" si="477">JQQ220-JQP220</f>
        <v>0</v>
      </c>
      <c r="JQS220" s="5" t="s">
        <v>317</v>
      </c>
      <c r="JQT220" s="2" t="s">
        <v>22</v>
      </c>
      <c r="JQU220" s="53" t="s">
        <v>334</v>
      </c>
      <c r="JQV220" s="2" t="s">
        <v>513</v>
      </c>
      <c r="JQW220" s="2" t="s">
        <v>25</v>
      </c>
      <c r="JQX220" s="2" t="s">
        <v>393</v>
      </c>
      <c r="JQY220" s="7">
        <v>-74.044305502618698</v>
      </c>
      <c r="JQZ220" s="7">
        <v>4.6804459478222702</v>
      </c>
      <c r="JRA220" s="2" t="s">
        <v>357</v>
      </c>
      <c r="JRB220" s="2" t="s">
        <v>63</v>
      </c>
      <c r="JRC220" s="2" t="s">
        <v>83</v>
      </c>
      <c r="JRD220" s="2" t="s">
        <v>63</v>
      </c>
      <c r="JRE220" s="24">
        <v>434</v>
      </c>
      <c r="JRF220" s="5">
        <v>46174</v>
      </c>
      <c r="JRG220" s="5">
        <v>46174</v>
      </c>
      <c r="JRH220" s="30">
        <f t="shared" ref="JRH220" si="478">JRG220-JRF220</f>
        <v>0</v>
      </c>
      <c r="JRI220" s="5" t="s">
        <v>317</v>
      </c>
      <c r="JRJ220" s="2" t="s">
        <v>22</v>
      </c>
      <c r="JRK220" s="53" t="s">
        <v>334</v>
      </c>
      <c r="JRL220" s="2" t="s">
        <v>513</v>
      </c>
      <c r="JRM220" s="2" t="s">
        <v>25</v>
      </c>
      <c r="JRN220" s="2" t="s">
        <v>393</v>
      </c>
      <c r="JRO220" s="7">
        <v>-74.044305502618698</v>
      </c>
      <c r="JRP220" s="7">
        <v>4.6804459478222702</v>
      </c>
      <c r="JRQ220" s="2" t="s">
        <v>357</v>
      </c>
      <c r="JRR220" s="2" t="s">
        <v>63</v>
      </c>
      <c r="JRS220" s="2" t="s">
        <v>83</v>
      </c>
      <c r="JRT220" s="2" t="s">
        <v>63</v>
      </c>
      <c r="JRU220" s="24">
        <v>434</v>
      </c>
      <c r="JRV220" s="5">
        <v>46174</v>
      </c>
      <c r="JRW220" s="5">
        <v>46174</v>
      </c>
      <c r="JRX220" s="30">
        <f t="shared" ref="JRX220" si="479">JRW220-JRV220</f>
        <v>0</v>
      </c>
      <c r="JRY220" s="5" t="s">
        <v>317</v>
      </c>
      <c r="JRZ220" s="2" t="s">
        <v>22</v>
      </c>
      <c r="JSA220" s="53" t="s">
        <v>334</v>
      </c>
      <c r="JSB220" s="2" t="s">
        <v>513</v>
      </c>
      <c r="JSC220" s="2" t="s">
        <v>25</v>
      </c>
      <c r="JSD220" s="2" t="s">
        <v>393</v>
      </c>
      <c r="JSE220" s="7">
        <v>-74.044305502618698</v>
      </c>
      <c r="JSF220" s="7">
        <v>4.6804459478222702</v>
      </c>
      <c r="JSG220" s="2" t="s">
        <v>357</v>
      </c>
      <c r="JSH220" s="2" t="s">
        <v>63</v>
      </c>
      <c r="JSI220" s="2" t="s">
        <v>83</v>
      </c>
      <c r="JSJ220" s="2" t="s">
        <v>63</v>
      </c>
      <c r="JSK220" s="24">
        <v>434</v>
      </c>
      <c r="JSL220" s="5">
        <v>46174</v>
      </c>
      <c r="JSM220" s="5">
        <v>46174</v>
      </c>
      <c r="JSN220" s="30">
        <f t="shared" ref="JSN220" si="480">JSM220-JSL220</f>
        <v>0</v>
      </c>
      <c r="JSO220" s="5" t="s">
        <v>317</v>
      </c>
      <c r="JSP220" s="2" t="s">
        <v>22</v>
      </c>
      <c r="JSQ220" s="53" t="s">
        <v>334</v>
      </c>
      <c r="JSR220" s="2" t="s">
        <v>513</v>
      </c>
      <c r="JSS220" s="2" t="s">
        <v>25</v>
      </c>
      <c r="JST220" s="2" t="s">
        <v>393</v>
      </c>
      <c r="JSU220" s="7">
        <v>-74.044305502618698</v>
      </c>
      <c r="JSV220" s="7">
        <v>4.6804459478222702</v>
      </c>
      <c r="JSW220" s="2" t="s">
        <v>357</v>
      </c>
      <c r="JSX220" s="2" t="s">
        <v>63</v>
      </c>
      <c r="JSY220" s="2" t="s">
        <v>83</v>
      </c>
      <c r="JSZ220" s="2" t="s">
        <v>63</v>
      </c>
      <c r="JTA220" s="24">
        <v>434</v>
      </c>
      <c r="JTB220" s="5">
        <v>46174</v>
      </c>
      <c r="JTC220" s="5">
        <v>46174</v>
      </c>
      <c r="JTD220" s="30">
        <f t="shared" ref="JTD220" si="481">JTC220-JTB220</f>
        <v>0</v>
      </c>
      <c r="JTE220" s="5" t="s">
        <v>317</v>
      </c>
      <c r="JTF220" s="2" t="s">
        <v>22</v>
      </c>
      <c r="JTG220" s="53" t="s">
        <v>334</v>
      </c>
      <c r="JTH220" s="2" t="s">
        <v>513</v>
      </c>
      <c r="JTI220" s="2" t="s">
        <v>25</v>
      </c>
      <c r="JTJ220" s="2" t="s">
        <v>393</v>
      </c>
      <c r="JTK220" s="7">
        <v>-74.044305502618698</v>
      </c>
      <c r="JTL220" s="7">
        <v>4.6804459478222702</v>
      </c>
      <c r="JTM220" s="2" t="s">
        <v>357</v>
      </c>
      <c r="JTN220" s="2" t="s">
        <v>63</v>
      </c>
      <c r="JTO220" s="2" t="s">
        <v>83</v>
      </c>
      <c r="JTP220" s="2" t="s">
        <v>63</v>
      </c>
      <c r="JTQ220" s="24">
        <v>434</v>
      </c>
      <c r="JTR220" s="5">
        <v>46174</v>
      </c>
      <c r="JTS220" s="5">
        <v>46174</v>
      </c>
      <c r="JTT220" s="30">
        <f t="shared" ref="JTT220" si="482">JTS220-JTR220</f>
        <v>0</v>
      </c>
      <c r="JTU220" s="5" t="s">
        <v>317</v>
      </c>
      <c r="JTV220" s="2" t="s">
        <v>22</v>
      </c>
      <c r="JTW220" s="53" t="s">
        <v>334</v>
      </c>
      <c r="JTX220" s="2" t="s">
        <v>513</v>
      </c>
      <c r="JTY220" s="2" t="s">
        <v>25</v>
      </c>
      <c r="JTZ220" s="2" t="s">
        <v>393</v>
      </c>
      <c r="JUA220" s="7">
        <v>-74.044305502618698</v>
      </c>
      <c r="JUB220" s="7">
        <v>4.6804459478222702</v>
      </c>
      <c r="JUC220" s="2" t="s">
        <v>357</v>
      </c>
      <c r="JUD220" s="2" t="s">
        <v>63</v>
      </c>
      <c r="JUE220" s="2" t="s">
        <v>83</v>
      </c>
      <c r="JUF220" s="2" t="s">
        <v>63</v>
      </c>
      <c r="JUG220" s="24">
        <v>434</v>
      </c>
      <c r="JUH220" s="5">
        <v>46174</v>
      </c>
      <c r="JUI220" s="5">
        <v>46174</v>
      </c>
      <c r="JUJ220" s="30">
        <f t="shared" ref="JUJ220" si="483">JUI220-JUH220</f>
        <v>0</v>
      </c>
      <c r="JUK220" s="5" t="s">
        <v>317</v>
      </c>
      <c r="JUL220" s="2" t="s">
        <v>22</v>
      </c>
      <c r="JUM220" s="53" t="s">
        <v>334</v>
      </c>
      <c r="JUN220" s="2" t="s">
        <v>513</v>
      </c>
      <c r="JUO220" s="2" t="s">
        <v>25</v>
      </c>
      <c r="JUP220" s="2" t="s">
        <v>393</v>
      </c>
      <c r="JUQ220" s="7">
        <v>-74.044305502618698</v>
      </c>
      <c r="JUR220" s="7">
        <v>4.6804459478222702</v>
      </c>
      <c r="JUS220" s="2" t="s">
        <v>357</v>
      </c>
      <c r="JUT220" s="2" t="s">
        <v>63</v>
      </c>
      <c r="JUU220" s="2" t="s">
        <v>83</v>
      </c>
      <c r="JUV220" s="2" t="s">
        <v>63</v>
      </c>
      <c r="JUW220" s="24">
        <v>434</v>
      </c>
      <c r="JUX220" s="5">
        <v>46174</v>
      </c>
      <c r="JUY220" s="5">
        <v>46174</v>
      </c>
      <c r="JUZ220" s="30">
        <f t="shared" ref="JUZ220" si="484">JUY220-JUX220</f>
        <v>0</v>
      </c>
      <c r="JVA220" s="5" t="s">
        <v>317</v>
      </c>
      <c r="JVB220" s="2" t="s">
        <v>22</v>
      </c>
      <c r="JVC220" s="53" t="s">
        <v>334</v>
      </c>
      <c r="JVD220" s="2" t="s">
        <v>513</v>
      </c>
      <c r="JVE220" s="2" t="s">
        <v>25</v>
      </c>
      <c r="JVF220" s="2" t="s">
        <v>393</v>
      </c>
      <c r="JVG220" s="7">
        <v>-74.044305502618698</v>
      </c>
      <c r="JVH220" s="7">
        <v>4.6804459478222702</v>
      </c>
      <c r="JVI220" s="2" t="s">
        <v>357</v>
      </c>
      <c r="JVJ220" s="2" t="s">
        <v>63</v>
      </c>
      <c r="JVK220" s="2" t="s">
        <v>83</v>
      </c>
      <c r="JVL220" s="2" t="s">
        <v>63</v>
      </c>
      <c r="JVM220" s="24">
        <v>434</v>
      </c>
      <c r="JVN220" s="5">
        <v>46174</v>
      </c>
      <c r="JVO220" s="5">
        <v>46174</v>
      </c>
      <c r="JVP220" s="30">
        <f t="shared" ref="JVP220" si="485">JVO220-JVN220</f>
        <v>0</v>
      </c>
      <c r="JVQ220" s="5" t="s">
        <v>317</v>
      </c>
      <c r="JVR220" s="2" t="s">
        <v>22</v>
      </c>
      <c r="JVS220" s="53" t="s">
        <v>334</v>
      </c>
      <c r="JVT220" s="2" t="s">
        <v>513</v>
      </c>
      <c r="JVU220" s="2" t="s">
        <v>25</v>
      </c>
      <c r="JVV220" s="2" t="s">
        <v>393</v>
      </c>
      <c r="JVW220" s="7">
        <v>-74.044305502618698</v>
      </c>
      <c r="JVX220" s="7">
        <v>4.6804459478222702</v>
      </c>
      <c r="JVY220" s="2" t="s">
        <v>357</v>
      </c>
      <c r="JVZ220" s="2" t="s">
        <v>63</v>
      </c>
      <c r="JWA220" s="2" t="s">
        <v>83</v>
      </c>
      <c r="JWB220" s="2" t="s">
        <v>63</v>
      </c>
      <c r="JWC220" s="24">
        <v>434</v>
      </c>
      <c r="JWD220" s="5">
        <v>46174</v>
      </c>
      <c r="JWE220" s="5">
        <v>46174</v>
      </c>
      <c r="JWF220" s="30">
        <f t="shared" ref="JWF220" si="486">JWE220-JWD220</f>
        <v>0</v>
      </c>
      <c r="JWG220" s="5" t="s">
        <v>317</v>
      </c>
      <c r="JWH220" s="2" t="s">
        <v>22</v>
      </c>
      <c r="JWI220" s="53" t="s">
        <v>334</v>
      </c>
      <c r="JWJ220" s="2" t="s">
        <v>513</v>
      </c>
      <c r="JWK220" s="2" t="s">
        <v>25</v>
      </c>
      <c r="JWL220" s="2" t="s">
        <v>393</v>
      </c>
      <c r="JWM220" s="7">
        <v>-74.044305502618698</v>
      </c>
      <c r="JWN220" s="7">
        <v>4.6804459478222702</v>
      </c>
      <c r="JWO220" s="2" t="s">
        <v>357</v>
      </c>
      <c r="JWP220" s="2" t="s">
        <v>63</v>
      </c>
      <c r="JWQ220" s="2" t="s">
        <v>83</v>
      </c>
      <c r="JWR220" s="2" t="s">
        <v>63</v>
      </c>
      <c r="JWS220" s="24">
        <v>434</v>
      </c>
      <c r="JWT220" s="5">
        <v>46174</v>
      </c>
      <c r="JWU220" s="5">
        <v>46174</v>
      </c>
      <c r="JWV220" s="30">
        <f t="shared" ref="JWV220" si="487">JWU220-JWT220</f>
        <v>0</v>
      </c>
      <c r="JWW220" s="5" t="s">
        <v>317</v>
      </c>
      <c r="JWX220" s="2" t="s">
        <v>22</v>
      </c>
      <c r="JWY220" s="53" t="s">
        <v>334</v>
      </c>
      <c r="JWZ220" s="2" t="s">
        <v>513</v>
      </c>
      <c r="JXA220" s="2" t="s">
        <v>25</v>
      </c>
      <c r="JXB220" s="2" t="s">
        <v>393</v>
      </c>
      <c r="JXC220" s="7">
        <v>-74.044305502618698</v>
      </c>
      <c r="JXD220" s="7">
        <v>4.6804459478222702</v>
      </c>
      <c r="JXE220" s="2" t="s">
        <v>357</v>
      </c>
      <c r="JXF220" s="2" t="s">
        <v>63</v>
      </c>
      <c r="JXG220" s="2" t="s">
        <v>83</v>
      </c>
      <c r="JXH220" s="2" t="s">
        <v>63</v>
      </c>
      <c r="JXI220" s="24">
        <v>434</v>
      </c>
      <c r="JXJ220" s="5">
        <v>46174</v>
      </c>
      <c r="JXK220" s="5">
        <v>46174</v>
      </c>
      <c r="JXL220" s="30">
        <f t="shared" ref="JXL220" si="488">JXK220-JXJ220</f>
        <v>0</v>
      </c>
      <c r="JXM220" s="5" t="s">
        <v>317</v>
      </c>
      <c r="JXN220" s="2" t="s">
        <v>22</v>
      </c>
      <c r="JXO220" s="53" t="s">
        <v>334</v>
      </c>
      <c r="JXP220" s="2" t="s">
        <v>513</v>
      </c>
      <c r="JXQ220" s="2" t="s">
        <v>25</v>
      </c>
      <c r="JXR220" s="2" t="s">
        <v>393</v>
      </c>
      <c r="JXS220" s="7">
        <v>-74.044305502618698</v>
      </c>
      <c r="JXT220" s="7">
        <v>4.6804459478222702</v>
      </c>
      <c r="JXU220" s="2" t="s">
        <v>357</v>
      </c>
      <c r="JXV220" s="2" t="s">
        <v>63</v>
      </c>
      <c r="JXW220" s="2" t="s">
        <v>83</v>
      </c>
      <c r="JXX220" s="2" t="s">
        <v>63</v>
      </c>
      <c r="JXY220" s="24">
        <v>434</v>
      </c>
      <c r="JXZ220" s="5">
        <v>46174</v>
      </c>
      <c r="JYA220" s="5">
        <v>46174</v>
      </c>
      <c r="JYB220" s="30">
        <f t="shared" ref="JYB220" si="489">JYA220-JXZ220</f>
        <v>0</v>
      </c>
      <c r="JYC220" s="5" t="s">
        <v>317</v>
      </c>
      <c r="JYD220" s="2" t="s">
        <v>22</v>
      </c>
      <c r="JYE220" s="53" t="s">
        <v>334</v>
      </c>
      <c r="JYF220" s="2" t="s">
        <v>513</v>
      </c>
      <c r="JYG220" s="2" t="s">
        <v>25</v>
      </c>
      <c r="JYH220" s="2" t="s">
        <v>393</v>
      </c>
      <c r="JYI220" s="7">
        <v>-74.044305502618698</v>
      </c>
      <c r="JYJ220" s="7">
        <v>4.6804459478222702</v>
      </c>
      <c r="JYK220" s="2" t="s">
        <v>357</v>
      </c>
      <c r="JYL220" s="2" t="s">
        <v>63</v>
      </c>
      <c r="JYM220" s="2" t="s">
        <v>83</v>
      </c>
      <c r="JYN220" s="2" t="s">
        <v>63</v>
      </c>
      <c r="JYO220" s="24">
        <v>434</v>
      </c>
      <c r="JYP220" s="5">
        <v>46174</v>
      </c>
      <c r="JYQ220" s="5">
        <v>46174</v>
      </c>
      <c r="JYR220" s="30">
        <f t="shared" ref="JYR220" si="490">JYQ220-JYP220</f>
        <v>0</v>
      </c>
      <c r="JYS220" s="5" t="s">
        <v>317</v>
      </c>
      <c r="JYT220" s="2" t="s">
        <v>22</v>
      </c>
      <c r="JYU220" s="53" t="s">
        <v>334</v>
      </c>
      <c r="JYV220" s="2" t="s">
        <v>513</v>
      </c>
      <c r="JYW220" s="2" t="s">
        <v>25</v>
      </c>
      <c r="JYX220" s="2" t="s">
        <v>393</v>
      </c>
      <c r="JYY220" s="7">
        <v>-74.044305502618698</v>
      </c>
      <c r="JYZ220" s="7">
        <v>4.6804459478222702</v>
      </c>
      <c r="JZA220" s="2" t="s">
        <v>357</v>
      </c>
      <c r="JZB220" s="2" t="s">
        <v>63</v>
      </c>
      <c r="JZC220" s="2" t="s">
        <v>83</v>
      </c>
      <c r="JZD220" s="2" t="s">
        <v>63</v>
      </c>
      <c r="JZE220" s="24">
        <v>434</v>
      </c>
      <c r="JZF220" s="5">
        <v>46174</v>
      </c>
      <c r="JZG220" s="5">
        <v>46174</v>
      </c>
      <c r="JZH220" s="30">
        <f t="shared" ref="JZH220" si="491">JZG220-JZF220</f>
        <v>0</v>
      </c>
      <c r="JZI220" s="5" t="s">
        <v>317</v>
      </c>
      <c r="JZJ220" s="2" t="s">
        <v>22</v>
      </c>
      <c r="JZK220" s="53" t="s">
        <v>334</v>
      </c>
      <c r="JZL220" s="2" t="s">
        <v>513</v>
      </c>
      <c r="JZM220" s="2" t="s">
        <v>25</v>
      </c>
      <c r="JZN220" s="2" t="s">
        <v>393</v>
      </c>
      <c r="JZO220" s="7">
        <v>-74.044305502618698</v>
      </c>
      <c r="JZP220" s="7">
        <v>4.6804459478222702</v>
      </c>
      <c r="JZQ220" s="2" t="s">
        <v>357</v>
      </c>
      <c r="JZR220" s="2" t="s">
        <v>63</v>
      </c>
      <c r="JZS220" s="2" t="s">
        <v>83</v>
      </c>
      <c r="JZT220" s="2" t="s">
        <v>63</v>
      </c>
      <c r="JZU220" s="24">
        <v>434</v>
      </c>
      <c r="JZV220" s="5">
        <v>46174</v>
      </c>
      <c r="JZW220" s="5">
        <v>46174</v>
      </c>
      <c r="JZX220" s="30">
        <f t="shared" ref="JZX220" si="492">JZW220-JZV220</f>
        <v>0</v>
      </c>
      <c r="JZY220" s="5" t="s">
        <v>317</v>
      </c>
      <c r="JZZ220" s="2" t="s">
        <v>22</v>
      </c>
      <c r="KAA220" s="53" t="s">
        <v>334</v>
      </c>
      <c r="KAB220" s="2" t="s">
        <v>513</v>
      </c>
      <c r="KAC220" s="2" t="s">
        <v>25</v>
      </c>
      <c r="KAD220" s="2" t="s">
        <v>393</v>
      </c>
      <c r="KAE220" s="7">
        <v>-74.044305502618698</v>
      </c>
      <c r="KAF220" s="7">
        <v>4.6804459478222702</v>
      </c>
      <c r="KAG220" s="2" t="s">
        <v>357</v>
      </c>
      <c r="KAH220" s="2" t="s">
        <v>63</v>
      </c>
      <c r="KAI220" s="2" t="s">
        <v>83</v>
      </c>
      <c r="KAJ220" s="2" t="s">
        <v>63</v>
      </c>
      <c r="KAK220" s="24">
        <v>434</v>
      </c>
      <c r="KAL220" s="5">
        <v>46174</v>
      </c>
      <c r="KAM220" s="5">
        <v>46174</v>
      </c>
      <c r="KAN220" s="30">
        <f t="shared" ref="KAN220" si="493">KAM220-KAL220</f>
        <v>0</v>
      </c>
      <c r="KAO220" s="5" t="s">
        <v>317</v>
      </c>
      <c r="KAP220" s="2" t="s">
        <v>22</v>
      </c>
      <c r="KAQ220" s="53" t="s">
        <v>334</v>
      </c>
      <c r="KAR220" s="2" t="s">
        <v>513</v>
      </c>
      <c r="KAS220" s="2" t="s">
        <v>25</v>
      </c>
      <c r="KAT220" s="2" t="s">
        <v>393</v>
      </c>
      <c r="KAU220" s="7">
        <v>-74.044305502618698</v>
      </c>
      <c r="KAV220" s="7">
        <v>4.6804459478222702</v>
      </c>
      <c r="KAW220" s="2" t="s">
        <v>357</v>
      </c>
      <c r="KAX220" s="2" t="s">
        <v>63</v>
      </c>
      <c r="KAY220" s="2" t="s">
        <v>83</v>
      </c>
      <c r="KAZ220" s="2" t="s">
        <v>63</v>
      </c>
      <c r="KBA220" s="24">
        <v>434</v>
      </c>
      <c r="KBB220" s="5">
        <v>46174</v>
      </c>
      <c r="KBC220" s="5">
        <v>46174</v>
      </c>
      <c r="KBD220" s="30">
        <f t="shared" ref="KBD220" si="494">KBC220-KBB220</f>
        <v>0</v>
      </c>
      <c r="KBE220" s="5" t="s">
        <v>317</v>
      </c>
      <c r="KBF220" s="2" t="s">
        <v>22</v>
      </c>
      <c r="KBG220" s="53" t="s">
        <v>334</v>
      </c>
      <c r="KBH220" s="2" t="s">
        <v>513</v>
      </c>
      <c r="KBI220" s="2" t="s">
        <v>25</v>
      </c>
      <c r="KBJ220" s="2" t="s">
        <v>393</v>
      </c>
      <c r="KBK220" s="7">
        <v>-74.044305502618698</v>
      </c>
      <c r="KBL220" s="7">
        <v>4.6804459478222702</v>
      </c>
      <c r="KBM220" s="2" t="s">
        <v>357</v>
      </c>
      <c r="KBN220" s="2" t="s">
        <v>63</v>
      </c>
      <c r="KBO220" s="2" t="s">
        <v>83</v>
      </c>
      <c r="KBP220" s="2" t="s">
        <v>63</v>
      </c>
      <c r="KBQ220" s="24">
        <v>434</v>
      </c>
      <c r="KBR220" s="5">
        <v>46174</v>
      </c>
      <c r="KBS220" s="5">
        <v>46174</v>
      </c>
      <c r="KBT220" s="30">
        <f t="shared" ref="KBT220" si="495">KBS220-KBR220</f>
        <v>0</v>
      </c>
      <c r="KBU220" s="5" t="s">
        <v>317</v>
      </c>
      <c r="KBV220" s="2" t="s">
        <v>22</v>
      </c>
      <c r="KBW220" s="53" t="s">
        <v>334</v>
      </c>
      <c r="KBX220" s="2" t="s">
        <v>513</v>
      </c>
      <c r="KBY220" s="2" t="s">
        <v>25</v>
      </c>
      <c r="KBZ220" s="2" t="s">
        <v>393</v>
      </c>
      <c r="KCA220" s="7">
        <v>-74.044305502618698</v>
      </c>
      <c r="KCB220" s="7">
        <v>4.6804459478222702</v>
      </c>
      <c r="KCC220" s="2" t="s">
        <v>357</v>
      </c>
      <c r="KCD220" s="2" t="s">
        <v>63</v>
      </c>
      <c r="KCE220" s="2" t="s">
        <v>83</v>
      </c>
      <c r="KCF220" s="2" t="s">
        <v>63</v>
      </c>
      <c r="KCG220" s="24">
        <v>434</v>
      </c>
      <c r="KCH220" s="5">
        <v>46174</v>
      </c>
      <c r="KCI220" s="5">
        <v>46174</v>
      </c>
      <c r="KCJ220" s="30">
        <f t="shared" ref="KCJ220" si="496">KCI220-KCH220</f>
        <v>0</v>
      </c>
      <c r="KCK220" s="5" t="s">
        <v>317</v>
      </c>
      <c r="KCL220" s="2" t="s">
        <v>22</v>
      </c>
      <c r="KCM220" s="53" t="s">
        <v>334</v>
      </c>
      <c r="KCN220" s="2" t="s">
        <v>513</v>
      </c>
      <c r="KCO220" s="2" t="s">
        <v>25</v>
      </c>
      <c r="KCP220" s="2" t="s">
        <v>393</v>
      </c>
      <c r="KCQ220" s="7">
        <v>-74.044305502618698</v>
      </c>
      <c r="KCR220" s="7">
        <v>4.6804459478222702</v>
      </c>
      <c r="KCS220" s="2" t="s">
        <v>357</v>
      </c>
      <c r="KCT220" s="2" t="s">
        <v>63</v>
      </c>
      <c r="KCU220" s="2" t="s">
        <v>83</v>
      </c>
      <c r="KCV220" s="2" t="s">
        <v>63</v>
      </c>
      <c r="KCW220" s="24">
        <v>434</v>
      </c>
      <c r="KCX220" s="5">
        <v>46174</v>
      </c>
      <c r="KCY220" s="5">
        <v>46174</v>
      </c>
      <c r="KCZ220" s="30">
        <f t="shared" ref="KCZ220" si="497">KCY220-KCX220</f>
        <v>0</v>
      </c>
      <c r="KDA220" s="5" t="s">
        <v>317</v>
      </c>
      <c r="KDB220" s="2" t="s">
        <v>22</v>
      </c>
      <c r="KDC220" s="53" t="s">
        <v>334</v>
      </c>
      <c r="KDD220" s="2" t="s">
        <v>513</v>
      </c>
      <c r="KDE220" s="2" t="s">
        <v>25</v>
      </c>
      <c r="KDF220" s="2" t="s">
        <v>393</v>
      </c>
      <c r="KDG220" s="7">
        <v>-74.044305502618698</v>
      </c>
      <c r="KDH220" s="7">
        <v>4.6804459478222702</v>
      </c>
      <c r="KDI220" s="2" t="s">
        <v>357</v>
      </c>
      <c r="KDJ220" s="2" t="s">
        <v>63</v>
      </c>
      <c r="KDK220" s="2" t="s">
        <v>83</v>
      </c>
      <c r="KDL220" s="2" t="s">
        <v>63</v>
      </c>
      <c r="KDM220" s="24">
        <v>434</v>
      </c>
      <c r="KDN220" s="5">
        <v>46174</v>
      </c>
      <c r="KDO220" s="5">
        <v>46174</v>
      </c>
      <c r="KDP220" s="30">
        <f t="shared" ref="KDP220" si="498">KDO220-KDN220</f>
        <v>0</v>
      </c>
      <c r="KDQ220" s="5" t="s">
        <v>317</v>
      </c>
      <c r="KDR220" s="2" t="s">
        <v>22</v>
      </c>
      <c r="KDS220" s="53" t="s">
        <v>334</v>
      </c>
      <c r="KDT220" s="2" t="s">
        <v>513</v>
      </c>
      <c r="KDU220" s="2" t="s">
        <v>25</v>
      </c>
      <c r="KDV220" s="2" t="s">
        <v>393</v>
      </c>
      <c r="KDW220" s="7">
        <v>-74.044305502618698</v>
      </c>
      <c r="KDX220" s="7">
        <v>4.6804459478222702</v>
      </c>
      <c r="KDY220" s="2" t="s">
        <v>357</v>
      </c>
      <c r="KDZ220" s="2" t="s">
        <v>63</v>
      </c>
      <c r="KEA220" s="2" t="s">
        <v>83</v>
      </c>
      <c r="KEB220" s="2" t="s">
        <v>63</v>
      </c>
      <c r="KEC220" s="24">
        <v>434</v>
      </c>
      <c r="KED220" s="5">
        <v>46174</v>
      </c>
      <c r="KEE220" s="5">
        <v>46174</v>
      </c>
      <c r="KEF220" s="30">
        <f t="shared" ref="KEF220" si="499">KEE220-KED220</f>
        <v>0</v>
      </c>
      <c r="KEG220" s="5" t="s">
        <v>317</v>
      </c>
      <c r="KEH220" s="2" t="s">
        <v>22</v>
      </c>
      <c r="KEI220" s="53" t="s">
        <v>334</v>
      </c>
      <c r="KEJ220" s="2" t="s">
        <v>513</v>
      </c>
      <c r="KEK220" s="2" t="s">
        <v>25</v>
      </c>
      <c r="KEL220" s="2" t="s">
        <v>393</v>
      </c>
      <c r="KEM220" s="7">
        <v>-74.044305502618698</v>
      </c>
      <c r="KEN220" s="7">
        <v>4.6804459478222702</v>
      </c>
      <c r="KEO220" s="2" t="s">
        <v>357</v>
      </c>
      <c r="KEP220" s="2" t="s">
        <v>63</v>
      </c>
      <c r="KEQ220" s="2" t="s">
        <v>83</v>
      </c>
      <c r="KER220" s="2" t="s">
        <v>63</v>
      </c>
      <c r="KES220" s="24">
        <v>434</v>
      </c>
      <c r="KET220" s="5">
        <v>46174</v>
      </c>
      <c r="KEU220" s="5">
        <v>46174</v>
      </c>
      <c r="KEV220" s="30">
        <f t="shared" ref="KEV220" si="500">KEU220-KET220</f>
        <v>0</v>
      </c>
      <c r="KEW220" s="5" t="s">
        <v>317</v>
      </c>
      <c r="KEX220" s="2" t="s">
        <v>22</v>
      </c>
      <c r="KEY220" s="53" t="s">
        <v>334</v>
      </c>
      <c r="KEZ220" s="2" t="s">
        <v>513</v>
      </c>
      <c r="KFA220" s="2" t="s">
        <v>25</v>
      </c>
      <c r="KFB220" s="2" t="s">
        <v>393</v>
      </c>
      <c r="KFC220" s="7">
        <v>-74.044305502618698</v>
      </c>
      <c r="KFD220" s="7">
        <v>4.6804459478222702</v>
      </c>
      <c r="KFE220" s="2" t="s">
        <v>357</v>
      </c>
      <c r="KFF220" s="2" t="s">
        <v>63</v>
      </c>
      <c r="KFG220" s="2" t="s">
        <v>83</v>
      </c>
      <c r="KFH220" s="2" t="s">
        <v>63</v>
      </c>
      <c r="KFI220" s="24">
        <v>434</v>
      </c>
      <c r="KFJ220" s="5">
        <v>46174</v>
      </c>
      <c r="KFK220" s="5">
        <v>46174</v>
      </c>
      <c r="KFL220" s="30">
        <f t="shared" ref="KFL220" si="501">KFK220-KFJ220</f>
        <v>0</v>
      </c>
      <c r="KFM220" s="5" t="s">
        <v>317</v>
      </c>
      <c r="KFN220" s="2" t="s">
        <v>22</v>
      </c>
      <c r="KFO220" s="53" t="s">
        <v>334</v>
      </c>
      <c r="KFP220" s="2" t="s">
        <v>513</v>
      </c>
      <c r="KFQ220" s="2" t="s">
        <v>25</v>
      </c>
      <c r="KFR220" s="2" t="s">
        <v>393</v>
      </c>
      <c r="KFS220" s="7">
        <v>-74.044305502618698</v>
      </c>
      <c r="KFT220" s="7">
        <v>4.6804459478222702</v>
      </c>
      <c r="KFU220" s="2" t="s">
        <v>357</v>
      </c>
      <c r="KFV220" s="2" t="s">
        <v>63</v>
      </c>
      <c r="KFW220" s="2" t="s">
        <v>83</v>
      </c>
      <c r="KFX220" s="2" t="s">
        <v>63</v>
      </c>
      <c r="KFY220" s="24">
        <v>434</v>
      </c>
      <c r="KFZ220" s="5">
        <v>46174</v>
      </c>
      <c r="KGA220" s="5">
        <v>46174</v>
      </c>
      <c r="KGB220" s="30">
        <f t="shared" ref="KGB220" si="502">KGA220-KFZ220</f>
        <v>0</v>
      </c>
      <c r="KGC220" s="5" t="s">
        <v>317</v>
      </c>
      <c r="KGD220" s="2" t="s">
        <v>22</v>
      </c>
      <c r="KGE220" s="53" t="s">
        <v>334</v>
      </c>
      <c r="KGF220" s="2" t="s">
        <v>513</v>
      </c>
      <c r="KGG220" s="2" t="s">
        <v>25</v>
      </c>
      <c r="KGH220" s="2" t="s">
        <v>393</v>
      </c>
      <c r="KGI220" s="7">
        <v>-74.044305502618698</v>
      </c>
      <c r="KGJ220" s="7">
        <v>4.6804459478222702</v>
      </c>
      <c r="KGK220" s="2" t="s">
        <v>357</v>
      </c>
      <c r="KGL220" s="2" t="s">
        <v>63</v>
      </c>
      <c r="KGM220" s="2" t="s">
        <v>83</v>
      </c>
      <c r="KGN220" s="2" t="s">
        <v>63</v>
      </c>
      <c r="KGO220" s="24">
        <v>434</v>
      </c>
      <c r="KGP220" s="5">
        <v>46174</v>
      </c>
      <c r="KGQ220" s="5">
        <v>46174</v>
      </c>
      <c r="KGR220" s="30">
        <f t="shared" ref="KGR220" si="503">KGQ220-KGP220</f>
        <v>0</v>
      </c>
      <c r="KGS220" s="5" t="s">
        <v>317</v>
      </c>
      <c r="KGT220" s="2" t="s">
        <v>22</v>
      </c>
      <c r="KGU220" s="53" t="s">
        <v>334</v>
      </c>
      <c r="KGV220" s="2" t="s">
        <v>513</v>
      </c>
      <c r="KGW220" s="2" t="s">
        <v>25</v>
      </c>
      <c r="KGX220" s="2" t="s">
        <v>393</v>
      </c>
      <c r="KGY220" s="7">
        <v>-74.044305502618698</v>
      </c>
      <c r="KGZ220" s="7">
        <v>4.6804459478222702</v>
      </c>
      <c r="KHA220" s="2" t="s">
        <v>357</v>
      </c>
      <c r="KHB220" s="2" t="s">
        <v>63</v>
      </c>
      <c r="KHC220" s="2" t="s">
        <v>83</v>
      </c>
      <c r="KHD220" s="2" t="s">
        <v>63</v>
      </c>
      <c r="KHE220" s="24">
        <v>434</v>
      </c>
      <c r="KHF220" s="5">
        <v>46174</v>
      </c>
      <c r="KHG220" s="5">
        <v>46174</v>
      </c>
      <c r="KHH220" s="30">
        <f t="shared" ref="KHH220" si="504">KHG220-KHF220</f>
        <v>0</v>
      </c>
      <c r="KHI220" s="5" t="s">
        <v>317</v>
      </c>
      <c r="KHJ220" s="2" t="s">
        <v>22</v>
      </c>
      <c r="KHK220" s="53" t="s">
        <v>334</v>
      </c>
      <c r="KHL220" s="2" t="s">
        <v>513</v>
      </c>
      <c r="KHM220" s="2" t="s">
        <v>25</v>
      </c>
      <c r="KHN220" s="2" t="s">
        <v>393</v>
      </c>
      <c r="KHO220" s="7">
        <v>-74.044305502618698</v>
      </c>
      <c r="KHP220" s="7">
        <v>4.6804459478222702</v>
      </c>
      <c r="KHQ220" s="2" t="s">
        <v>357</v>
      </c>
      <c r="KHR220" s="2" t="s">
        <v>63</v>
      </c>
      <c r="KHS220" s="2" t="s">
        <v>83</v>
      </c>
      <c r="KHT220" s="2" t="s">
        <v>63</v>
      </c>
      <c r="KHU220" s="24">
        <v>434</v>
      </c>
      <c r="KHV220" s="5">
        <v>46174</v>
      </c>
      <c r="KHW220" s="5">
        <v>46174</v>
      </c>
      <c r="KHX220" s="30">
        <f t="shared" ref="KHX220" si="505">KHW220-KHV220</f>
        <v>0</v>
      </c>
      <c r="KHY220" s="5" t="s">
        <v>317</v>
      </c>
      <c r="KHZ220" s="2" t="s">
        <v>22</v>
      </c>
      <c r="KIA220" s="53" t="s">
        <v>334</v>
      </c>
      <c r="KIB220" s="2" t="s">
        <v>513</v>
      </c>
      <c r="KIC220" s="2" t="s">
        <v>25</v>
      </c>
      <c r="KID220" s="2" t="s">
        <v>393</v>
      </c>
      <c r="KIE220" s="7">
        <v>-74.044305502618698</v>
      </c>
      <c r="KIF220" s="7">
        <v>4.6804459478222702</v>
      </c>
      <c r="KIG220" s="2" t="s">
        <v>357</v>
      </c>
      <c r="KIH220" s="2" t="s">
        <v>63</v>
      </c>
      <c r="KII220" s="2" t="s">
        <v>83</v>
      </c>
      <c r="KIJ220" s="2" t="s">
        <v>63</v>
      </c>
      <c r="KIK220" s="24">
        <v>434</v>
      </c>
      <c r="KIL220" s="5">
        <v>46174</v>
      </c>
      <c r="KIM220" s="5">
        <v>46174</v>
      </c>
      <c r="KIN220" s="30">
        <f t="shared" ref="KIN220" si="506">KIM220-KIL220</f>
        <v>0</v>
      </c>
      <c r="KIO220" s="5" t="s">
        <v>317</v>
      </c>
      <c r="KIP220" s="2" t="s">
        <v>22</v>
      </c>
      <c r="KIQ220" s="53" t="s">
        <v>334</v>
      </c>
      <c r="KIR220" s="2" t="s">
        <v>513</v>
      </c>
      <c r="KIS220" s="2" t="s">
        <v>25</v>
      </c>
      <c r="KIT220" s="2" t="s">
        <v>393</v>
      </c>
      <c r="KIU220" s="7">
        <v>-74.044305502618698</v>
      </c>
      <c r="KIV220" s="7">
        <v>4.6804459478222702</v>
      </c>
      <c r="KIW220" s="2" t="s">
        <v>357</v>
      </c>
      <c r="KIX220" s="2" t="s">
        <v>63</v>
      </c>
      <c r="KIY220" s="2" t="s">
        <v>83</v>
      </c>
      <c r="KIZ220" s="2" t="s">
        <v>63</v>
      </c>
      <c r="KJA220" s="24">
        <v>434</v>
      </c>
      <c r="KJB220" s="5">
        <v>46174</v>
      </c>
      <c r="KJC220" s="5">
        <v>46174</v>
      </c>
      <c r="KJD220" s="30">
        <f t="shared" ref="KJD220" si="507">KJC220-KJB220</f>
        <v>0</v>
      </c>
      <c r="KJE220" s="5" t="s">
        <v>317</v>
      </c>
      <c r="KJF220" s="2" t="s">
        <v>22</v>
      </c>
      <c r="KJG220" s="53" t="s">
        <v>334</v>
      </c>
      <c r="KJH220" s="2" t="s">
        <v>513</v>
      </c>
      <c r="KJI220" s="2" t="s">
        <v>25</v>
      </c>
      <c r="KJJ220" s="2" t="s">
        <v>393</v>
      </c>
      <c r="KJK220" s="7">
        <v>-74.044305502618698</v>
      </c>
      <c r="KJL220" s="7">
        <v>4.6804459478222702</v>
      </c>
      <c r="KJM220" s="2" t="s">
        <v>357</v>
      </c>
      <c r="KJN220" s="2" t="s">
        <v>63</v>
      </c>
      <c r="KJO220" s="2" t="s">
        <v>83</v>
      </c>
      <c r="KJP220" s="2" t="s">
        <v>63</v>
      </c>
      <c r="KJQ220" s="24">
        <v>434</v>
      </c>
      <c r="KJR220" s="5">
        <v>46174</v>
      </c>
      <c r="KJS220" s="5">
        <v>46174</v>
      </c>
      <c r="KJT220" s="30">
        <f t="shared" ref="KJT220" si="508">KJS220-KJR220</f>
        <v>0</v>
      </c>
      <c r="KJU220" s="5" t="s">
        <v>317</v>
      </c>
      <c r="KJV220" s="2" t="s">
        <v>22</v>
      </c>
      <c r="KJW220" s="53" t="s">
        <v>334</v>
      </c>
      <c r="KJX220" s="2" t="s">
        <v>513</v>
      </c>
      <c r="KJY220" s="2" t="s">
        <v>25</v>
      </c>
      <c r="KJZ220" s="2" t="s">
        <v>393</v>
      </c>
      <c r="KKA220" s="7">
        <v>-74.044305502618698</v>
      </c>
      <c r="KKB220" s="7">
        <v>4.6804459478222702</v>
      </c>
      <c r="KKC220" s="2" t="s">
        <v>357</v>
      </c>
      <c r="KKD220" s="2" t="s">
        <v>63</v>
      </c>
      <c r="KKE220" s="2" t="s">
        <v>83</v>
      </c>
      <c r="KKF220" s="2" t="s">
        <v>63</v>
      </c>
      <c r="KKG220" s="24">
        <v>434</v>
      </c>
      <c r="KKH220" s="5">
        <v>46174</v>
      </c>
      <c r="KKI220" s="5">
        <v>46174</v>
      </c>
      <c r="KKJ220" s="30">
        <f t="shared" ref="KKJ220" si="509">KKI220-KKH220</f>
        <v>0</v>
      </c>
      <c r="KKK220" s="5" t="s">
        <v>317</v>
      </c>
      <c r="KKL220" s="2" t="s">
        <v>22</v>
      </c>
      <c r="KKM220" s="53" t="s">
        <v>334</v>
      </c>
      <c r="KKN220" s="2" t="s">
        <v>513</v>
      </c>
      <c r="KKO220" s="2" t="s">
        <v>25</v>
      </c>
      <c r="KKP220" s="2" t="s">
        <v>393</v>
      </c>
      <c r="KKQ220" s="7">
        <v>-74.044305502618698</v>
      </c>
      <c r="KKR220" s="7">
        <v>4.6804459478222702</v>
      </c>
      <c r="KKS220" s="2" t="s">
        <v>357</v>
      </c>
      <c r="KKT220" s="2" t="s">
        <v>63</v>
      </c>
      <c r="KKU220" s="2" t="s">
        <v>83</v>
      </c>
      <c r="KKV220" s="2" t="s">
        <v>63</v>
      </c>
      <c r="KKW220" s="24">
        <v>434</v>
      </c>
      <c r="KKX220" s="5">
        <v>46174</v>
      </c>
      <c r="KKY220" s="5">
        <v>46174</v>
      </c>
      <c r="KKZ220" s="30">
        <f t="shared" ref="KKZ220" si="510">KKY220-KKX220</f>
        <v>0</v>
      </c>
      <c r="KLA220" s="5" t="s">
        <v>317</v>
      </c>
      <c r="KLB220" s="2" t="s">
        <v>22</v>
      </c>
      <c r="KLC220" s="53" t="s">
        <v>334</v>
      </c>
      <c r="KLD220" s="2" t="s">
        <v>513</v>
      </c>
      <c r="KLE220" s="2" t="s">
        <v>25</v>
      </c>
      <c r="KLF220" s="2" t="s">
        <v>393</v>
      </c>
      <c r="KLG220" s="7">
        <v>-74.044305502618698</v>
      </c>
      <c r="KLH220" s="7">
        <v>4.6804459478222702</v>
      </c>
      <c r="KLI220" s="2" t="s">
        <v>357</v>
      </c>
      <c r="KLJ220" s="2" t="s">
        <v>63</v>
      </c>
      <c r="KLK220" s="2" t="s">
        <v>83</v>
      </c>
      <c r="KLL220" s="2" t="s">
        <v>63</v>
      </c>
      <c r="KLM220" s="24">
        <v>434</v>
      </c>
      <c r="KLN220" s="5">
        <v>46174</v>
      </c>
      <c r="KLO220" s="5">
        <v>46174</v>
      </c>
      <c r="KLP220" s="30">
        <f t="shared" ref="KLP220" si="511">KLO220-KLN220</f>
        <v>0</v>
      </c>
      <c r="KLQ220" s="5" t="s">
        <v>317</v>
      </c>
      <c r="KLR220" s="2" t="s">
        <v>22</v>
      </c>
      <c r="KLS220" s="53" t="s">
        <v>334</v>
      </c>
      <c r="KLT220" s="2" t="s">
        <v>513</v>
      </c>
      <c r="KLU220" s="2" t="s">
        <v>25</v>
      </c>
      <c r="KLV220" s="2" t="s">
        <v>393</v>
      </c>
      <c r="KLW220" s="7">
        <v>-74.044305502618698</v>
      </c>
      <c r="KLX220" s="7">
        <v>4.6804459478222702</v>
      </c>
      <c r="KLY220" s="2" t="s">
        <v>357</v>
      </c>
      <c r="KLZ220" s="2" t="s">
        <v>63</v>
      </c>
      <c r="KMA220" s="2" t="s">
        <v>83</v>
      </c>
      <c r="KMB220" s="2" t="s">
        <v>63</v>
      </c>
      <c r="KMC220" s="24">
        <v>434</v>
      </c>
      <c r="KMD220" s="5">
        <v>46174</v>
      </c>
      <c r="KME220" s="5">
        <v>46174</v>
      </c>
      <c r="KMF220" s="30">
        <f t="shared" ref="KMF220" si="512">KME220-KMD220</f>
        <v>0</v>
      </c>
      <c r="KMG220" s="5" t="s">
        <v>317</v>
      </c>
      <c r="KMH220" s="2" t="s">
        <v>22</v>
      </c>
      <c r="KMI220" s="53" t="s">
        <v>334</v>
      </c>
      <c r="KMJ220" s="2" t="s">
        <v>513</v>
      </c>
      <c r="KMK220" s="2" t="s">
        <v>25</v>
      </c>
      <c r="KML220" s="2" t="s">
        <v>393</v>
      </c>
      <c r="KMM220" s="7">
        <v>-74.044305502618698</v>
      </c>
      <c r="KMN220" s="7">
        <v>4.6804459478222702</v>
      </c>
      <c r="KMO220" s="2" t="s">
        <v>357</v>
      </c>
      <c r="KMP220" s="2" t="s">
        <v>63</v>
      </c>
      <c r="KMQ220" s="2" t="s">
        <v>83</v>
      </c>
      <c r="KMR220" s="2" t="s">
        <v>63</v>
      </c>
      <c r="KMS220" s="24">
        <v>434</v>
      </c>
      <c r="KMT220" s="5">
        <v>46174</v>
      </c>
      <c r="KMU220" s="5">
        <v>46174</v>
      </c>
      <c r="KMV220" s="30">
        <f t="shared" ref="KMV220" si="513">KMU220-KMT220</f>
        <v>0</v>
      </c>
      <c r="KMW220" s="5" t="s">
        <v>317</v>
      </c>
      <c r="KMX220" s="2" t="s">
        <v>22</v>
      </c>
      <c r="KMY220" s="53" t="s">
        <v>334</v>
      </c>
      <c r="KMZ220" s="2" t="s">
        <v>513</v>
      </c>
      <c r="KNA220" s="2" t="s">
        <v>25</v>
      </c>
      <c r="KNB220" s="2" t="s">
        <v>393</v>
      </c>
      <c r="KNC220" s="7">
        <v>-74.044305502618698</v>
      </c>
      <c r="KND220" s="7">
        <v>4.6804459478222702</v>
      </c>
      <c r="KNE220" s="2" t="s">
        <v>357</v>
      </c>
      <c r="KNF220" s="2" t="s">
        <v>63</v>
      </c>
      <c r="KNG220" s="2" t="s">
        <v>83</v>
      </c>
      <c r="KNH220" s="2" t="s">
        <v>63</v>
      </c>
      <c r="KNI220" s="24">
        <v>434</v>
      </c>
      <c r="KNJ220" s="5">
        <v>46174</v>
      </c>
      <c r="KNK220" s="5">
        <v>46174</v>
      </c>
      <c r="KNL220" s="30">
        <f t="shared" ref="KNL220" si="514">KNK220-KNJ220</f>
        <v>0</v>
      </c>
      <c r="KNM220" s="5" t="s">
        <v>317</v>
      </c>
      <c r="KNN220" s="2" t="s">
        <v>22</v>
      </c>
      <c r="KNO220" s="53" t="s">
        <v>334</v>
      </c>
      <c r="KNP220" s="2" t="s">
        <v>513</v>
      </c>
      <c r="KNQ220" s="2" t="s">
        <v>25</v>
      </c>
      <c r="KNR220" s="2" t="s">
        <v>393</v>
      </c>
      <c r="KNS220" s="7">
        <v>-74.044305502618698</v>
      </c>
      <c r="KNT220" s="7">
        <v>4.6804459478222702</v>
      </c>
      <c r="KNU220" s="2" t="s">
        <v>357</v>
      </c>
      <c r="KNV220" s="2" t="s">
        <v>63</v>
      </c>
      <c r="KNW220" s="2" t="s">
        <v>83</v>
      </c>
      <c r="KNX220" s="2" t="s">
        <v>63</v>
      </c>
      <c r="KNY220" s="24">
        <v>434</v>
      </c>
      <c r="KNZ220" s="5">
        <v>46174</v>
      </c>
      <c r="KOA220" s="5">
        <v>46174</v>
      </c>
      <c r="KOB220" s="30">
        <f t="shared" ref="KOB220" si="515">KOA220-KNZ220</f>
        <v>0</v>
      </c>
      <c r="KOC220" s="5" t="s">
        <v>317</v>
      </c>
      <c r="KOD220" s="2" t="s">
        <v>22</v>
      </c>
      <c r="KOE220" s="53" t="s">
        <v>334</v>
      </c>
      <c r="KOF220" s="2" t="s">
        <v>513</v>
      </c>
      <c r="KOG220" s="2" t="s">
        <v>25</v>
      </c>
      <c r="KOH220" s="2" t="s">
        <v>393</v>
      </c>
      <c r="KOI220" s="7">
        <v>-74.044305502618698</v>
      </c>
      <c r="KOJ220" s="7">
        <v>4.6804459478222702</v>
      </c>
      <c r="KOK220" s="2" t="s">
        <v>357</v>
      </c>
      <c r="KOL220" s="2" t="s">
        <v>63</v>
      </c>
      <c r="KOM220" s="2" t="s">
        <v>83</v>
      </c>
      <c r="KON220" s="2" t="s">
        <v>63</v>
      </c>
      <c r="KOO220" s="24">
        <v>434</v>
      </c>
      <c r="KOP220" s="5">
        <v>46174</v>
      </c>
      <c r="KOQ220" s="5">
        <v>46174</v>
      </c>
      <c r="KOR220" s="30">
        <f t="shared" ref="KOR220" si="516">KOQ220-KOP220</f>
        <v>0</v>
      </c>
      <c r="KOS220" s="5" t="s">
        <v>317</v>
      </c>
      <c r="KOT220" s="2" t="s">
        <v>22</v>
      </c>
      <c r="KOU220" s="53" t="s">
        <v>334</v>
      </c>
      <c r="KOV220" s="2" t="s">
        <v>513</v>
      </c>
      <c r="KOW220" s="2" t="s">
        <v>25</v>
      </c>
      <c r="KOX220" s="2" t="s">
        <v>393</v>
      </c>
      <c r="KOY220" s="7">
        <v>-74.044305502618698</v>
      </c>
      <c r="KOZ220" s="7">
        <v>4.6804459478222702</v>
      </c>
      <c r="KPA220" s="2" t="s">
        <v>357</v>
      </c>
      <c r="KPB220" s="2" t="s">
        <v>63</v>
      </c>
      <c r="KPC220" s="2" t="s">
        <v>83</v>
      </c>
      <c r="KPD220" s="2" t="s">
        <v>63</v>
      </c>
      <c r="KPE220" s="24">
        <v>434</v>
      </c>
      <c r="KPF220" s="5">
        <v>46174</v>
      </c>
      <c r="KPG220" s="5">
        <v>46174</v>
      </c>
      <c r="KPH220" s="30">
        <f t="shared" ref="KPH220" si="517">KPG220-KPF220</f>
        <v>0</v>
      </c>
      <c r="KPI220" s="5" t="s">
        <v>317</v>
      </c>
      <c r="KPJ220" s="2" t="s">
        <v>22</v>
      </c>
      <c r="KPK220" s="53" t="s">
        <v>334</v>
      </c>
      <c r="KPL220" s="2" t="s">
        <v>513</v>
      </c>
      <c r="KPM220" s="2" t="s">
        <v>25</v>
      </c>
      <c r="KPN220" s="2" t="s">
        <v>393</v>
      </c>
      <c r="KPO220" s="7">
        <v>-74.044305502618698</v>
      </c>
      <c r="KPP220" s="7">
        <v>4.6804459478222702</v>
      </c>
      <c r="KPQ220" s="2" t="s">
        <v>357</v>
      </c>
      <c r="KPR220" s="2" t="s">
        <v>63</v>
      </c>
      <c r="KPS220" s="2" t="s">
        <v>83</v>
      </c>
      <c r="KPT220" s="2" t="s">
        <v>63</v>
      </c>
      <c r="KPU220" s="24">
        <v>434</v>
      </c>
      <c r="KPV220" s="5">
        <v>46174</v>
      </c>
      <c r="KPW220" s="5">
        <v>46174</v>
      </c>
      <c r="KPX220" s="30">
        <f t="shared" ref="KPX220" si="518">KPW220-KPV220</f>
        <v>0</v>
      </c>
      <c r="KPY220" s="5" t="s">
        <v>317</v>
      </c>
      <c r="KPZ220" s="2" t="s">
        <v>22</v>
      </c>
      <c r="KQA220" s="53" t="s">
        <v>334</v>
      </c>
      <c r="KQB220" s="2" t="s">
        <v>513</v>
      </c>
      <c r="KQC220" s="2" t="s">
        <v>25</v>
      </c>
      <c r="KQD220" s="2" t="s">
        <v>393</v>
      </c>
      <c r="KQE220" s="7">
        <v>-74.044305502618698</v>
      </c>
      <c r="KQF220" s="7">
        <v>4.6804459478222702</v>
      </c>
      <c r="KQG220" s="2" t="s">
        <v>357</v>
      </c>
      <c r="KQH220" s="2" t="s">
        <v>63</v>
      </c>
      <c r="KQI220" s="2" t="s">
        <v>83</v>
      </c>
      <c r="KQJ220" s="2" t="s">
        <v>63</v>
      </c>
      <c r="KQK220" s="24">
        <v>434</v>
      </c>
      <c r="KQL220" s="5">
        <v>46174</v>
      </c>
      <c r="KQM220" s="5">
        <v>46174</v>
      </c>
      <c r="KQN220" s="30">
        <f t="shared" ref="KQN220" si="519">KQM220-KQL220</f>
        <v>0</v>
      </c>
      <c r="KQO220" s="5" t="s">
        <v>317</v>
      </c>
      <c r="KQP220" s="2" t="s">
        <v>22</v>
      </c>
      <c r="KQQ220" s="53" t="s">
        <v>334</v>
      </c>
      <c r="KQR220" s="2" t="s">
        <v>513</v>
      </c>
      <c r="KQS220" s="2" t="s">
        <v>25</v>
      </c>
      <c r="KQT220" s="2" t="s">
        <v>393</v>
      </c>
      <c r="KQU220" s="7">
        <v>-74.044305502618698</v>
      </c>
      <c r="KQV220" s="7">
        <v>4.6804459478222702</v>
      </c>
      <c r="KQW220" s="2" t="s">
        <v>357</v>
      </c>
      <c r="KQX220" s="2" t="s">
        <v>63</v>
      </c>
      <c r="KQY220" s="2" t="s">
        <v>83</v>
      </c>
      <c r="KQZ220" s="2" t="s">
        <v>63</v>
      </c>
      <c r="KRA220" s="24">
        <v>434</v>
      </c>
      <c r="KRB220" s="5">
        <v>46174</v>
      </c>
      <c r="KRC220" s="5">
        <v>46174</v>
      </c>
      <c r="KRD220" s="30">
        <f t="shared" ref="KRD220" si="520">KRC220-KRB220</f>
        <v>0</v>
      </c>
      <c r="KRE220" s="5" t="s">
        <v>317</v>
      </c>
      <c r="KRF220" s="2" t="s">
        <v>22</v>
      </c>
      <c r="KRG220" s="53" t="s">
        <v>334</v>
      </c>
      <c r="KRH220" s="2" t="s">
        <v>513</v>
      </c>
      <c r="KRI220" s="2" t="s">
        <v>25</v>
      </c>
      <c r="KRJ220" s="2" t="s">
        <v>393</v>
      </c>
      <c r="KRK220" s="7">
        <v>-74.044305502618698</v>
      </c>
      <c r="KRL220" s="7">
        <v>4.6804459478222702</v>
      </c>
      <c r="KRM220" s="2" t="s">
        <v>357</v>
      </c>
      <c r="KRN220" s="2" t="s">
        <v>63</v>
      </c>
      <c r="KRO220" s="2" t="s">
        <v>83</v>
      </c>
      <c r="KRP220" s="2" t="s">
        <v>63</v>
      </c>
      <c r="KRQ220" s="24">
        <v>434</v>
      </c>
      <c r="KRR220" s="5">
        <v>46174</v>
      </c>
      <c r="KRS220" s="5">
        <v>46174</v>
      </c>
      <c r="KRT220" s="30">
        <f t="shared" ref="KRT220" si="521">KRS220-KRR220</f>
        <v>0</v>
      </c>
      <c r="KRU220" s="5" t="s">
        <v>317</v>
      </c>
      <c r="KRV220" s="2" t="s">
        <v>22</v>
      </c>
      <c r="KRW220" s="53" t="s">
        <v>334</v>
      </c>
      <c r="KRX220" s="2" t="s">
        <v>513</v>
      </c>
      <c r="KRY220" s="2" t="s">
        <v>25</v>
      </c>
      <c r="KRZ220" s="2" t="s">
        <v>393</v>
      </c>
      <c r="KSA220" s="7">
        <v>-74.044305502618698</v>
      </c>
      <c r="KSB220" s="7">
        <v>4.6804459478222702</v>
      </c>
      <c r="KSC220" s="2" t="s">
        <v>357</v>
      </c>
      <c r="KSD220" s="2" t="s">
        <v>63</v>
      </c>
      <c r="KSE220" s="2" t="s">
        <v>83</v>
      </c>
      <c r="KSF220" s="2" t="s">
        <v>63</v>
      </c>
      <c r="KSG220" s="24">
        <v>434</v>
      </c>
      <c r="KSH220" s="5">
        <v>46174</v>
      </c>
      <c r="KSI220" s="5">
        <v>46174</v>
      </c>
      <c r="KSJ220" s="30">
        <f t="shared" ref="KSJ220" si="522">KSI220-KSH220</f>
        <v>0</v>
      </c>
      <c r="KSK220" s="5" t="s">
        <v>317</v>
      </c>
      <c r="KSL220" s="2" t="s">
        <v>22</v>
      </c>
      <c r="KSM220" s="53" t="s">
        <v>334</v>
      </c>
      <c r="KSN220" s="2" t="s">
        <v>513</v>
      </c>
      <c r="KSO220" s="2" t="s">
        <v>25</v>
      </c>
      <c r="KSP220" s="2" t="s">
        <v>393</v>
      </c>
      <c r="KSQ220" s="7">
        <v>-74.044305502618698</v>
      </c>
      <c r="KSR220" s="7">
        <v>4.6804459478222702</v>
      </c>
      <c r="KSS220" s="2" t="s">
        <v>357</v>
      </c>
      <c r="KST220" s="2" t="s">
        <v>63</v>
      </c>
      <c r="KSU220" s="2" t="s">
        <v>83</v>
      </c>
      <c r="KSV220" s="2" t="s">
        <v>63</v>
      </c>
      <c r="KSW220" s="24">
        <v>434</v>
      </c>
      <c r="KSX220" s="5">
        <v>46174</v>
      </c>
      <c r="KSY220" s="5">
        <v>46174</v>
      </c>
      <c r="KSZ220" s="30">
        <f t="shared" ref="KSZ220" si="523">KSY220-KSX220</f>
        <v>0</v>
      </c>
      <c r="KTA220" s="5" t="s">
        <v>317</v>
      </c>
      <c r="KTB220" s="2" t="s">
        <v>22</v>
      </c>
      <c r="KTC220" s="53" t="s">
        <v>334</v>
      </c>
      <c r="KTD220" s="2" t="s">
        <v>513</v>
      </c>
      <c r="KTE220" s="2" t="s">
        <v>25</v>
      </c>
      <c r="KTF220" s="2" t="s">
        <v>393</v>
      </c>
      <c r="KTG220" s="7">
        <v>-74.044305502618698</v>
      </c>
      <c r="KTH220" s="7">
        <v>4.6804459478222702</v>
      </c>
      <c r="KTI220" s="2" t="s">
        <v>357</v>
      </c>
      <c r="KTJ220" s="2" t="s">
        <v>63</v>
      </c>
      <c r="KTK220" s="2" t="s">
        <v>83</v>
      </c>
      <c r="KTL220" s="2" t="s">
        <v>63</v>
      </c>
      <c r="KTM220" s="24">
        <v>434</v>
      </c>
      <c r="KTN220" s="5">
        <v>46174</v>
      </c>
      <c r="KTO220" s="5">
        <v>46174</v>
      </c>
      <c r="KTP220" s="30">
        <f t="shared" ref="KTP220" si="524">KTO220-KTN220</f>
        <v>0</v>
      </c>
      <c r="KTQ220" s="5" t="s">
        <v>317</v>
      </c>
      <c r="KTR220" s="2" t="s">
        <v>22</v>
      </c>
      <c r="KTS220" s="53" t="s">
        <v>334</v>
      </c>
      <c r="KTT220" s="2" t="s">
        <v>513</v>
      </c>
      <c r="KTU220" s="2" t="s">
        <v>25</v>
      </c>
      <c r="KTV220" s="2" t="s">
        <v>393</v>
      </c>
      <c r="KTW220" s="7">
        <v>-74.044305502618698</v>
      </c>
      <c r="KTX220" s="7">
        <v>4.6804459478222702</v>
      </c>
      <c r="KTY220" s="2" t="s">
        <v>357</v>
      </c>
      <c r="KTZ220" s="2" t="s">
        <v>63</v>
      </c>
      <c r="KUA220" s="2" t="s">
        <v>83</v>
      </c>
      <c r="KUB220" s="2" t="s">
        <v>63</v>
      </c>
      <c r="KUC220" s="24">
        <v>434</v>
      </c>
      <c r="KUD220" s="5">
        <v>46174</v>
      </c>
      <c r="KUE220" s="5">
        <v>46174</v>
      </c>
      <c r="KUF220" s="30">
        <f t="shared" ref="KUF220" si="525">KUE220-KUD220</f>
        <v>0</v>
      </c>
      <c r="KUG220" s="5" t="s">
        <v>317</v>
      </c>
      <c r="KUH220" s="2" t="s">
        <v>22</v>
      </c>
      <c r="KUI220" s="53" t="s">
        <v>334</v>
      </c>
      <c r="KUJ220" s="2" t="s">
        <v>513</v>
      </c>
      <c r="KUK220" s="2" t="s">
        <v>25</v>
      </c>
      <c r="KUL220" s="2" t="s">
        <v>393</v>
      </c>
      <c r="KUM220" s="7">
        <v>-74.044305502618698</v>
      </c>
      <c r="KUN220" s="7">
        <v>4.6804459478222702</v>
      </c>
      <c r="KUO220" s="2" t="s">
        <v>357</v>
      </c>
      <c r="KUP220" s="2" t="s">
        <v>63</v>
      </c>
      <c r="KUQ220" s="2" t="s">
        <v>83</v>
      </c>
      <c r="KUR220" s="2" t="s">
        <v>63</v>
      </c>
      <c r="KUS220" s="24">
        <v>434</v>
      </c>
      <c r="KUT220" s="5">
        <v>46174</v>
      </c>
      <c r="KUU220" s="5">
        <v>46174</v>
      </c>
      <c r="KUV220" s="30">
        <f t="shared" ref="KUV220" si="526">KUU220-KUT220</f>
        <v>0</v>
      </c>
      <c r="KUW220" s="5" t="s">
        <v>317</v>
      </c>
      <c r="KUX220" s="2" t="s">
        <v>22</v>
      </c>
      <c r="KUY220" s="53" t="s">
        <v>334</v>
      </c>
      <c r="KUZ220" s="2" t="s">
        <v>513</v>
      </c>
      <c r="KVA220" s="2" t="s">
        <v>25</v>
      </c>
      <c r="KVB220" s="2" t="s">
        <v>393</v>
      </c>
      <c r="KVC220" s="7">
        <v>-74.044305502618698</v>
      </c>
      <c r="KVD220" s="7">
        <v>4.6804459478222702</v>
      </c>
      <c r="KVE220" s="2" t="s">
        <v>357</v>
      </c>
      <c r="KVF220" s="2" t="s">
        <v>63</v>
      </c>
      <c r="KVG220" s="2" t="s">
        <v>83</v>
      </c>
      <c r="KVH220" s="2" t="s">
        <v>63</v>
      </c>
      <c r="KVI220" s="24">
        <v>434</v>
      </c>
      <c r="KVJ220" s="5">
        <v>46174</v>
      </c>
      <c r="KVK220" s="5">
        <v>46174</v>
      </c>
      <c r="KVL220" s="30">
        <f t="shared" ref="KVL220" si="527">KVK220-KVJ220</f>
        <v>0</v>
      </c>
      <c r="KVM220" s="5" t="s">
        <v>317</v>
      </c>
      <c r="KVN220" s="2" t="s">
        <v>22</v>
      </c>
      <c r="KVO220" s="53" t="s">
        <v>334</v>
      </c>
      <c r="KVP220" s="2" t="s">
        <v>513</v>
      </c>
      <c r="KVQ220" s="2" t="s">
        <v>25</v>
      </c>
      <c r="KVR220" s="2" t="s">
        <v>393</v>
      </c>
      <c r="KVS220" s="7">
        <v>-74.044305502618698</v>
      </c>
      <c r="KVT220" s="7">
        <v>4.6804459478222702</v>
      </c>
      <c r="KVU220" s="2" t="s">
        <v>357</v>
      </c>
      <c r="KVV220" s="2" t="s">
        <v>63</v>
      </c>
      <c r="KVW220" s="2" t="s">
        <v>83</v>
      </c>
      <c r="KVX220" s="2" t="s">
        <v>63</v>
      </c>
      <c r="KVY220" s="24">
        <v>434</v>
      </c>
      <c r="KVZ220" s="5">
        <v>46174</v>
      </c>
      <c r="KWA220" s="5">
        <v>46174</v>
      </c>
      <c r="KWB220" s="30">
        <f t="shared" ref="KWB220" si="528">KWA220-KVZ220</f>
        <v>0</v>
      </c>
      <c r="KWC220" s="5" t="s">
        <v>317</v>
      </c>
      <c r="KWD220" s="2" t="s">
        <v>22</v>
      </c>
      <c r="KWE220" s="53" t="s">
        <v>334</v>
      </c>
      <c r="KWF220" s="2" t="s">
        <v>513</v>
      </c>
      <c r="KWG220" s="2" t="s">
        <v>25</v>
      </c>
      <c r="KWH220" s="2" t="s">
        <v>393</v>
      </c>
      <c r="KWI220" s="7">
        <v>-74.044305502618698</v>
      </c>
      <c r="KWJ220" s="7">
        <v>4.6804459478222702</v>
      </c>
      <c r="KWK220" s="2" t="s">
        <v>357</v>
      </c>
      <c r="KWL220" s="2" t="s">
        <v>63</v>
      </c>
      <c r="KWM220" s="2" t="s">
        <v>83</v>
      </c>
      <c r="KWN220" s="2" t="s">
        <v>63</v>
      </c>
      <c r="KWO220" s="24">
        <v>434</v>
      </c>
      <c r="KWP220" s="5">
        <v>46174</v>
      </c>
      <c r="KWQ220" s="5">
        <v>46174</v>
      </c>
      <c r="KWR220" s="30">
        <f t="shared" ref="KWR220" si="529">KWQ220-KWP220</f>
        <v>0</v>
      </c>
      <c r="KWS220" s="5" t="s">
        <v>317</v>
      </c>
      <c r="KWT220" s="2" t="s">
        <v>22</v>
      </c>
      <c r="KWU220" s="53" t="s">
        <v>334</v>
      </c>
      <c r="KWV220" s="2" t="s">
        <v>513</v>
      </c>
      <c r="KWW220" s="2" t="s">
        <v>25</v>
      </c>
      <c r="KWX220" s="2" t="s">
        <v>393</v>
      </c>
      <c r="KWY220" s="7">
        <v>-74.044305502618698</v>
      </c>
      <c r="KWZ220" s="7">
        <v>4.6804459478222702</v>
      </c>
      <c r="KXA220" s="2" t="s">
        <v>357</v>
      </c>
      <c r="KXB220" s="2" t="s">
        <v>63</v>
      </c>
      <c r="KXC220" s="2" t="s">
        <v>83</v>
      </c>
      <c r="KXD220" s="2" t="s">
        <v>63</v>
      </c>
      <c r="KXE220" s="24">
        <v>434</v>
      </c>
      <c r="KXF220" s="5">
        <v>46174</v>
      </c>
      <c r="KXG220" s="5">
        <v>46174</v>
      </c>
      <c r="KXH220" s="30">
        <f t="shared" ref="KXH220" si="530">KXG220-KXF220</f>
        <v>0</v>
      </c>
      <c r="KXI220" s="5" t="s">
        <v>317</v>
      </c>
      <c r="KXJ220" s="2" t="s">
        <v>22</v>
      </c>
      <c r="KXK220" s="53" t="s">
        <v>334</v>
      </c>
      <c r="KXL220" s="2" t="s">
        <v>513</v>
      </c>
      <c r="KXM220" s="2" t="s">
        <v>25</v>
      </c>
      <c r="KXN220" s="2" t="s">
        <v>393</v>
      </c>
      <c r="KXO220" s="7">
        <v>-74.044305502618698</v>
      </c>
      <c r="KXP220" s="7">
        <v>4.6804459478222702</v>
      </c>
      <c r="KXQ220" s="2" t="s">
        <v>357</v>
      </c>
      <c r="KXR220" s="2" t="s">
        <v>63</v>
      </c>
      <c r="KXS220" s="2" t="s">
        <v>83</v>
      </c>
      <c r="KXT220" s="2" t="s">
        <v>63</v>
      </c>
      <c r="KXU220" s="24">
        <v>434</v>
      </c>
      <c r="KXV220" s="5">
        <v>46174</v>
      </c>
      <c r="KXW220" s="5">
        <v>46174</v>
      </c>
      <c r="KXX220" s="30">
        <f t="shared" ref="KXX220" si="531">KXW220-KXV220</f>
        <v>0</v>
      </c>
      <c r="KXY220" s="5" t="s">
        <v>317</v>
      </c>
      <c r="KXZ220" s="2" t="s">
        <v>22</v>
      </c>
      <c r="KYA220" s="53" t="s">
        <v>334</v>
      </c>
      <c r="KYB220" s="2" t="s">
        <v>513</v>
      </c>
      <c r="KYC220" s="2" t="s">
        <v>25</v>
      </c>
      <c r="KYD220" s="2" t="s">
        <v>393</v>
      </c>
      <c r="KYE220" s="7">
        <v>-74.044305502618698</v>
      </c>
      <c r="KYF220" s="7">
        <v>4.6804459478222702</v>
      </c>
      <c r="KYG220" s="2" t="s">
        <v>357</v>
      </c>
      <c r="KYH220" s="2" t="s">
        <v>63</v>
      </c>
      <c r="KYI220" s="2" t="s">
        <v>83</v>
      </c>
      <c r="KYJ220" s="2" t="s">
        <v>63</v>
      </c>
      <c r="KYK220" s="24">
        <v>434</v>
      </c>
      <c r="KYL220" s="5">
        <v>46174</v>
      </c>
      <c r="KYM220" s="5">
        <v>46174</v>
      </c>
      <c r="KYN220" s="30">
        <f t="shared" ref="KYN220" si="532">KYM220-KYL220</f>
        <v>0</v>
      </c>
      <c r="KYO220" s="5" t="s">
        <v>317</v>
      </c>
      <c r="KYP220" s="2" t="s">
        <v>22</v>
      </c>
      <c r="KYQ220" s="53" t="s">
        <v>334</v>
      </c>
      <c r="KYR220" s="2" t="s">
        <v>513</v>
      </c>
      <c r="KYS220" s="2" t="s">
        <v>25</v>
      </c>
      <c r="KYT220" s="2" t="s">
        <v>393</v>
      </c>
      <c r="KYU220" s="7">
        <v>-74.044305502618698</v>
      </c>
      <c r="KYV220" s="7">
        <v>4.6804459478222702</v>
      </c>
      <c r="KYW220" s="2" t="s">
        <v>357</v>
      </c>
      <c r="KYX220" s="2" t="s">
        <v>63</v>
      </c>
      <c r="KYY220" s="2" t="s">
        <v>83</v>
      </c>
      <c r="KYZ220" s="2" t="s">
        <v>63</v>
      </c>
      <c r="KZA220" s="24">
        <v>434</v>
      </c>
      <c r="KZB220" s="5">
        <v>46174</v>
      </c>
      <c r="KZC220" s="5">
        <v>46174</v>
      </c>
      <c r="KZD220" s="30">
        <f t="shared" ref="KZD220" si="533">KZC220-KZB220</f>
        <v>0</v>
      </c>
      <c r="KZE220" s="5" t="s">
        <v>317</v>
      </c>
      <c r="KZF220" s="2" t="s">
        <v>22</v>
      </c>
      <c r="KZG220" s="53" t="s">
        <v>334</v>
      </c>
      <c r="KZH220" s="2" t="s">
        <v>513</v>
      </c>
      <c r="KZI220" s="2" t="s">
        <v>25</v>
      </c>
      <c r="KZJ220" s="2" t="s">
        <v>393</v>
      </c>
      <c r="KZK220" s="7">
        <v>-74.044305502618698</v>
      </c>
      <c r="KZL220" s="7">
        <v>4.6804459478222702</v>
      </c>
      <c r="KZM220" s="2" t="s">
        <v>357</v>
      </c>
      <c r="KZN220" s="2" t="s">
        <v>63</v>
      </c>
      <c r="KZO220" s="2" t="s">
        <v>83</v>
      </c>
      <c r="KZP220" s="2" t="s">
        <v>63</v>
      </c>
      <c r="KZQ220" s="24">
        <v>434</v>
      </c>
      <c r="KZR220" s="5">
        <v>46174</v>
      </c>
      <c r="KZS220" s="5">
        <v>46174</v>
      </c>
      <c r="KZT220" s="30">
        <f t="shared" ref="KZT220" si="534">KZS220-KZR220</f>
        <v>0</v>
      </c>
      <c r="KZU220" s="5" t="s">
        <v>317</v>
      </c>
      <c r="KZV220" s="2" t="s">
        <v>22</v>
      </c>
      <c r="KZW220" s="53" t="s">
        <v>334</v>
      </c>
      <c r="KZX220" s="2" t="s">
        <v>513</v>
      </c>
      <c r="KZY220" s="2" t="s">
        <v>25</v>
      </c>
      <c r="KZZ220" s="2" t="s">
        <v>393</v>
      </c>
      <c r="LAA220" s="7">
        <v>-74.044305502618698</v>
      </c>
      <c r="LAB220" s="7">
        <v>4.6804459478222702</v>
      </c>
      <c r="LAC220" s="2" t="s">
        <v>357</v>
      </c>
      <c r="LAD220" s="2" t="s">
        <v>63</v>
      </c>
      <c r="LAE220" s="2" t="s">
        <v>83</v>
      </c>
      <c r="LAF220" s="2" t="s">
        <v>63</v>
      </c>
      <c r="LAG220" s="24">
        <v>434</v>
      </c>
      <c r="LAH220" s="5">
        <v>46174</v>
      </c>
      <c r="LAI220" s="5">
        <v>46174</v>
      </c>
      <c r="LAJ220" s="30">
        <f t="shared" ref="LAJ220" si="535">LAI220-LAH220</f>
        <v>0</v>
      </c>
      <c r="LAK220" s="5" t="s">
        <v>317</v>
      </c>
      <c r="LAL220" s="2" t="s">
        <v>22</v>
      </c>
      <c r="LAM220" s="53" t="s">
        <v>334</v>
      </c>
      <c r="LAN220" s="2" t="s">
        <v>513</v>
      </c>
      <c r="LAO220" s="2" t="s">
        <v>25</v>
      </c>
      <c r="LAP220" s="2" t="s">
        <v>393</v>
      </c>
      <c r="LAQ220" s="7">
        <v>-74.044305502618698</v>
      </c>
      <c r="LAR220" s="7">
        <v>4.6804459478222702</v>
      </c>
      <c r="LAS220" s="2" t="s">
        <v>357</v>
      </c>
      <c r="LAT220" s="2" t="s">
        <v>63</v>
      </c>
      <c r="LAU220" s="2" t="s">
        <v>83</v>
      </c>
      <c r="LAV220" s="2" t="s">
        <v>63</v>
      </c>
      <c r="LAW220" s="24">
        <v>434</v>
      </c>
      <c r="LAX220" s="5">
        <v>46174</v>
      </c>
      <c r="LAY220" s="5">
        <v>46174</v>
      </c>
      <c r="LAZ220" s="30">
        <f t="shared" ref="LAZ220" si="536">LAY220-LAX220</f>
        <v>0</v>
      </c>
      <c r="LBA220" s="5" t="s">
        <v>317</v>
      </c>
      <c r="LBB220" s="2" t="s">
        <v>22</v>
      </c>
      <c r="LBC220" s="53" t="s">
        <v>334</v>
      </c>
      <c r="LBD220" s="2" t="s">
        <v>513</v>
      </c>
      <c r="LBE220" s="2" t="s">
        <v>25</v>
      </c>
      <c r="LBF220" s="2" t="s">
        <v>393</v>
      </c>
      <c r="LBG220" s="7">
        <v>-74.044305502618698</v>
      </c>
      <c r="LBH220" s="7">
        <v>4.6804459478222702</v>
      </c>
      <c r="LBI220" s="2" t="s">
        <v>357</v>
      </c>
      <c r="LBJ220" s="2" t="s">
        <v>63</v>
      </c>
      <c r="LBK220" s="2" t="s">
        <v>83</v>
      </c>
      <c r="LBL220" s="2" t="s">
        <v>63</v>
      </c>
      <c r="LBM220" s="24">
        <v>434</v>
      </c>
      <c r="LBN220" s="5">
        <v>46174</v>
      </c>
      <c r="LBO220" s="5">
        <v>46174</v>
      </c>
      <c r="LBP220" s="30">
        <f t="shared" ref="LBP220" si="537">LBO220-LBN220</f>
        <v>0</v>
      </c>
      <c r="LBQ220" s="5" t="s">
        <v>317</v>
      </c>
      <c r="LBR220" s="2" t="s">
        <v>22</v>
      </c>
      <c r="LBS220" s="53" t="s">
        <v>334</v>
      </c>
      <c r="LBT220" s="2" t="s">
        <v>513</v>
      </c>
      <c r="LBU220" s="2" t="s">
        <v>25</v>
      </c>
      <c r="LBV220" s="2" t="s">
        <v>393</v>
      </c>
      <c r="LBW220" s="7">
        <v>-74.044305502618698</v>
      </c>
      <c r="LBX220" s="7">
        <v>4.6804459478222702</v>
      </c>
      <c r="LBY220" s="2" t="s">
        <v>357</v>
      </c>
      <c r="LBZ220" s="2" t="s">
        <v>63</v>
      </c>
      <c r="LCA220" s="2" t="s">
        <v>83</v>
      </c>
      <c r="LCB220" s="2" t="s">
        <v>63</v>
      </c>
      <c r="LCC220" s="24">
        <v>434</v>
      </c>
      <c r="LCD220" s="5">
        <v>46174</v>
      </c>
      <c r="LCE220" s="5">
        <v>46174</v>
      </c>
      <c r="LCF220" s="30">
        <f t="shared" ref="LCF220" si="538">LCE220-LCD220</f>
        <v>0</v>
      </c>
      <c r="LCG220" s="5" t="s">
        <v>317</v>
      </c>
      <c r="LCH220" s="2" t="s">
        <v>22</v>
      </c>
      <c r="LCI220" s="53" t="s">
        <v>334</v>
      </c>
      <c r="LCJ220" s="2" t="s">
        <v>513</v>
      </c>
      <c r="LCK220" s="2" t="s">
        <v>25</v>
      </c>
      <c r="LCL220" s="2" t="s">
        <v>393</v>
      </c>
      <c r="LCM220" s="7">
        <v>-74.044305502618698</v>
      </c>
      <c r="LCN220" s="7">
        <v>4.6804459478222702</v>
      </c>
      <c r="LCO220" s="2" t="s">
        <v>357</v>
      </c>
      <c r="LCP220" s="2" t="s">
        <v>63</v>
      </c>
      <c r="LCQ220" s="2" t="s">
        <v>83</v>
      </c>
      <c r="LCR220" s="2" t="s">
        <v>63</v>
      </c>
      <c r="LCS220" s="24">
        <v>434</v>
      </c>
      <c r="LCT220" s="5">
        <v>46174</v>
      </c>
      <c r="LCU220" s="5">
        <v>46174</v>
      </c>
      <c r="LCV220" s="30">
        <f t="shared" ref="LCV220" si="539">LCU220-LCT220</f>
        <v>0</v>
      </c>
      <c r="LCW220" s="5" t="s">
        <v>317</v>
      </c>
      <c r="LCX220" s="2" t="s">
        <v>22</v>
      </c>
      <c r="LCY220" s="53" t="s">
        <v>334</v>
      </c>
      <c r="LCZ220" s="2" t="s">
        <v>513</v>
      </c>
      <c r="LDA220" s="2" t="s">
        <v>25</v>
      </c>
      <c r="LDB220" s="2" t="s">
        <v>393</v>
      </c>
      <c r="LDC220" s="7">
        <v>-74.044305502618698</v>
      </c>
      <c r="LDD220" s="7">
        <v>4.6804459478222702</v>
      </c>
      <c r="LDE220" s="2" t="s">
        <v>357</v>
      </c>
      <c r="LDF220" s="2" t="s">
        <v>63</v>
      </c>
      <c r="LDG220" s="2" t="s">
        <v>83</v>
      </c>
      <c r="LDH220" s="2" t="s">
        <v>63</v>
      </c>
      <c r="LDI220" s="24">
        <v>434</v>
      </c>
      <c r="LDJ220" s="5">
        <v>46174</v>
      </c>
      <c r="LDK220" s="5">
        <v>46174</v>
      </c>
      <c r="LDL220" s="30">
        <f t="shared" ref="LDL220" si="540">LDK220-LDJ220</f>
        <v>0</v>
      </c>
      <c r="LDM220" s="5" t="s">
        <v>317</v>
      </c>
      <c r="LDN220" s="2" t="s">
        <v>22</v>
      </c>
      <c r="LDO220" s="53" t="s">
        <v>334</v>
      </c>
      <c r="LDP220" s="2" t="s">
        <v>513</v>
      </c>
      <c r="LDQ220" s="2" t="s">
        <v>25</v>
      </c>
      <c r="LDR220" s="2" t="s">
        <v>393</v>
      </c>
      <c r="LDS220" s="7">
        <v>-74.044305502618698</v>
      </c>
      <c r="LDT220" s="7">
        <v>4.6804459478222702</v>
      </c>
      <c r="LDU220" s="2" t="s">
        <v>357</v>
      </c>
      <c r="LDV220" s="2" t="s">
        <v>63</v>
      </c>
      <c r="LDW220" s="2" t="s">
        <v>83</v>
      </c>
      <c r="LDX220" s="2" t="s">
        <v>63</v>
      </c>
      <c r="LDY220" s="24">
        <v>434</v>
      </c>
      <c r="LDZ220" s="5">
        <v>46174</v>
      </c>
      <c r="LEA220" s="5">
        <v>46174</v>
      </c>
      <c r="LEB220" s="30">
        <f t="shared" ref="LEB220" si="541">LEA220-LDZ220</f>
        <v>0</v>
      </c>
      <c r="LEC220" s="5" t="s">
        <v>317</v>
      </c>
      <c r="LED220" s="2" t="s">
        <v>22</v>
      </c>
      <c r="LEE220" s="53" t="s">
        <v>334</v>
      </c>
      <c r="LEF220" s="2" t="s">
        <v>513</v>
      </c>
      <c r="LEG220" s="2" t="s">
        <v>25</v>
      </c>
      <c r="LEH220" s="2" t="s">
        <v>393</v>
      </c>
      <c r="LEI220" s="7">
        <v>-74.044305502618698</v>
      </c>
      <c r="LEJ220" s="7">
        <v>4.6804459478222702</v>
      </c>
      <c r="LEK220" s="2" t="s">
        <v>357</v>
      </c>
      <c r="LEL220" s="2" t="s">
        <v>63</v>
      </c>
      <c r="LEM220" s="2" t="s">
        <v>83</v>
      </c>
      <c r="LEN220" s="2" t="s">
        <v>63</v>
      </c>
      <c r="LEO220" s="24">
        <v>434</v>
      </c>
      <c r="LEP220" s="5">
        <v>46174</v>
      </c>
      <c r="LEQ220" s="5">
        <v>46174</v>
      </c>
      <c r="LER220" s="30">
        <f t="shared" ref="LER220" si="542">LEQ220-LEP220</f>
        <v>0</v>
      </c>
      <c r="LES220" s="5" t="s">
        <v>317</v>
      </c>
      <c r="LET220" s="2" t="s">
        <v>22</v>
      </c>
      <c r="LEU220" s="53" t="s">
        <v>334</v>
      </c>
      <c r="LEV220" s="2" t="s">
        <v>513</v>
      </c>
      <c r="LEW220" s="2" t="s">
        <v>25</v>
      </c>
      <c r="LEX220" s="2" t="s">
        <v>393</v>
      </c>
      <c r="LEY220" s="7">
        <v>-74.044305502618698</v>
      </c>
      <c r="LEZ220" s="7">
        <v>4.6804459478222702</v>
      </c>
      <c r="LFA220" s="2" t="s">
        <v>357</v>
      </c>
      <c r="LFB220" s="2" t="s">
        <v>63</v>
      </c>
      <c r="LFC220" s="2" t="s">
        <v>83</v>
      </c>
      <c r="LFD220" s="2" t="s">
        <v>63</v>
      </c>
      <c r="LFE220" s="24">
        <v>434</v>
      </c>
      <c r="LFF220" s="5">
        <v>46174</v>
      </c>
      <c r="LFG220" s="5">
        <v>46174</v>
      </c>
      <c r="LFH220" s="30">
        <f t="shared" ref="LFH220" si="543">LFG220-LFF220</f>
        <v>0</v>
      </c>
      <c r="LFI220" s="5" t="s">
        <v>317</v>
      </c>
      <c r="LFJ220" s="2" t="s">
        <v>22</v>
      </c>
      <c r="LFK220" s="53" t="s">
        <v>334</v>
      </c>
      <c r="LFL220" s="2" t="s">
        <v>513</v>
      </c>
      <c r="LFM220" s="2" t="s">
        <v>25</v>
      </c>
      <c r="LFN220" s="2" t="s">
        <v>393</v>
      </c>
      <c r="LFO220" s="7">
        <v>-74.044305502618698</v>
      </c>
      <c r="LFP220" s="7">
        <v>4.6804459478222702</v>
      </c>
      <c r="LFQ220" s="2" t="s">
        <v>357</v>
      </c>
      <c r="LFR220" s="2" t="s">
        <v>63</v>
      </c>
      <c r="LFS220" s="2" t="s">
        <v>83</v>
      </c>
      <c r="LFT220" s="2" t="s">
        <v>63</v>
      </c>
      <c r="LFU220" s="24">
        <v>434</v>
      </c>
      <c r="LFV220" s="5">
        <v>46174</v>
      </c>
      <c r="LFW220" s="5">
        <v>46174</v>
      </c>
      <c r="LFX220" s="30">
        <f t="shared" ref="LFX220" si="544">LFW220-LFV220</f>
        <v>0</v>
      </c>
      <c r="LFY220" s="5" t="s">
        <v>317</v>
      </c>
      <c r="LFZ220" s="2" t="s">
        <v>22</v>
      </c>
      <c r="LGA220" s="53" t="s">
        <v>334</v>
      </c>
      <c r="LGB220" s="2" t="s">
        <v>513</v>
      </c>
      <c r="LGC220" s="2" t="s">
        <v>25</v>
      </c>
      <c r="LGD220" s="2" t="s">
        <v>393</v>
      </c>
      <c r="LGE220" s="7">
        <v>-74.044305502618698</v>
      </c>
      <c r="LGF220" s="7">
        <v>4.6804459478222702</v>
      </c>
      <c r="LGG220" s="2" t="s">
        <v>357</v>
      </c>
      <c r="LGH220" s="2" t="s">
        <v>63</v>
      </c>
      <c r="LGI220" s="2" t="s">
        <v>83</v>
      </c>
      <c r="LGJ220" s="2" t="s">
        <v>63</v>
      </c>
      <c r="LGK220" s="24">
        <v>434</v>
      </c>
      <c r="LGL220" s="5">
        <v>46174</v>
      </c>
      <c r="LGM220" s="5">
        <v>46174</v>
      </c>
      <c r="LGN220" s="30">
        <f t="shared" ref="LGN220" si="545">LGM220-LGL220</f>
        <v>0</v>
      </c>
      <c r="LGO220" s="5" t="s">
        <v>317</v>
      </c>
      <c r="LGP220" s="2" t="s">
        <v>22</v>
      </c>
      <c r="LGQ220" s="53" t="s">
        <v>334</v>
      </c>
      <c r="LGR220" s="2" t="s">
        <v>513</v>
      </c>
      <c r="LGS220" s="2" t="s">
        <v>25</v>
      </c>
      <c r="LGT220" s="2" t="s">
        <v>393</v>
      </c>
      <c r="LGU220" s="7">
        <v>-74.044305502618698</v>
      </c>
      <c r="LGV220" s="7">
        <v>4.6804459478222702</v>
      </c>
      <c r="LGW220" s="2" t="s">
        <v>357</v>
      </c>
      <c r="LGX220" s="2" t="s">
        <v>63</v>
      </c>
      <c r="LGY220" s="2" t="s">
        <v>83</v>
      </c>
      <c r="LGZ220" s="2" t="s">
        <v>63</v>
      </c>
      <c r="LHA220" s="24">
        <v>434</v>
      </c>
      <c r="LHB220" s="5">
        <v>46174</v>
      </c>
      <c r="LHC220" s="5">
        <v>46174</v>
      </c>
      <c r="LHD220" s="30">
        <f t="shared" ref="LHD220" si="546">LHC220-LHB220</f>
        <v>0</v>
      </c>
      <c r="LHE220" s="5" t="s">
        <v>317</v>
      </c>
      <c r="LHF220" s="2" t="s">
        <v>22</v>
      </c>
      <c r="LHG220" s="53" t="s">
        <v>334</v>
      </c>
      <c r="LHH220" s="2" t="s">
        <v>513</v>
      </c>
      <c r="LHI220" s="2" t="s">
        <v>25</v>
      </c>
      <c r="LHJ220" s="2" t="s">
        <v>393</v>
      </c>
      <c r="LHK220" s="7">
        <v>-74.044305502618698</v>
      </c>
      <c r="LHL220" s="7">
        <v>4.6804459478222702</v>
      </c>
      <c r="LHM220" s="2" t="s">
        <v>357</v>
      </c>
      <c r="LHN220" s="2" t="s">
        <v>63</v>
      </c>
      <c r="LHO220" s="2" t="s">
        <v>83</v>
      </c>
      <c r="LHP220" s="2" t="s">
        <v>63</v>
      </c>
      <c r="LHQ220" s="24">
        <v>434</v>
      </c>
      <c r="LHR220" s="5">
        <v>46174</v>
      </c>
      <c r="LHS220" s="5">
        <v>46174</v>
      </c>
      <c r="LHT220" s="30">
        <f t="shared" ref="LHT220" si="547">LHS220-LHR220</f>
        <v>0</v>
      </c>
      <c r="LHU220" s="5" t="s">
        <v>317</v>
      </c>
      <c r="LHV220" s="2" t="s">
        <v>22</v>
      </c>
      <c r="LHW220" s="53" t="s">
        <v>334</v>
      </c>
      <c r="LHX220" s="2" t="s">
        <v>513</v>
      </c>
      <c r="LHY220" s="2" t="s">
        <v>25</v>
      </c>
      <c r="LHZ220" s="2" t="s">
        <v>393</v>
      </c>
      <c r="LIA220" s="7">
        <v>-74.044305502618698</v>
      </c>
      <c r="LIB220" s="7">
        <v>4.6804459478222702</v>
      </c>
      <c r="LIC220" s="2" t="s">
        <v>357</v>
      </c>
      <c r="LID220" s="2" t="s">
        <v>63</v>
      </c>
      <c r="LIE220" s="2" t="s">
        <v>83</v>
      </c>
      <c r="LIF220" s="2" t="s">
        <v>63</v>
      </c>
      <c r="LIG220" s="24">
        <v>434</v>
      </c>
      <c r="LIH220" s="5">
        <v>46174</v>
      </c>
      <c r="LII220" s="5">
        <v>46174</v>
      </c>
      <c r="LIJ220" s="30">
        <f t="shared" ref="LIJ220" si="548">LII220-LIH220</f>
        <v>0</v>
      </c>
      <c r="LIK220" s="5" t="s">
        <v>317</v>
      </c>
      <c r="LIL220" s="2" t="s">
        <v>22</v>
      </c>
      <c r="LIM220" s="53" t="s">
        <v>334</v>
      </c>
      <c r="LIN220" s="2" t="s">
        <v>513</v>
      </c>
      <c r="LIO220" s="2" t="s">
        <v>25</v>
      </c>
      <c r="LIP220" s="2" t="s">
        <v>393</v>
      </c>
      <c r="LIQ220" s="7">
        <v>-74.044305502618698</v>
      </c>
      <c r="LIR220" s="7">
        <v>4.6804459478222702</v>
      </c>
      <c r="LIS220" s="2" t="s">
        <v>357</v>
      </c>
      <c r="LIT220" s="2" t="s">
        <v>63</v>
      </c>
      <c r="LIU220" s="2" t="s">
        <v>83</v>
      </c>
      <c r="LIV220" s="2" t="s">
        <v>63</v>
      </c>
      <c r="LIW220" s="24">
        <v>434</v>
      </c>
      <c r="LIX220" s="5">
        <v>46174</v>
      </c>
      <c r="LIY220" s="5">
        <v>46174</v>
      </c>
      <c r="LIZ220" s="30">
        <f t="shared" ref="LIZ220" si="549">LIY220-LIX220</f>
        <v>0</v>
      </c>
      <c r="LJA220" s="5" t="s">
        <v>317</v>
      </c>
      <c r="LJB220" s="2" t="s">
        <v>22</v>
      </c>
      <c r="LJC220" s="53" t="s">
        <v>334</v>
      </c>
      <c r="LJD220" s="2" t="s">
        <v>513</v>
      </c>
      <c r="LJE220" s="2" t="s">
        <v>25</v>
      </c>
      <c r="LJF220" s="2" t="s">
        <v>393</v>
      </c>
      <c r="LJG220" s="7">
        <v>-74.044305502618698</v>
      </c>
      <c r="LJH220" s="7">
        <v>4.6804459478222702</v>
      </c>
      <c r="LJI220" s="2" t="s">
        <v>357</v>
      </c>
      <c r="LJJ220" s="2" t="s">
        <v>63</v>
      </c>
      <c r="LJK220" s="2" t="s">
        <v>83</v>
      </c>
      <c r="LJL220" s="2" t="s">
        <v>63</v>
      </c>
      <c r="LJM220" s="24">
        <v>434</v>
      </c>
      <c r="LJN220" s="5">
        <v>46174</v>
      </c>
      <c r="LJO220" s="5">
        <v>46174</v>
      </c>
      <c r="LJP220" s="30">
        <f t="shared" ref="LJP220" si="550">LJO220-LJN220</f>
        <v>0</v>
      </c>
      <c r="LJQ220" s="5" t="s">
        <v>317</v>
      </c>
      <c r="LJR220" s="2" t="s">
        <v>22</v>
      </c>
      <c r="LJS220" s="53" t="s">
        <v>334</v>
      </c>
      <c r="LJT220" s="2" t="s">
        <v>513</v>
      </c>
      <c r="LJU220" s="2" t="s">
        <v>25</v>
      </c>
      <c r="LJV220" s="2" t="s">
        <v>393</v>
      </c>
      <c r="LJW220" s="7">
        <v>-74.044305502618698</v>
      </c>
      <c r="LJX220" s="7">
        <v>4.6804459478222702</v>
      </c>
      <c r="LJY220" s="2" t="s">
        <v>357</v>
      </c>
      <c r="LJZ220" s="2" t="s">
        <v>63</v>
      </c>
      <c r="LKA220" s="2" t="s">
        <v>83</v>
      </c>
      <c r="LKB220" s="2" t="s">
        <v>63</v>
      </c>
      <c r="LKC220" s="24">
        <v>434</v>
      </c>
      <c r="LKD220" s="5">
        <v>46174</v>
      </c>
      <c r="LKE220" s="5">
        <v>46174</v>
      </c>
      <c r="LKF220" s="30">
        <f t="shared" ref="LKF220" si="551">LKE220-LKD220</f>
        <v>0</v>
      </c>
      <c r="LKG220" s="5" t="s">
        <v>317</v>
      </c>
      <c r="LKH220" s="2" t="s">
        <v>22</v>
      </c>
      <c r="LKI220" s="53" t="s">
        <v>334</v>
      </c>
      <c r="LKJ220" s="2" t="s">
        <v>513</v>
      </c>
      <c r="LKK220" s="2" t="s">
        <v>25</v>
      </c>
      <c r="LKL220" s="2" t="s">
        <v>393</v>
      </c>
      <c r="LKM220" s="7">
        <v>-74.044305502618698</v>
      </c>
      <c r="LKN220" s="7">
        <v>4.6804459478222702</v>
      </c>
      <c r="LKO220" s="2" t="s">
        <v>357</v>
      </c>
      <c r="LKP220" s="2" t="s">
        <v>63</v>
      </c>
      <c r="LKQ220" s="2" t="s">
        <v>83</v>
      </c>
      <c r="LKR220" s="2" t="s">
        <v>63</v>
      </c>
      <c r="LKS220" s="24">
        <v>434</v>
      </c>
      <c r="LKT220" s="5">
        <v>46174</v>
      </c>
      <c r="LKU220" s="5">
        <v>46174</v>
      </c>
      <c r="LKV220" s="30">
        <f t="shared" ref="LKV220" si="552">LKU220-LKT220</f>
        <v>0</v>
      </c>
      <c r="LKW220" s="5" t="s">
        <v>317</v>
      </c>
      <c r="LKX220" s="2" t="s">
        <v>22</v>
      </c>
      <c r="LKY220" s="53" t="s">
        <v>334</v>
      </c>
      <c r="LKZ220" s="2" t="s">
        <v>513</v>
      </c>
      <c r="LLA220" s="2" t="s">
        <v>25</v>
      </c>
      <c r="LLB220" s="2" t="s">
        <v>393</v>
      </c>
      <c r="LLC220" s="7">
        <v>-74.044305502618698</v>
      </c>
      <c r="LLD220" s="7">
        <v>4.6804459478222702</v>
      </c>
      <c r="LLE220" s="2" t="s">
        <v>357</v>
      </c>
      <c r="LLF220" s="2" t="s">
        <v>63</v>
      </c>
      <c r="LLG220" s="2" t="s">
        <v>83</v>
      </c>
      <c r="LLH220" s="2" t="s">
        <v>63</v>
      </c>
      <c r="LLI220" s="24">
        <v>434</v>
      </c>
      <c r="LLJ220" s="5">
        <v>46174</v>
      </c>
      <c r="LLK220" s="5">
        <v>46174</v>
      </c>
      <c r="LLL220" s="30">
        <f t="shared" ref="LLL220" si="553">LLK220-LLJ220</f>
        <v>0</v>
      </c>
      <c r="LLM220" s="5" t="s">
        <v>317</v>
      </c>
      <c r="LLN220" s="2" t="s">
        <v>22</v>
      </c>
      <c r="LLO220" s="53" t="s">
        <v>334</v>
      </c>
      <c r="LLP220" s="2" t="s">
        <v>513</v>
      </c>
      <c r="LLQ220" s="2" t="s">
        <v>25</v>
      </c>
      <c r="LLR220" s="2" t="s">
        <v>393</v>
      </c>
      <c r="LLS220" s="7">
        <v>-74.044305502618698</v>
      </c>
      <c r="LLT220" s="7">
        <v>4.6804459478222702</v>
      </c>
      <c r="LLU220" s="2" t="s">
        <v>357</v>
      </c>
      <c r="LLV220" s="2" t="s">
        <v>63</v>
      </c>
      <c r="LLW220" s="2" t="s">
        <v>83</v>
      </c>
      <c r="LLX220" s="2" t="s">
        <v>63</v>
      </c>
      <c r="LLY220" s="24">
        <v>434</v>
      </c>
      <c r="LLZ220" s="5">
        <v>46174</v>
      </c>
      <c r="LMA220" s="5">
        <v>46174</v>
      </c>
      <c r="LMB220" s="30">
        <f t="shared" ref="LMB220" si="554">LMA220-LLZ220</f>
        <v>0</v>
      </c>
      <c r="LMC220" s="5" t="s">
        <v>317</v>
      </c>
      <c r="LMD220" s="2" t="s">
        <v>22</v>
      </c>
      <c r="LME220" s="53" t="s">
        <v>334</v>
      </c>
      <c r="LMF220" s="2" t="s">
        <v>513</v>
      </c>
      <c r="LMG220" s="2" t="s">
        <v>25</v>
      </c>
      <c r="LMH220" s="2" t="s">
        <v>393</v>
      </c>
      <c r="LMI220" s="7">
        <v>-74.044305502618698</v>
      </c>
      <c r="LMJ220" s="7">
        <v>4.6804459478222702</v>
      </c>
      <c r="LMK220" s="2" t="s">
        <v>357</v>
      </c>
      <c r="LML220" s="2" t="s">
        <v>63</v>
      </c>
      <c r="LMM220" s="2" t="s">
        <v>83</v>
      </c>
      <c r="LMN220" s="2" t="s">
        <v>63</v>
      </c>
      <c r="LMO220" s="24">
        <v>434</v>
      </c>
      <c r="LMP220" s="5">
        <v>46174</v>
      </c>
      <c r="LMQ220" s="5">
        <v>46174</v>
      </c>
      <c r="LMR220" s="30">
        <f t="shared" ref="LMR220" si="555">LMQ220-LMP220</f>
        <v>0</v>
      </c>
      <c r="LMS220" s="5" t="s">
        <v>317</v>
      </c>
      <c r="LMT220" s="2" t="s">
        <v>22</v>
      </c>
      <c r="LMU220" s="53" t="s">
        <v>334</v>
      </c>
      <c r="LMV220" s="2" t="s">
        <v>513</v>
      </c>
      <c r="LMW220" s="2" t="s">
        <v>25</v>
      </c>
      <c r="LMX220" s="2" t="s">
        <v>393</v>
      </c>
      <c r="LMY220" s="7">
        <v>-74.044305502618698</v>
      </c>
      <c r="LMZ220" s="7">
        <v>4.6804459478222702</v>
      </c>
      <c r="LNA220" s="2" t="s">
        <v>357</v>
      </c>
      <c r="LNB220" s="2" t="s">
        <v>63</v>
      </c>
      <c r="LNC220" s="2" t="s">
        <v>83</v>
      </c>
      <c r="LND220" s="2" t="s">
        <v>63</v>
      </c>
      <c r="LNE220" s="24">
        <v>434</v>
      </c>
      <c r="LNF220" s="5">
        <v>46174</v>
      </c>
      <c r="LNG220" s="5">
        <v>46174</v>
      </c>
      <c r="LNH220" s="30">
        <f t="shared" ref="LNH220" si="556">LNG220-LNF220</f>
        <v>0</v>
      </c>
      <c r="LNI220" s="5" t="s">
        <v>317</v>
      </c>
      <c r="LNJ220" s="2" t="s">
        <v>22</v>
      </c>
      <c r="LNK220" s="53" t="s">
        <v>334</v>
      </c>
      <c r="LNL220" s="2" t="s">
        <v>513</v>
      </c>
      <c r="LNM220" s="2" t="s">
        <v>25</v>
      </c>
      <c r="LNN220" s="2" t="s">
        <v>393</v>
      </c>
      <c r="LNO220" s="7">
        <v>-74.044305502618698</v>
      </c>
      <c r="LNP220" s="7">
        <v>4.6804459478222702</v>
      </c>
      <c r="LNQ220" s="2" t="s">
        <v>357</v>
      </c>
      <c r="LNR220" s="2" t="s">
        <v>63</v>
      </c>
      <c r="LNS220" s="2" t="s">
        <v>83</v>
      </c>
      <c r="LNT220" s="2" t="s">
        <v>63</v>
      </c>
      <c r="LNU220" s="24">
        <v>434</v>
      </c>
      <c r="LNV220" s="5">
        <v>46174</v>
      </c>
      <c r="LNW220" s="5">
        <v>46174</v>
      </c>
      <c r="LNX220" s="30">
        <f t="shared" ref="LNX220" si="557">LNW220-LNV220</f>
        <v>0</v>
      </c>
      <c r="LNY220" s="5" t="s">
        <v>317</v>
      </c>
      <c r="LNZ220" s="2" t="s">
        <v>22</v>
      </c>
      <c r="LOA220" s="53" t="s">
        <v>334</v>
      </c>
      <c r="LOB220" s="2" t="s">
        <v>513</v>
      </c>
      <c r="LOC220" s="2" t="s">
        <v>25</v>
      </c>
      <c r="LOD220" s="2" t="s">
        <v>393</v>
      </c>
      <c r="LOE220" s="7">
        <v>-74.044305502618698</v>
      </c>
      <c r="LOF220" s="7">
        <v>4.6804459478222702</v>
      </c>
      <c r="LOG220" s="2" t="s">
        <v>357</v>
      </c>
      <c r="LOH220" s="2" t="s">
        <v>63</v>
      </c>
      <c r="LOI220" s="2" t="s">
        <v>83</v>
      </c>
      <c r="LOJ220" s="2" t="s">
        <v>63</v>
      </c>
      <c r="LOK220" s="24">
        <v>434</v>
      </c>
      <c r="LOL220" s="5">
        <v>46174</v>
      </c>
      <c r="LOM220" s="5">
        <v>46174</v>
      </c>
      <c r="LON220" s="30">
        <f t="shared" ref="LON220" si="558">LOM220-LOL220</f>
        <v>0</v>
      </c>
      <c r="LOO220" s="5" t="s">
        <v>317</v>
      </c>
      <c r="LOP220" s="2" t="s">
        <v>22</v>
      </c>
      <c r="LOQ220" s="53" t="s">
        <v>334</v>
      </c>
      <c r="LOR220" s="2" t="s">
        <v>513</v>
      </c>
      <c r="LOS220" s="2" t="s">
        <v>25</v>
      </c>
      <c r="LOT220" s="2" t="s">
        <v>393</v>
      </c>
      <c r="LOU220" s="7">
        <v>-74.044305502618698</v>
      </c>
      <c r="LOV220" s="7">
        <v>4.6804459478222702</v>
      </c>
      <c r="LOW220" s="2" t="s">
        <v>357</v>
      </c>
      <c r="LOX220" s="2" t="s">
        <v>63</v>
      </c>
      <c r="LOY220" s="2" t="s">
        <v>83</v>
      </c>
      <c r="LOZ220" s="2" t="s">
        <v>63</v>
      </c>
      <c r="LPA220" s="24">
        <v>434</v>
      </c>
      <c r="LPB220" s="5">
        <v>46174</v>
      </c>
      <c r="LPC220" s="5">
        <v>46174</v>
      </c>
      <c r="LPD220" s="30">
        <f t="shared" ref="LPD220" si="559">LPC220-LPB220</f>
        <v>0</v>
      </c>
      <c r="LPE220" s="5" t="s">
        <v>317</v>
      </c>
      <c r="LPF220" s="2" t="s">
        <v>22</v>
      </c>
      <c r="LPG220" s="53" t="s">
        <v>334</v>
      </c>
      <c r="LPH220" s="2" t="s">
        <v>513</v>
      </c>
      <c r="LPI220" s="2" t="s">
        <v>25</v>
      </c>
      <c r="LPJ220" s="2" t="s">
        <v>393</v>
      </c>
      <c r="LPK220" s="7">
        <v>-74.044305502618698</v>
      </c>
      <c r="LPL220" s="7">
        <v>4.6804459478222702</v>
      </c>
      <c r="LPM220" s="2" t="s">
        <v>357</v>
      </c>
      <c r="LPN220" s="2" t="s">
        <v>63</v>
      </c>
      <c r="LPO220" s="2" t="s">
        <v>83</v>
      </c>
      <c r="LPP220" s="2" t="s">
        <v>63</v>
      </c>
      <c r="LPQ220" s="24">
        <v>434</v>
      </c>
      <c r="LPR220" s="5">
        <v>46174</v>
      </c>
      <c r="LPS220" s="5">
        <v>46174</v>
      </c>
      <c r="LPT220" s="30">
        <f t="shared" ref="LPT220" si="560">LPS220-LPR220</f>
        <v>0</v>
      </c>
      <c r="LPU220" s="5" t="s">
        <v>317</v>
      </c>
      <c r="LPV220" s="2" t="s">
        <v>22</v>
      </c>
      <c r="LPW220" s="53" t="s">
        <v>334</v>
      </c>
      <c r="LPX220" s="2" t="s">
        <v>513</v>
      </c>
      <c r="LPY220" s="2" t="s">
        <v>25</v>
      </c>
      <c r="LPZ220" s="2" t="s">
        <v>393</v>
      </c>
      <c r="LQA220" s="7">
        <v>-74.044305502618698</v>
      </c>
      <c r="LQB220" s="7">
        <v>4.6804459478222702</v>
      </c>
      <c r="LQC220" s="2" t="s">
        <v>357</v>
      </c>
      <c r="LQD220" s="2" t="s">
        <v>63</v>
      </c>
      <c r="LQE220" s="2" t="s">
        <v>83</v>
      </c>
      <c r="LQF220" s="2" t="s">
        <v>63</v>
      </c>
      <c r="LQG220" s="24">
        <v>434</v>
      </c>
      <c r="LQH220" s="5">
        <v>46174</v>
      </c>
      <c r="LQI220" s="5">
        <v>46174</v>
      </c>
      <c r="LQJ220" s="30">
        <f t="shared" ref="LQJ220" si="561">LQI220-LQH220</f>
        <v>0</v>
      </c>
      <c r="LQK220" s="5" t="s">
        <v>317</v>
      </c>
      <c r="LQL220" s="2" t="s">
        <v>22</v>
      </c>
      <c r="LQM220" s="53" t="s">
        <v>334</v>
      </c>
      <c r="LQN220" s="2" t="s">
        <v>513</v>
      </c>
      <c r="LQO220" s="2" t="s">
        <v>25</v>
      </c>
      <c r="LQP220" s="2" t="s">
        <v>393</v>
      </c>
      <c r="LQQ220" s="7">
        <v>-74.044305502618698</v>
      </c>
      <c r="LQR220" s="7">
        <v>4.6804459478222702</v>
      </c>
      <c r="LQS220" s="2" t="s">
        <v>357</v>
      </c>
      <c r="LQT220" s="2" t="s">
        <v>63</v>
      </c>
      <c r="LQU220" s="2" t="s">
        <v>83</v>
      </c>
      <c r="LQV220" s="2" t="s">
        <v>63</v>
      </c>
      <c r="LQW220" s="24">
        <v>434</v>
      </c>
      <c r="LQX220" s="5">
        <v>46174</v>
      </c>
      <c r="LQY220" s="5">
        <v>46174</v>
      </c>
      <c r="LQZ220" s="30">
        <f t="shared" ref="LQZ220" si="562">LQY220-LQX220</f>
        <v>0</v>
      </c>
      <c r="LRA220" s="5" t="s">
        <v>317</v>
      </c>
      <c r="LRB220" s="2" t="s">
        <v>22</v>
      </c>
      <c r="LRC220" s="53" t="s">
        <v>334</v>
      </c>
      <c r="LRD220" s="2" t="s">
        <v>513</v>
      </c>
      <c r="LRE220" s="2" t="s">
        <v>25</v>
      </c>
      <c r="LRF220" s="2" t="s">
        <v>393</v>
      </c>
      <c r="LRG220" s="7">
        <v>-74.044305502618698</v>
      </c>
      <c r="LRH220" s="7">
        <v>4.6804459478222702</v>
      </c>
      <c r="LRI220" s="2" t="s">
        <v>357</v>
      </c>
      <c r="LRJ220" s="2" t="s">
        <v>63</v>
      </c>
      <c r="LRK220" s="2" t="s">
        <v>83</v>
      </c>
      <c r="LRL220" s="2" t="s">
        <v>63</v>
      </c>
      <c r="LRM220" s="24">
        <v>434</v>
      </c>
      <c r="LRN220" s="5">
        <v>46174</v>
      </c>
      <c r="LRO220" s="5">
        <v>46174</v>
      </c>
      <c r="LRP220" s="30">
        <f t="shared" ref="LRP220" si="563">LRO220-LRN220</f>
        <v>0</v>
      </c>
      <c r="LRQ220" s="5" t="s">
        <v>317</v>
      </c>
      <c r="LRR220" s="2" t="s">
        <v>22</v>
      </c>
      <c r="LRS220" s="53" t="s">
        <v>334</v>
      </c>
      <c r="LRT220" s="2" t="s">
        <v>513</v>
      </c>
      <c r="LRU220" s="2" t="s">
        <v>25</v>
      </c>
      <c r="LRV220" s="2" t="s">
        <v>393</v>
      </c>
      <c r="LRW220" s="7">
        <v>-74.044305502618698</v>
      </c>
      <c r="LRX220" s="7">
        <v>4.6804459478222702</v>
      </c>
      <c r="LRY220" s="2" t="s">
        <v>357</v>
      </c>
      <c r="LRZ220" s="2" t="s">
        <v>63</v>
      </c>
      <c r="LSA220" s="2" t="s">
        <v>83</v>
      </c>
      <c r="LSB220" s="2" t="s">
        <v>63</v>
      </c>
      <c r="LSC220" s="24">
        <v>434</v>
      </c>
      <c r="LSD220" s="5">
        <v>46174</v>
      </c>
      <c r="LSE220" s="5">
        <v>46174</v>
      </c>
      <c r="LSF220" s="30">
        <f t="shared" ref="LSF220" si="564">LSE220-LSD220</f>
        <v>0</v>
      </c>
      <c r="LSG220" s="5" t="s">
        <v>317</v>
      </c>
      <c r="LSH220" s="2" t="s">
        <v>22</v>
      </c>
      <c r="LSI220" s="53" t="s">
        <v>334</v>
      </c>
      <c r="LSJ220" s="2" t="s">
        <v>513</v>
      </c>
      <c r="LSK220" s="2" t="s">
        <v>25</v>
      </c>
      <c r="LSL220" s="2" t="s">
        <v>393</v>
      </c>
      <c r="LSM220" s="7">
        <v>-74.044305502618698</v>
      </c>
      <c r="LSN220" s="7">
        <v>4.6804459478222702</v>
      </c>
      <c r="LSO220" s="2" t="s">
        <v>357</v>
      </c>
      <c r="LSP220" s="2" t="s">
        <v>63</v>
      </c>
      <c r="LSQ220" s="2" t="s">
        <v>83</v>
      </c>
      <c r="LSR220" s="2" t="s">
        <v>63</v>
      </c>
      <c r="LSS220" s="24">
        <v>434</v>
      </c>
      <c r="LST220" s="5">
        <v>46174</v>
      </c>
      <c r="LSU220" s="5">
        <v>46174</v>
      </c>
      <c r="LSV220" s="30">
        <f t="shared" ref="LSV220" si="565">LSU220-LST220</f>
        <v>0</v>
      </c>
      <c r="LSW220" s="5" t="s">
        <v>317</v>
      </c>
      <c r="LSX220" s="2" t="s">
        <v>22</v>
      </c>
      <c r="LSY220" s="53" t="s">
        <v>334</v>
      </c>
      <c r="LSZ220" s="2" t="s">
        <v>513</v>
      </c>
      <c r="LTA220" s="2" t="s">
        <v>25</v>
      </c>
      <c r="LTB220" s="2" t="s">
        <v>393</v>
      </c>
      <c r="LTC220" s="7">
        <v>-74.044305502618698</v>
      </c>
      <c r="LTD220" s="7">
        <v>4.6804459478222702</v>
      </c>
      <c r="LTE220" s="2" t="s">
        <v>357</v>
      </c>
      <c r="LTF220" s="2" t="s">
        <v>63</v>
      </c>
      <c r="LTG220" s="2" t="s">
        <v>83</v>
      </c>
      <c r="LTH220" s="2" t="s">
        <v>63</v>
      </c>
      <c r="LTI220" s="24">
        <v>434</v>
      </c>
      <c r="LTJ220" s="5">
        <v>46174</v>
      </c>
      <c r="LTK220" s="5">
        <v>46174</v>
      </c>
      <c r="LTL220" s="30">
        <f t="shared" ref="LTL220" si="566">LTK220-LTJ220</f>
        <v>0</v>
      </c>
      <c r="LTM220" s="5" t="s">
        <v>317</v>
      </c>
      <c r="LTN220" s="2" t="s">
        <v>22</v>
      </c>
      <c r="LTO220" s="53" t="s">
        <v>334</v>
      </c>
      <c r="LTP220" s="2" t="s">
        <v>513</v>
      </c>
      <c r="LTQ220" s="2" t="s">
        <v>25</v>
      </c>
      <c r="LTR220" s="2" t="s">
        <v>393</v>
      </c>
      <c r="LTS220" s="7">
        <v>-74.044305502618698</v>
      </c>
      <c r="LTT220" s="7">
        <v>4.6804459478222702</v>
      </c>
      <c r="LTU220" s="2" t="s">
        <v>357</v>
      </c>
      <c r="LTV220" s="2" t="s">
        <v>63</v>
      </c>
      <c r="LTW220" s="2" t="s">
        <v>83</v>
      </c>
      <c r="LTX220" s="2" t="s">
        <v>63</v>
      </c>
      <c r="LTY220" s="24">
        <v>434</v>
      </c>
      <c r="LTZ220" s="5">
        <v>46174</v>
      </c>
      <c r="LUA220" s="5">
        <v>46174</v>
      </c>
      <c r="LUB220" s="30">
        <f t="shared" ref="LUB220" si="567">LUA220-LTZ220</f>
        <v>0</v>
      </c>
      <c r="LUC220" s="5" t="s">
        <v>317</v>
      </c>
      <c r="LUD220" s="2" t="s">
        <v>22</v>
      </c>
      <c r="LUE220" s="53" t="s">
        <v>334</v>
      </c>
      <c r="LUF220" s="2" t="s">
        <v>513</v>
      </c>
      <c r="LUG220" s="2" t="s">
        <v>25</v>
      </c>
      <c r="LUH220" s="2" t="s">
        <v>393</v>
      </c>
      <c r="LUI220" s="7">
        <v>-74.044305502618698</v>
      </c>
      <c r="LUJ220" s="7">
        <v>4.6804459478222702</v>
      </c>
      <c r="LUK220" s="2" t="s">
        <v>357</v>
      </c>
      <c r="LUL220" s="2" t="s">
        <v>63</v>
      </c>
      <c r="LUM220" s="2" t="s">
        <v>83</v>
      </c>
      <c r="LUN220" s="2" t="s">
        <v>63</v>
      </c>
      <c r="LUO220" s="24">
        <v>434</v>
      </c>
      <c r="LUP220" s="5">
        <v>46174</v>
      </c>
      <c r="LUQ220" s="5">
        <v>46174</v>
      </c>
      <c r="LUR220" s="30">
        <f t="shared" ref="LUR220" si="568">LUQ220-LUP220</f>
        <v>0</v>
      </c>
      <c r="LUS220" s="5" t="s">
        <v>317</v>
      </c>
      <c r="LUT220" s="2" t="s">
        <v>22</v>
      </c>
      <c r="LUU220" s="53" t="s">
        <v>334</v>
      </c>
      <c r="LUV220" s="2" t="s">
        <v>513</v>
      </c>
      <c r="LUW220" s="2" t="s">
        <v>25</v>
      </c>
      <c r="LUX220" s="2" t="s">
        <v>393</v>
      </c>
      <c r="LUY220" s="7">
        <v>-74.044305502618698</v>
      </c>
      <c r="LUZ220" s="7">
        <v>4.6804459478222702</v>
      </c>
      <c r="LVA220" s="2" t="s">
        <v>357</v>
      </c>
      <c r="LVB220" s="2" t="s">
        <v>63</v>
      </c>
      <c r="LVC220" s="2" t="s">
        <v>83</v>
      </c>
      <c r="LVD220" s="2" t="s">
        <v>63</v>
      </c>
      <c r="LVE220" s="24">
        <v>434</v>
      </c>
      <c r="LVF220" s="5">
        <v>46174</v>
      </c>
      <c r="LVG220" s="5">
        <v>46174</v>
      </c>
      <c r="LVH220" s="30">
        <f t="shared" ref="LVH220" si="569">LVG220-LVF220</f>
        <v>0</v>
      </c>
      <c r="LVI220" s="5" t="s">
        <v>317</v>
      </c>
      <c r="LVJ220" s="2" t="s">
        <v>22</v>
      </c>
      <c r="LVK220" s="53" t="s">
        <v>334</v>
      </c>
      <c r="LVL220" s="2" t="s">
        <v>513</v>
      </c>
      <c r="LVM220" s="2" t="s">
        <v>25</v>
      </c>
      <c r="LVN220" s="2" t="s">
        <v>393</v>
      </c>
      <c r="LVO220" s="7">
        <v>-74.044305502618698</v>
      </c>
      <c r="LVP220" s="7">
        <v>4.6804459478222702</v>
      </c>
      <c r="LVQ220" s="2" t="s">
        <v>357</v>
      </c>
      <c r="LVR220" s="2" t="s">
        <v>63</v>
      </c>
      <c r="LVS220" s="2" t="s">
        <v>83</v>
      </c>
      <c r="LVT220" s="2" t="s">
        <v>63</v>
      </c>
      <c r="LVU220" s="24">
        <v>434</v>
      </c>
      <c r="LVV220" s="5">
        <v>46174</v>
      </c>
      <c r="LVW220" s="5">
        <v>46174</v>
      </c>
      <c r="LVX220" s="30">
        <f t="shared" ref="LVX220" si="570">LVW220-LVV220</f>
        <v>0</v>
      </c>
      <c r="LVY220" s="5" t="s">
        <v>317</v>
      </c>
      <c r="LVZ220" s="2" t="s">
        <v>22</v>
      </c>
      <c r="LWA220" s="53" t="s">
        <v>334</v>
      </c>
      <c r="LWB220" s="2" t="s">
        <v>513</v>
      </c>
      <c r="LWC220" s="2" t="s">
        <v>25</v>
      </c>
      <c r="LWD220" s="2" t="s">
        <v>393</v>
      </c>
      <c r="LWE220" s="7">
        <v>-74.044305502618698</v>
      </c>
      <c r="LWF220" s="7">
        <v>4.6804459478222702</v>
      </c>
      <c r="LWG220" s="2" t="s">
        <v>357</v>
      </c>
      <c r="LWH220" s="2" t="s">
        <v>63</v>
      </c>
      <c r="LWI220" s="2" t="s">
        <v>83</v>
      </c>
      <c r="LWJ220" s="2" t="s">
        <v>63</v>
      </c>
      <c r="LWK220" s="24">
        <v>434</v>
      </c>
      <c r="LWL220" s="5">
        <v>46174</v>
      </c>
      <c r="LWM220" s="5">
        <v>46174</v>
      </c>
      <c r="LWN220" s="30">
        <f t="shared" ref="LWN220" si="571">LWM220-LWL220</f>
        <v>0</v>
      </c>
      <c r="LWO220" s="5" t="s">
        <v>317</v>
      </c>
      <c r="LWP220" s="2" t="s">
        <v>22</v>
      </c>
      <c r="LWQ220" s="53" t="s">
        <v>334</v>
      </c>
      <c r="LWR220" s="2" t="s">
        <v>513</v>
      </c>
      <c r="LWS220" s="2" t="s">
        <v>25</v>
      </c>
      <c r="LWT220" s="2" t="s">
        <v>393</v>
      </c>
      <c r="LWU220" s="7">
        <v>-74.044305502618698</v>
      </c>
      <c r="LWV220" s="7">
        <v>4.6804459478222702</v>
      </c>
      <c r="LWW220" s="2" t="s">
        <v>357</v>
      </c>
      <c r="LWX220" s="2" t="s">
        <v>63</v>
      </c>
      <c r="LWY220" s="2" t="s">
        <v>83</v>
      </c>
      <c r="LWZ220" s="2" t="s">
        <v>63</v>
      </c>
      <c r="LXA220" s="24">
        <v>434</v>
      </c>
      <c r="LXB220" s="5">
        <v>46174</v>
      </c>
      <c r="LXC220" s="5">
        <v>46174</v>
      </c>
      <c r="LXD220" s="30">
        <f t="shared" ref="LXD220" si="572">LXC220-LXB220</f>
        <v>0</v>
      </c>
      <c r="LXE220" s="5" t="s">
        <v>317</v>
      </c>
      <c r="LXF220" s="2" t="s">
        <v>22</v>
      </c>
      <c r="LXG220" s="53" t="s">
        <v>334</v>
      </c>
      <c r="LXH220" s="2" t="s">
        <v>513</v>
      </c>
      <c r="LXI220" s="2" t="s">
        <v>25</v>
      </c>
      <c r="LXJ220" s="2" t="s">
        <v>393</v>
      </c>
      <c r="LXK220" s="7">
        <v>-74.044305502618698</v>
      </c>
      <c r="LXL220" s="7">
        <v>4.6804459478222702</v>
      </c>
      <c r="LXM220" s="2" t="s">
        <v>357</v>
      </c>
      <c r="LXN220" s="2" t="s">
        <v>63</v>
      </c>
      <c r="LXO220" s="2" t="s">
        <v>83</v>
      </c>
      <c r="LXP220" s="2" t="s">
        <v>63</v>
      </c>
      <c r="LXQ220" s="24">
        <v>434</v>
      </c>
      <c r="LXR220" s="5">
        <v>46174</v>
      </c>
      <c r="LXS220" s="5">
        <v>46174</v>
      </c>
      <c r="LXT220" s="30">
        <f t="shared" ref="LXT220" si="573">LXS220-LXR220</f>
        <v>0</v>
      </c>
      <c r="LXU220" s="5" t="s">
        <v>317</v>
      </c>
      <c r="LXV220" s="2" t="s">
        <v>22</v>
      </c>
      <c r="LXW220" s="53" t="s">
        <v>334</v>
      </c>
      <c r="LXX220" s="2" t="s">
        <v>513</v>
      </c>
      <c r="LXY220" s="2" t="s">
        <v>25</v>
      </c>
      <c r="LXZ220" s="2" t="s">
        <v>393</v>
      </c>
      <c r="LYA220" s="7">
        <v>-74.044305502618698</v>
      </c>
      <c r="LYB220" s="7">
        <v>4.6804459478222702</v>
      </c>
      <c r="LYC220" s="2" t="s">
        <v>357</v>
      </c>
      <c r="LYD220" s="2" t="s">
        <v>63</v>
      </c>
      <c r="LYE220" s="2" t="s">
        <v>83</v>
      </c>
      <c r="LYF220" s="2" t="s">
        <v>63</v>
      </c>
      <c r="LYG220" s="24">
        <v>434</v>
      </c>
      <c r="LYH220" s="5">
        <v>46174</v>
      </c>
      <c r="LYI220" s="5">
        <v>46174</v>
      </c>
      <c r="LYJ220" s="30">
        <f t="shared" ref="LYJ220" si="574">LYI220-LYH220</f>
        <v>0</v>
      </c>
      <c r="LYK220" s="5" t="s">
        <v>317</v>
      </c>
      <c r="LYL220" s="2" t="s">
        <v>22</v>
      </c>
      <c r="LYM220" s="53" t="s">
        <v>334</v>
      </c>
      <c r="LYN220" s="2" t="s">
        <v>513</v>
      </c>
      <c r="LYO220" s="2" t="s">
        <v>25</v>
      </c>
      <c r="LYP220" s="2" t="s">
        <v>393</v>
      </c>
      <c r="LYQ220" s="7">
        <v>-74.044305502618698</v>
      </c>
      <c r="LYR220" s="7">
        <v>4.6804459478222702</v>
      </c>
      <c r="LYS220" s="2" t="s">
        <v>357</v>
      </c>
      <c r="LYT220" s="2" t="s">
        <v>63</v>
      </c>
      <c r="LYU220" s="2" t="s">
        <v>83</v>
      </c>
      <c r="LYV220" s="2" t="s">
        <v>63</v>
      </c>
      <c r="LYW220" s="24">
        <v>434</v>
      </c>
      <c r="LYX220" s="5">
        <v>46174</v>
      </c>
      <c r="LYY220" s="5">
        <v>46174</v>
      </c>
      <c r="LYZ220" s="30">
        <f t="shared" ref="LYZ220" si="575">LYY220-LYX220</f>
        <v>0</v>
      </c>
      <c r="LZA220" s="5" t="s">
        <v>317</v>
      </c>
      <c r="LZB220" s="2" t="s">
        <v>22</v>
      </c>
      <c r="LZC220" s="53" t="s">
        <v>334</v>
      </c>
      <c r="LZD220" s="2" t="s">
        <v>513</v>
      </c>
      <c r="LZE220" s="2" t="s">
        <v>25</v>
      </c>
      <c r="LZF220" s="2" t="s">
        <v>393</v>
      </c>
      <c r="LZG220" s="7">
        <v>-74.044305502618698</v>
      </c>
      <c r="LZH220" s="7">
        <v>4.6804459478222702</v>
      </c>
      <c r="LZI220" s="2" t="s">
        <v>357</v>
      </c>
      <c r="LZJ220" s="2" t="s">
        <v>63</v>
      </c>
      <c r="LZK220" s="2" t="s">
        <v>83</v>
      </c>
      <c r="LZL220" s="2" t="s">
        <v>63</v>
      </c>
      <c r="LZM220" s="24">
        <v>434</v>
      </c>
      <c r="LZN220" s="5">
        <v>46174</v>
      </c>
      <c r="LZO220" s="5">
        <v>46174</v>
      </c>
      <c r="LZP220" s="30">
        <f t="shared" ref="LZP220" si="576">LZO220-LZN220</f>
        <v>0</v>
      </c>
      <c r="LZQ220" s="5" t="s">
        <v>317</v>
      </c>
      <c r="LZR220" s="2" t="s">
        <v>22</v>
      </c>
      <c r="LZS220" s="53" t="s">
        <v>334</v>
      </c>
      <c r="LZT220" s="2" t="s">
        <v>513</v>
      </c>
      <c r="LZU220" s="2" t="s">
        <v>25</v>
      </c>
      <c r="LZV220" s="2" t="s">
        <v>393</v>
      </c>
      <c r="LZW220" s="7">
        <v>-74.044305502618698</v>
      </c>
      <c r="LZX220" s="7">
        <v>4.6804459478222702</v>
      </c>
      <c r="LZY220" s="2" t="s">
        <v>357</v>
      </c>
      <c r="LZZ220" s="2" t="s">
        <v>63</v>
      </c>
      <c r="MAA220" s="2" t="s">
        <v>83</v>
      </c>
      <c r="MAB220" s="2" t="s">
        <v>63</v>
      </c>
      <c r="MAC220" s="24">
        <v>434</v>
      </c>
      <c r="MAD220" s="5">
        <v>46174</v>
      </c>
      <c r="MAE220" s="5">
        <v>46174</v>
      </c>
      <c r="MAF220" s="30">
        <f t="shared" ref="MAF220" si="577">MAE220-MAD220</f>
        <v>0</v>
      </c>
      <c r="MAG220" s="5" t="s">
        <v>317</v>
      </c>
      <c r="MAH220" s="2" t="s">
        <v>22</v>
      </c>
      <c r="MAI220" s="53" t="s">
        <v>334</v>
      </c>
      <c r="MAJ220" s="2" t="s">
        <v>513</v>
      </c>
      <c r="MAK220" s="2" t="s">
        <v>25</v>
      </c>
      <c r="MAL220" s="2" t="s">
        <v>393</v>
      </c>
      <c r="MAM220" s="7">
        <v>-74.044305502618698</v>
      </c>
      <c r="MAN220" s="7">
        <v>4.6804459478222702</v>
      </c>
      <c r="MAO220" s="2" t="s">
        <v>357</v>
      </c>
      <c r="MAP220" s="2" t="s">
        <v>63</v>
      </c>
      <c r="MAQ220" s="2" t="s">
        <v>83</v>
      </c>
      <c r="MAR220" s="2" t="s">
        <v>63</v>
      </c>
      <c r="MAS220" s="24">
        <v>434</v>
      </c>
      <c r="MAT220" s="5">
        <v>46174</v>
      </c>
      <c r="MAU220" s="5">
        <v>46174</v>
      </c>
      <c r="MAV220" s="30">
        <f t="shared" ref="MAV220" si="578">MAU220-MAT220</f>
        <v>0</v>
      </c>
      <c r="MAW220" s="5" t="s">
        <v>317</v>
      </c>
      <c r="MAX220" s="2" t="s">
        <v>22</v>
      </c>
      <c r="MAY220" s="53" t="s">
        <v>334</v>
      </c>
      <c r="MAZ220" s="2" t="s">
        <v>513</v>
      </c>
      <c r="MBA220" s="2" t="s">
        <v>25</v>
      </c>
      <c r="MBB220" s="2" t="s">
        <v>393</v>
      </c>
      <c r="MBC220" s="7">
        <v>-74.044305502618698</v>
      </c>
      <c r="MBD220" s="7">
        <v>4.6804459478222702</v>
      </c>
      <c r="MBE220" s="2" t="s">
        <v>357</v>
      </c>
      <c r="MBF220" s="2" t="s">
        <v>63</v>
      </c>
      <c r="MBG220" s="2" t="s">
        <v>83</v>
      </c>
      <c r="MBH220" s="2" t="s">
        <v>63</v>
      </c>
      <c r="MBI220" s="24">
        <v>434</v>
      </c>
      <c r="MBJ220" s="5">
        <v>46174</v>
      </c>
      <c r="MBK220" s="5">
        <v>46174</v>
      </c>
      <c r="MBL220" s="30">
        <f t="shared" ref="MBL220" si="579">MBK220-MBJ220</f>
        <v>0</v>
      </c>
      <c r="MBM220" s="5" t="s">
        <v>317</v>
      </c>
      <c r="MBN220" s="2" t="s">
        <v>22</v>
      </c>
      <c r="MBO220" s="53" t="s">
        <v>334</v>
      </c>
      <c r="MBP220" s="2" t="s">
        <v>513</v>
      </c>
      <c r="MBQ220" s="2" t="s">
        <v>25</v>
      </c>
      <c r="MBR220" s="2" t="s">
        <v>393</v>
      </c>
      <c r="MBS220" s="7">
        <v>-74.044305502618698</v>
      </c>
      <c r="MBT220" s="7">
        <v>4.6804459478222702</v>
      </c>
      <c r="MBU220" s="2" t="s">
        <v>357</v>
      </c>
      <c r="MBV220" s="2" t="s">
        <v>63</v>
      </c>
      <c r="MBW220" s="2" t="s">
        <v>83</v>
      </c>
      <c r="MBX220" s="2" t="s">
        <v>63</v>
      </c>
      <c r="MBY220" s="24">
        <v>434</v>
      </c>
      <c r="MBZ220" s="5">
        <v>46174</v>
      </c>
      <c r="MCA220" s="5">
        <v>46174</v>
      </c>
      <c r="MCB220" s="30">
        <f t="shared" ref="MCB220" si="580">MCA220-MBZ220</f>
        <v>0</v>
      </c>
      <c r="MCC220" s="5" t="s">
        <v>317</v>
      </c>
      <c r="MCD220" s="2" t="s">
        <v>22</v>
      </c>
      <c r="MCE220" s="53" t="s">
        <v>334</v>
      </c>
      <c r="MCF220" s="2" t="s">
        <v>513</v>
      </c>
      <c r="MCG220" s="2" t="s">
        <v>25</v>
      </c>
      <c r="MCH220" s="2" t="s">
        <v>393</v>
      </c>
      <c r="MCI220" s="7">
        <v>-74.044305502618698</v>
      </c>
      <c r="MCJ220" s="7">
        <v>4.6804459478222702</v>
      </c>
      <c r="MCK220" s="2" t="s">
        <v>357</v>
      </c>
      <c r="MCL220" s="2" t="s">
        <v>63</v>
      </c>
      <c r="MCM220" s="2" t="s">
        <v>83</v>
      </c>
      <c r="MCN220" s="2" t="s">
        <v>63</v>
      </c>
      <c r="MCO220" s="24">
        <v>434</v>
      </c>
      <c r="MCP220" s="5">
        <v>46174</v>
      </c>
      <c r="MCQ220" s="5">
        <v>46174</v>
      </c>
      <c r="MCR220" s="30">
        <f t="shared" ref="MCR220" si="581">MCQ220-MCP220</f>
        <v>0</v>
      </c>
      <c r="MCS220" s="5" t="s">
        <v>317</v>
      </c>
      <c r="MCT220" s="2" t="s">
        <v>22</v>
      </c>
      <c r="MCU220" s="53" t="s">
        <v>334</v>
      </c>
      <c r="MCV220" s="2" t="s">
        <v>513</v>
      </c>
      <c r="MCW220" s="2" t="s">
        <v>25</v>
      </c>
      <c r="MCX220" s="2" t="s">
        <v>393</v>
      </c>
      <c r="MCY220" s="7">
        <v>-74.044305502618698</v>
      </c>
      <c r="MCZ220" s="7">
        <v>4.6804459478222702</v>
      </c>
      <c r="MDA220" s="2" t="s">
        <v>357</v>
      </c>
      <c r="MDB220" s="2" t="s">
        <v>63</v>
      </c>
      <c r="MDC220" s="2" t="s">
        <v>83</v>
      </c>
      <c r="MDD220" s="2" t="s">
        <v>63</v>
      </c>
      <c r="MDE220" s="24">
        <v>434</v>
      </c>
      <c r="MDF220" s="5">
        <v>46174</v>
      </c>
      <c r="MDG220" s="5">
        <v>46174</v>
      </c>
      <c r="MDH220" s="30">
        <f t="shared" ref="MDH220" si="582">MDG220-MDF220</f>
        <v>0</v>
      </c>
      <c r="MDI220" s="5" t="s">
        <v>317</v>
      </c>
      <c r="MDJ220" s="2" t="s">
        <v>22</v>
      </c>
      <c r="MDK220" s="53" t="s">
        <v>334</v>
      </c>
      <c r="MDL220" s="2" t="s">
        <v>513</v>
      </c>
      <c r="MDM220" s="2" t="s">
        <v>25</v>
      </c>
      <c r="MDN220" s="2" t="s">
        <v>393</v>
      </c>
      <c r="MDO220" s="7">
        <v>-74.044305502618698</v>
      </c>
      <c r="MDP220" s="7">
        <v>4.6804459478222702</v>
      </c>
      <c r="MDQ220" s="2" t="s">
        <v>357</v>
      </c>
      <c r="MDR220" s="2" t="s">
        <v>63</v>
      </c>
      <c r="MDS220" s="2" t="s">
        <v>83</v>
      </c>
      <c r="MDT220" s="2" t="s">
        <v>63</v>
      </c>
      <c r="MDU220" s="24">
        <v>434</v>
      </c>
      <c r="MDV220" s="5">
        <v>46174</v>
      </c>
      <c r="MDW220" s="5">
        <v>46174</v>
      </c>
      <c r="MDX220" s="30">
        <f t="shared" ref="MDX220" si="583">MDW220-MDV220</f>
        <v>0</v>
      </c>
      <c r="MDY220" s="5" t="s">
        <v>317</v>
      </c>
      <c r="MDZ220" s="2" t="s">
        <v>22</v>
      </c>
      <c r="MEA220" s="53" t="s">
        <v>334</v>
      </c>
      <c r="MEB220" s="2" t="s">
        <v>513</v>
      </c>
      <c r="MEC220" s="2" t="s">
        <v>25</v>
      </c>
      <c r="MED220" s="2" t="s">
        <v>393</v>
      </c>
      <c r="MEE220" s="7">
        <v>-74.044305502618698</v>
      </c>
      <c r="MEF220" s="7">
        <v>4.6804459478222702</v>
      </c>
      <c r="MEG220" s="2" t="s">
        <v>357</v>
      </c>
      <c r="MEH220" s="2" t="s">
        <v>63</v>
      </c>
      <c r="MEI220" s="2" t="s">
        <v>83</v>
      </c>
      <c r="MEJ220" s="2" t="s">
        <v>63</v>
      </c>
      <c r="MEK220" s="24">
        <v>434</v>
      </c>
      <c r="MEL220" s="5">
        <v>46174</v>
      </c>
      <c r="MEM220" s="5">
        <v>46174</v>
      </c>
      <c r="MEN220" s="30">
        <f t="shared" ref="MEN220" si="584">MEM220-MEL220</f>
        <v>0</v>
      </c>
      <c r="MEO220" s="5" t="s">
        <v>317</v>
      </c>
      <c r="MEP220" s="2" t="s">
        <v>22</v>
      </c>
      <c r="MEQ220" s="53" t="s">
        <v>334</v>
      </c>
      <c r="MER220" s="2" t="s">
        <v>513</v>
      </c>
      <c r="MES220" s="2" t="s">
        <v>25</v>
      </c>
      <c r="MET220" s="2" t="s">
        <v>393</v>
      </c>
      <c r="MEU220" s="7">
        <v>-74.044305502618698</v>
      </c>
      <c r="MEV220" s="7">
        <v>4.6804459478222702</v>
      </c>
      <c r="MEW220" s="2" t="s">
        <v>357</v>
      </c>
      <c r="MEX220" s="2" t="s">
        <v>63</v>
      </c>
      <c r="MEY220" s="2" t="s">
        <v>83</v>
      </c>
      <c r="MEZ220" s="2" t="s">
        <v>63</v>
      </c>
      <c r="MFA220" s="24">
        <v>434</v>
      </c>
      <c r="MFB220" s="5">
        <v>46174</v>
      </c>
      <c r="MFC220" s="5">
        <v>46174</v>
      </c>
      <c r="MFD220" s="30">
        <f t="shared" ref="MFD220" si="585">MFC220-MFB220</f>
        <v>0</v>
      </c>
      <c r="MFE220" s="5" t="s">
        <v>317</v>
      </c>
      <c r="MFF220" s="2" t="s">
        <v>22</v>
      </c>
      <c r="MFG220" s="53" t="s">
        <v>334</v>
      </c>
      <c r="MFH220" s="2" t="s">
        <v>513</v>
      </c>
      <c r="MFI220" s="2" t="s">
        <v>25</v>
      </c>
      <c r="MFJ220" s="2" t="s">
        <v>393</v>
      </c>
      <c r="MFK220" s="7">
        <v>-74.044305502618698</v>
      </c>
      <c r="MFL220" s="7">
        <v>4.6804459478222702</v>
      </c>
      <c r="MFM220" s="2" t="s">
        <v>357</v>
      </c>
      <c r="MFN220" s="2" t="s">
        <v>63</v>
      </c>
      <c r="MFO220" s="2" t="s">
        <v>83</v>
      </c>
      <c r="MFP220" s="2" t="s">
        <v>63</v>
      </c>
      <c r="MFQ220" s="24">
        <v>434</v>
      </c>
      <c r="MFR220" s="5">
        <v>46174</v>
      </c>
      <c r="MFS220" s="5">
        <v>46174</v>
      </c>
      <c r="MFT220" s="30">
        <f t="shared" ref="MFT220" si="586">MFS220-MFR220</f>
        <v>0</v>
      </c>
      <c r="MFU220" s="5" t="s">
        <v>317</v>
      </c>
      <c r="MFV220" s="2" t="s">
        <v>22</v>
      </c>
      <c r="MFW220" s="53" t="s">
        <v>334</v>
      </c>
      <c r="MFX220" s="2" t="s">
        <v>513</v>
      </c>
      <c r="MFY220" s="2" t="s">
        <v>25</v>
      </c>
      <c r="MFZ220" s="2" t="s">
        <v>393</v>
      </c>
      <c r="MGA220" s="7">
        <v>-74.044305502618698</v>
      </c>
      <c r="MGB220" s="7">
        <v>4.6804459478222702</v>
      </c>
      <c r="MGC220" s="2" t="s">
        <v>357</v>
      </c>
      <c r="MGD220" s="2" t="s">
        <v>63</v>
      </c>
      <c r="MGE220" s="2" t="s">
        <v>83</v>
      </c>
      <c r="MGF220" s="2" t="s">
        <v>63</v>
      </c>
      <c r="MGG220" s="24">
        <v>434</v>
      </c>
      <c r="MGH220" s="5">
        <v>46174</v>
      </c>
      <c r="MGI220" s="5">
        <v>46174</v>
      </c>
      <c r="MGJ220" s="30">
        <f t="shared" ref="MGJ220" si="587">MGI220-MGH220</f>
        <v>0</v>
      </c>
      <c r="MGK220" s="5" t="s">
        <v>317</v>
      </c>
      <c r="MGL220" s="2" t="s">
        <v>22</v>
      </c>
      <c r="MGM220" s="53" t="s">
        <v>334</v>
      </c>
      <c r="MGN220" s="2" t="s">
        <v>513</v>
      </c>
      <c r="MGO220" s="2" t="s">
        <v>25</v>
      </c>
      <c r="MGP220" s="2" t="s">
        <v>393</v>
      </c>
      <c r="MGQ220" s="7">
        <v>-74.044305502618698</v>
      </c>
      <c r="MGR220" s="7">
        <v>4.6804459478222702</v>
      </c>
      <c r="MGS220" s="2" t="s">
        <v>357</v>
      </c>
      <c r="MGT220" s="2" t="s">
        <v>63</v>
      </c>
      <c r="MGU220" s="2" t="s">
        <v>83</v>
      </c>
      <c r="MGV220" s="2" t="s">
        <v>63</v>
      </c>
      <c r="MGW220" s="24">
        <v>434</v>
      </c>
      <c r="MGX220" s="5">
        <v>46174</v>
      </c>
      <c r="MGY220" s="5">
        <v>46174</v>
      </c>
      <c r="MGZ220" s="30">
        <f t="shared" ref="MGZ220" si="588">MGY220-MGX220</f>
        <v>0</v>
      </c>
      <c r="MHA220" s="5" t="s">
        <v>317</v>
      </c>
      <c r="MHB220" s="2" t="s">
        <v>22</v>
      </c>
      <c r="MHC220" s="53" t="s">
        <v>334</v>
      </c>
      <c r="MHD220" s="2" t="s">
        <v>513</v>
      </c>
      <c r="MHE220" s="2" t="s">
        <v>25</v>
      </c>
      <c r="MHF220" s="2" t="s">
        <v>393</v>
      </c>
      <c r="MHG220" s="7">
        <v>-74.044305502618698</v>
      </c>
      <c r="MHH220" s="7">
        <v>4.6804459478222702</v>
      </c>
      <c r="MHI220" s="2" t="s">
        <v>357</v>
      </c>
      <c r="MHJ220" s="2" t="s">
        <v>63</v>
      </c>
      <c r="MHK220" s="2" t="s">
        <v>83</v>
      </c>
      <c r="MHL220" s="2" t="s">
        <v>63</v>
      </c>
      <c r="MHM220" s="24">
        <v>434</v>
      </c>
      <c r="MHN220" s="5">
        <v>46174</v>
      </c>
      <c r="MHO220" s="5">
        <v>46174</v>
      </c>
      <c r="MHP220" s="30">
        <f t="shared" ref="MHP220" si="589">MHO220-MHN220</f>
        <v>0</v>
      </c>
      <c r="MHQ220" s="5" t="s">
        <v>317</v>
      </c>
      <c r="MHR220" s="2" t="s">
        <v>22</v>
      </c>
      <c r="MHS220" s="53" t="s">
        <v>334</v>
      </c>
      <c r="MHT220" s="2" t="s">
        <v>513</v>
      </c>
      <c r="MHU220" s="2" t="s">
        <v>25</v>
      </c>
      <c r="MHV220" s="2" t="s">
        <v>393</v>
      </c>
      <c r="MHW220" s="7">
        <v>-74.044305502618698</v>
      </c>
      <c r="MHX220" s="7">
        <v>4.6804459478222702</v>
      </c>
      <c r="MHY220" s="2" t="s">
        <v>357</v>
      </c>
      <c r="MHZ220" s="2" t="s">
        <v>63</v>
      </c>
      <c r="MIA220" s="2" t="s">
        <v>83</v>
      </c>
      <c r="MIB220" s="2" t="s">
        <v>63</v>
      </c>
      <c r="MIC220" s="24">
        <v>434</v>
      </c>
      <c r="MID220" s="5">
        <v>46174</v>
      </c>
      <c r="MIE220" s="5">
        <v>46174</v>
      </c>
      <c r="MIF220" s="30">
        <f t="shared" ref="MIF220" si="590">MIE220-MID220</f>
        <v>0</v>
      </c>
      <c r="MIG220" s="5" t="s">
        <v>317</v>
      </c>
      <c r="MIH220" s="2" t="s">
        <v>22</v>
      </c>
      <c r="MII220" s="53" t="s">
        <v>334</v>
      </c>
      <c r="MIJ220" s="2" t="s">
        <v>513</v>
      </c>
      <c r="MIK220" s="2" t="s">
        <v>25</v>
      </c>
      <c r="MIL220" s="2" t="s">
        <v>393</v>
      </c>
      <c r="MIM220" s="7">
        <v>-74.044305502618698</v>
      </c>
      <c r="MIN220" s="7">
        <v>4.6804459478222702</v>
      </c>
      <c r="MIO220" s="2" t="s">
        <v>357</v>
      </c>
      <c r="MIP220" s="2" t="s">
        <v>63</v>
      </c>
      <c r="MIQ220" s="2" t="s">
        <v>83</v>
      </c>
      <c r="MIR220" s="2" t="s">
        <v>63</v>
      </c>
      <c r="MIS220" s="24">
        <v>434</v>
      </c>
      <c r="MIT220" s="5">
        <v>46174</v>
      </c>
      <c r="MIU220" s="5">
        <v>46174</v>
      </c>
      <c r="MIV220" s="30">
        <f t="shared" ref="MIV220" si="591">MIU220-MIT220</f>
        <v>0</v>
      </c>
      <c r="MIW220" s="5" t="s">
        <v>317</v>
      </c>
      <c r="MIX220" s="2" t="s">
        <v>22</v>
      </c>
      <c r="MIY220" s="53" t="s">
        <v>334</v>
      </c>
      <c r="MIZ220" s="2" t="s">
        <v>513</v>
      </c>
      <c r="MJA220" s="2" t="s">
        <v>25</v>
      </c>
      <c r="MJB220" s="2" t="s">
        <v>393</v>
      </c>
      <c r="MJC220" s="7">
        <v>-74.044305502618698</v>
      </c>
      <c r="MJD220" s="7">
        <v>4.6804459478222702</v>
      </c>
      <c r="MJE220" s="2" t="s">
        <v>357</v>
      </c>
      <c r="MJF220" s="2" t="s">
        <v>63</v>
      </c>
      <c r="MJG220" s="2" t="s">
        <v>83</v>
      </c>
      <c r="MJH220" s="2" t="s">
        <v>63</v>
      </c>
      <c r="MJI220" s="24">
        <v>434</v>
      </c>
      <c r="MJJ220" s="5">
        <v>46174</v>
      </c>
      <c r="MJK220" s="5">
        <v>46174</v>
      </c>
      <c r="MJL220" s="30">
        <f t="shared" ref="MJL220" si="592">MJK220-MJJ220</f>
        <v>0</v>
      </c>
      <c r="MJM220" s="5" t="s">
        <v>317</v>
      </c>
      <c r="MJN220" s="2" t="s">
        <v>22</v>
      </c>
      <c r="MJO220" s="53" t="s">
        <v>334</v>
      </c>
      <c r="MJP220" s="2" t="s">
        <v>513</v>
      </c>
      <c r="MJQ220" s="2" t="s">
        <v>25</v>
      </c>
      <c r="MJR220" s="2" t="s">
        <v>393</v>
      </c>
      <c r="MJS220" s="7">
        <v>-74.044305502618698</v>
      </c>
      <c r="MJT220" s="7">
        <v>4.6804459478222702</v>
      </c>
      <c r="MJU220" s="2" t="s">
        <v>357</v>
      </c>
      <c r="MJV220" s="2" t="s">
        <v>63</v>
      </c>
      <c r="MJW220" s="2" t="s">
        <v>83</v>
      </c>
      <c r="MJX220" s="2" t="s">
        <v>63</v>
      </c>
      <c r="MJY220" s="24">
        <v>434</v>
      </c>
      <c r="MJZ220" s="5">
        <v>46174</v>
      </c>
      <c r="MKA220" s="5">
        <v>46174</v>
      </c>
      <c r="MKB220" s="30">
        <f t="shared" ref="MKB220" si="593">MKA220-MJZ220</f>
        <v>0</v>
      </c>
      <c r="MKC220" s="5" t="s">
        <v>317</v>
      </c>
      <c r="MKD220" s="2" t="s">
        <v>22</v>
      </c>
      <c r="MKE220" s="53" t="s">
        <v>334</v>
      </c>
      <c r="MKF220" s="2" t="s">
        <v>513</v>
      </c>
      <c r="MKG220" s="2" t="s">
        <v>25</v>
      </c>
      <c r="MKH220" s="2" t="s">
        <v>393</v>
      </c>
      <c r="MKI220" s="7">
        <v>-74.044305502618698</v>
      </c>
      <c r="MKJ220" s="7">
        <v>4.6804459478222702</v>
      </c>
      <c r="MKK220" s="2" t="s">
        <v>357</v>
      </c>
      <c r="MKL220" s="2" t="s">
        <v>63</v>
      </c>
      <c r="MKM220" s="2" t="s">
        <v>83</v>
      </c>
      <c r="MKN220" s="2" t="s">
        <v>63</v>
      </c>
      <c r="MKO220" s="24">
        <v>434</v>
      </c>
      <c r="MKP220" s="5">
        <v>46174</v>
      </c>
      <c r="MKQ220" s="5">
        <v>46174</v>
      </c>
      <c r="MKR220" s="30">
        <f t="shared" ref="MKR220" si="594">MKQ220-MKP220</f>
        <v>0</v>
      </c>
      <c r="MKS220" s="5" t="s">
        <v>317</v>
      </c>
      <c r="MKT220" s="2" t="s">
        <v>22</v>
      </c>
      <c r="MKU220" s="53" t="s">
        <v>334</v>
      </c>
      <c r="MKV220" s="2" t="s">
        <v>513</v>
      </c>
      <c r="MKW220" s="2" t="s">
        <v>25</v>
      </c>
      <c r="MKX220" s="2" t="s">
        <v>393</v>
      </c>
      <c r="MKY220" s="7">
        <v>-74.044305502618698</v>
      </c>
      <c r="MKZ220" s="7">
        <v>4.6804459478222702</v>
      </c>
      <c r="MLA220" s="2" t="s">
        <v>357</v>
      </c>
      <c r="MLB220" s="2" t="s">
        <v>63</v>
      </c>
      <c r="MLC220" s="2" t="s">
        <v>83</v>
      </c>
      <c r="MLD220" s="2" t="s">
        <v>63</v>
      </c>
      <c r="MLE220" s="24">
        <v>434</v>
      </c>
      <c r="MLF220" s="5">
        <v>46174</v>
      </c>
      <c r="MLG220" s="5">
        <v>46174</v>
      </c>
      <c r="MLH220" s="30">
        <f t="shared" ref="MLH220" si="595">MLG220-MLF220</f>
        <v>0</v>
      </c>
      <c r="MLI220" s="5" t="s">
        <v>317</v>
      </c>
      <c r="MLJ220" s="2" t="s">
        <v>22</v>
      </c>
      <c r="MLK220" s="53" t="s">
        <v>334</v>
      </c>
      <c r="MLL220" s="2" t="s">
        <v>513</v>
      </c>
      <c r="MLM220" s="2" t="s">
        <v>25</v>
      </c>
      <c r="MLN220" s="2" t="s">
        <v>393</v>
      </c>
      <c r="MLO220" s="7">
        <v>-74.044305502618698</v>
      </c>
      <c r="MLP220" s="7">
        <v>4.6804459478222702</v>
      </c>
      <c r="MLQ220" s="2" t="s">
        <v>357</v>
      </c>
      <c r="MLR220" s="2" t="s">
        <v>63</v>
      </c>
      <c r="MLS220" s="2" t="s">
        <v>83</v>
      </c>
      <c r="MLT220" s="2" t="s">
        <v>63</v>
      </c>
      <c r="MLU220" s="24">
        <v>434</v>
      </c>
      <c r="MLV220" s="5">
        <v>46174</v>
      </c>
      <c r="MLW220" s="5">
        <v>46174</v>
      </c>
      <c r="MLX220" s="30">
        <f t="shared" ref="MLX220" si="596">MLW220-MLV220</f>
        <v>0</v>
      </c>
      <c r="MLY220" s="5" t="s">
        <v>317</v>
      </c>
      <c r="MLZ220" s="2" t="s">
        <v>22</v>
      </c>
      <c r="MMA220" s="53" t="s">
        <v>334</v>
      </c>
      <c r="MMB220" s="2" t="s">
        <v>513</v>
      </c>
      <c r="MMC220" s="2" t="s">
        <v>25</v>
      </c>
      <c r="MMD220" s="2" t="s">
        <v>393</v>
      </c>
      <c r="MME220" s="7">
        <v>-74.044305502618698</v>
      </c>
      <c r="MMF220" s="7">
        <v>4.6804459478222702</v>
      </c>
      <c r="MMG220" s="2" t="s">
        <v>357</v>
      </c>
      <c r="MMH220" s="2" t="s">
        <v>63</v>
      </c>
      <c r="MMI220" s="2" t="s">
        <v>83</v>
      </c>
      <c r="MMJ220" s="2" t="s">
        <v>63</v>
      </c>
      <c r="MMK220" s="24">
        <v>434</v>
      </c>
      <c r="MML220" s="5">
        <v>46174</v>
      </c>
      <c r="MMM220" s="5">
        <v>46174</v>
      </c>
      <c r="MMN220" s="30">
        <f t="shared" ref="MMN220" si="597">MMM220-MML220</f>
        <v>0</v>
      </c>
      <c r="MMO220" s="5" t="s">
        <v>317</v>
      </c>
      <c r="MMP220" s="2" t="s">
        <v>22</v>
      </c>
      <c r="MMQ220" s="53" t="s">
        <v>334</v>
      </c>
      <c r="MMR220" s="2" t="s">
        <v>513</v>
      </c>
      <c r="MMS220" s="2" t="s">
        <v>25</v>
      </c>
      <c r="MMT220" s="2" t="s">
        <v>393</v>
      </c>
      <c r="MMU220" s="7">
        <v>-74.044305502618698</v>
      </c>
      <c r="MMV220" s="7">
        <v>4.6804459478222702</v>
      </c>
      <c r="MMW220" s="2" t="s">
        <v>357</v>
      </c>
      <c r="MMX220" s="2" t="s">
        <v>63</v>
      </c>
      <c r="MMY220" s="2" t="s">
        <v>83</v>
      </c>
      <c r="MMZ220" s="2" t="s">
        <v>63</v>
      </c>
      <c r="MNA220" s="24">
        <v>434</v>
      </c>
      <c r="MNB220" s="5">
        <v>46174</v>
      </c>
      <c r="MNC220" s="5">
        <v>46174</v>
      </c>
      <c r="MND220" s="30">
        <f t="shared" ref="MND220" si="598">MNC220-MNB220</f>
        <v>0</v>
      </c>
      <c r="MNE220" s="5" t="s">
        <v>317</v>
      </c>
      <c r="MNF220" s="2" t="s">
        <v>22</v>
      </c>
      <c r="MNG220" s="53" t="s">
        <v>334</v>
      </c>
      <c r="MNH220" s="2" t="s">
        <v>513</v>
      </c>
      <c r="MNI220" s="2" t="s">
        <v>25</v>
      </c>
      <c r="MNJ220" s="2" t="s">
        <v>393</v>
      </c>
      <c r="MNK220" s="7">
        <v>-74.044305502618698</v>
      </c>
      <c r="MNL220" s="7">
        <v>4.6804459478222702</v>
      </c>
      <c r="MNM220" s="2" t="s">
        <v>357</v>
      </c>
      <c r="MNN220" s="2" t="s">
        <v>63</v>
      </c>
      <c r="MNO220" s="2" t="s">
        <v>83</v>
      </c>
      <c r="MNP220" s="2" t="s">
        <v>63</v>
      </c>
      <c r="MNQ220" s="24">
        <v>434</v>
      </c>
      <c r="MNR220" s="5">
        <v>46174</v>
      </c>
      <c r="MNS220" s="5">
        <v>46174</v>
      </c>
      <c r="MNT220" s="30">
        <f t="shared" ref="MNT220" si="599">MNS220-MNR220</f>
        <v>0</v>
      </c>
      <c r="MNU220" s="5" t="s">
        <v>317</v>
      </c>
      <c r="MNV220" s="2" t="s">
        <v>22</v>
      </c>
      <c r="MNW220" s="53" t="s">
        <v>334</v>
      </c>
      <c r="MNX220" s="2" t="s">
        <v>513</v>
      </c>
      <c r="MNY220" s="2" t="s">
        <v>25</v>
      </c>
      <c r="MNZ220" s="2" t="s">
        <v>393</v>
      </c>
      <c r="MOA220" s="7">
        <v>-74.044305502618698</v>
      </c>
      <c r="MOB220" s="7">
        <v>4.6804459478222702</v>
      </c>
      <c r="MOC220" s="2" t="s">
        <v>357</v>
      </c>
      <c r="MOD220" s="2" t="s">
        <v>63</v>
      </c>
      <c r="MOE220" s="2" t="s">
        <v>83</v>
      </c>
      <c r="MOF220" s="2" t="s">
        <v>63</v>
      </c>
      <c r="MOG220" s="24">
        <v>434</v>
      </c>
      <c r="MOH220" s="5">
        <v>46174</v>
      </c>
      <c r="MOI220" s="5">
        <v>46174</v>
      </c>
      <c r="MOJ220" s="30">
        <f t="shared" ref="MOJ220" si="600">MOI220-MOH220</f>
        <v>0</v>
      </c>
      <c r="MOK220" s="5" t="s">
        <v>317</v>
      </c>
      <c r="MOL220" s="2" t="s">
        <v>22</v>
      </c>
      <c r="MOM220" s="53" t="s">
        <v>334</v>
      </c>
      <c r="MON220" s="2" t="s">
        <v>513</v>
      </c>
      <c r="MOO220" s="2" t="s">
        <v>25</v>
      </c>
      <c r="MOP220" s="2" t="s">
        <v>393</v>
      </c>
      <c r="MOQ220" s="7">
        <v>-74.044305502618698</v>
      </c>
      <c r="MOR220" s="7">
        <v>4.6804459478222702</v>
      </c>
      <c r="MOS220" s="2" t="s">
        <v>357</v>
      </c>
      <c r="MOT220" s="2" t="s">
        <v>63</v>
      </c>
      <c r="MOU220" s="2" t="s">
        <v>83</v>
      </c>
      <c r="MOV220" s="2" t="s">
        <v>63</v>
      </c>
      <c r="MOW220" s="24">
        <v>434</v>
      </c>
      <c r="MOX220" s="5">
        <v>46174</v>
      </c>
      <c r="MOY220" s="5">
        <v>46174</v>
      </c>
      <c r="MOZ220" s="30">
        <f t="shared" ref="MOZ220" si="601">MOY220-MOX220</f>
        <v>0</v>
      </c>
      <c r="MPA220" s="5" t="s">
        <v>317</v>
      </c>
      <c r="MPB220" s="2" t="s">
        <v>22</v>
      </c>
      <c r="MPC220" s="53" t="s">
        <v>334</v>
      </c>
      <c r="MPD220" s="2" t="s">
        <v>513</v>
      </c>
      <c r="MPE220" s="2" t="s">
        <v>25</v>
      </c>
      <c r="MPF220" s="2" t="s">
        <v>393</v>
      </c>
      <c r="MPG220" s="7">
        <v>-74.044305502618698</v>
      </c>
      <c r="MPH220" s="7">
        <v>4.6804459478222702</v>
      </c>
      <c r="MPI220" s="2" t="s">
        <v>357</v>
      </c>
      <c r="MPJ220" s="2" t="s">
        <v>63</v>
      </c>
      <c r="MPK220" s="2" t="s">
        <v>83</v>
      </c>
      <c r="MPL220" s="2" t="s">
        <v>63</v>
      </c>
      <c r="MPM220" s="24">
        <v>434</v>
      </c>
      <c r="MPN220" s="5">
        <v>46174</v>
      </c>
      <c r="MPO220" s="5">
        <v>46174</v>
      </c>
      <c r="MPP220" s="30">
        <f t="shared" ref="MPP220" si="602">MPO220-MPN220</f>
        <v>0</v>
      </c>
      <c r="MPQ220" s="5" t="s">
        <v>317</v>
      </c>
      <c r="MPR220" s="2" t="s">
        <v>22</v>
      </c>
      <c r="MPS220" s="53" t="s">
        <v>334</v>
      </c>
      <c r="MPT220" s="2" t="s">
        <v>513</v>
      </c>
      <c r="MPU220" s="2" t="s">
        <v>25</v>
      </c>
      <c r="MPV220" s="2" t="s">
        <v>393</v>
      </c>
      <c r="MPW220" s="7">
        <v>-74.044305502618698</v>
      </c>
      <c r="MPX220" s="7">
        <v>4.6804459478222702</v>
      </c>
      <c r="MPY220" s="2" t="s">
        <v>357</v>
      </c>
      <c r="MPZ220" s="2" t="s">
        <v>63</v>
      </c>
      <c r="MQA220" s="2" t="s">
        <v>83</v>
      </c>
      <c r="MQB220" s="2" t="s">
        <v>63</v>
      </c>
      <c r="MQC220" s="24">
        <v>434</v>
      </c>
      <c r="MQD220" s="5">
        <v>46174</v>
      </c>
      <c r="MQE220" s="5">
        <v>46174</v>
      </c>
      <c r="MQF220" s="30">
        <f t="shared" ref="MQF220" si="603">MQE220-MQD220</f>
        <v>0</v>
      </c>
      <c r="MQG220" s="5" t="s">
        <v>317</v>
      </c>
      <c r="MQH220" s="2" t="s">
        <v>22</v>
      </c>
      <c r="MQI220" s="53" t="s">
        <v>334</v>
      </c>
      <c r="MQJ220" s="2" t="s">
        <v>513</v>
      </c>
      <c r="MQK220" s="2" t="s">
        <v>25</v>
      </c>
      <c r="MQL220" s="2" t="s">
        <v>393</v>
      </c>
      <c r="MQM220" s="7">
        <v>-74.044305502618698</v>
      </c>
      <c r="MQN220" s="7">
        <v>4.6804459478222702</v>
      </c>
      <c r="MQO220" s="2" t="s">
        <v>357</v>
      </c>
      <c r="MQP220" s="2" t="s">
        <v>63</v>
      </c>
      <c r="MQQ220" s="2" t="s">
        <v>83</v>
      </c>
      <c r="MQR220" s="2" t="s">
        <v>63</v>
      </c>
      <c r="MQS220" s="24">
        <v>434</v>
      </c>
      <c r="MQT220" s="5">
        <v>46174</v>
      </c>
      <c r="MQU220" s="5">
        <v>46174</v>
      </c>
      <c r="MQV220" s="30">
        <f t="shared" ref="MQV220" si="604">MQU220-MQT220</f>
        <v>0</v>
      </c>
      <c r="MQW220" s="5" t="s">
        <v>317</v>
      </c>
      <c r="MQX220" s="2" t="s">
        <v>22</v>
      </c>
      <c r="MQY220" s="53" t="s">
        <v>334</v>
      </c>
      <c r="MQZ220" s="2" t="s">
        <v>513</v>
      </c>
      <c r="MRA220" s="2" t="s">
        <v>25</v>
      </c>
      <c r="MRB220" s="2" t="s">
        <v>393</v>
      </c>
      <c r="MRC220" s="7">
        <v>-74.044305502618698</v>
      </c>
      <c r="MRD220" s="7">
        <v>4.6804459478222702</v>
      </c>
      <c r="MRE220" s="2" t="s">
        <v>357</v>
      </c>
      <c r="MRF220" s="2" t="s">
        <v>63</v>
      </c>
      <c r="MRG220" s="2" t="s">
        <v>83</v>
      </c>
      <c r="MRH220" s="2" t="s">
        <v>63</v>
      </c>
      <c r="MRI220" s="24">
        <v>434</v>
      </c>
      <c r="MRJ220" s="5">
        <v>46174</v>
      </c>
      <c r="MRK220" s="5">
        <v>46174</v>
      </c>
      <c r="MRL220" s="30">
        <f t="shared" ref="MRL220" si="605">MRK220-MRJ220</f>
        <v>0</v>
      </c>
      <c r="MRM220" s="5" t="s">
        <v>317</v>
      </c>
      <c r="MRN220" s="2" t="s">
        <v>22</v>
      </c>
      <c r="MRO220" s="53" t="s">
        <v>334</v>
      </c>
      <c r="MRP220" s="2" t="s">
        <v>513</v>
      </c>
      <c r="MRQ220" s="2" t="s">
        <v>25</v>
      </c>
      <c r="MRR220" s="2" t="s">
        <v>393</v>
      </c>
      <c r="MRS220" s="7">
        <v>-74.044305502618698</v>
      </c>
      <c r="MRT220" s="7">
        <v>4.6804459478222702</v>
      </c>
      <c r="MRU220" s="2" t="s">
        <v>357</v>
      </c>
      <c r="MRV220" s="2" t="s">
        <v>63</v>
      </c>
      <c r="MRW220" s="2" t="s">
        <v>83</v>
      </c>
      <c r="MRX220" s="2" t="s">
        <v>63</v>
      </c>
      <c r="MRY220" s="24">
        <v>434</v>
      </c>
      <c r="MRZ220" s="5">
        <v>46174</v>
      </c>
      <c r="MSA220" s="5">
        <v>46174</v>
      </c>
      <c r="MSB220" s="30">
        <f t="shared" ref="MSB220" si="606">MSA220-MRZ220</f>
        <v>0</v>
      </c>
      <c r="MSC220" s="5" t="s">
        <v>317</v>
      </c>
      <c r="MSD220" s="2" t="s">
        <v>22</v>
      </c>
      <c r="MSE220" s="53" t="s">
        <v>334</v>
      </c>
      <c r="MSF220" s="2" t="s">
        <v>513</v>
      </c>
      <c r="MSG220" s="2" t="s">
        <v>25</v>
      </c>
      <c r="MSH220" s="2" t="s">
        <v>393</v>
      </c>
      <c r="MSI220" s="7">
        <v>-74.044305502618698</v>
      </c>
      <c r="MSJ220" s="7">
        <v>4.6804459478222702</v>
      </c>
      <c r="MSK220" s="2" t="s">
        <v>357</v>
      </c>
      <c r="MSL220" s="2" t="s">
        <v>63</v>
      </c>
      <c r="MSM220" s="2" t="s">
        <v>83</v>
      </c>
      <c r="MSN220" s="2" t="s">
        <v>63</v>
      </c>
      <c r="MSO220" s="24">
        <v>434</v>
      </c>
      <c r="MSP220" s="5">
        <v>46174</v>
      </c>
      <c r="MSQ220" s="5">
        <v>46174</v>
      </c>
      <c r="MSR220" s="30">
        <f t="shared" ref="MSR220" si="607">MSQ220-MSP220</f>
        <v>0</v>
      </c>
      <c r="MSS220" s="5" t="s">
        <v>317</v>
      </c>
      <c r="MST220" s="2" t="s">
        <v>22</v>
      </c>
      <c r="MSU220" s="53" t="s">
        <v>334</v>
      </c>
      <c r="MSV220" s="2" t="s">
        <v>513</v>
      </c>
      <c r="MSW220" s="2" t="s">
        <v>25</v>
      </c>
      <c r="MSX220" s="2" t="s">
        <v>393</v>
      </c>
      <c r="MSY220" s="7">
        <v>-74.044305502618698</v>
      </c>
      <c r="MSZ220" s="7">
        <v>4.6804459478222702</v>
      </c>
      <c r="MTA220" s="2" t="s">
        <v>357</v>
      </c>
      <c r="MTB220" s="2" t="s">
        <v>63</v>
      </c>
      <c r="MTC220" s="2" t="s">
        <v>83</v>
      </c>
      <c r="MTD220" s="2" t="s">
        <v>63</v>
      </c>
      <c r="MTE220" s="24">
        <v>434</v>
      </c>
      <c r="MTF220" s="5">
        <v>46174</v>
      </c>
      <c r="MTG220" s="5">
        <v>46174</v>
      </c>
      <c r="MTH220" s="30">
        <f t="shared" ref="MTH220" si="608">MTG220-MTF220</f>
        <v>0</v>
      </c>
      <c r="MTI220" s="5" t="s">
        <v>317</v>
      </c>
      <c r="MTJ220" s="2" t="s">
        <v>22</v>
      </c>
      <c r="MTK220" s="53" t="s">
        <v>334</v>
      </c>
      <c r="MTL220" s="2" t="s">
        <v>513</v>
      </c>
      <c r="MTM220" s="2" t="s">
        <v>25</v>
      </c>
      <c r="MTN220" s="2" t="s">
        <v>393</v>
      </c>
      <c r="MTO220" s="7">
        <v>-74.044305502618698</v>
      </c>
      <c r="MTP220" s="7">
        <v>4.6804459478222702</v>
      </c>
      <c r="MTQ220" s="2" t="s">
        <v>357</v>
      </c>
      <c r="MTR220" s="2" t="s">
        <v>63</v>
      </c>
      <c r="MTS220" s="2" t="s">
        <v>83</v>
      </c>
      <c r="MTT220" s="2" t="s">
        <v>63</v>
      </c>
      <c r="MTU220" s="24">
        <v>434</v>
      </c>
      <c r="MTV220" s="5">
        <v>46174</v>
      </c>
      <c r="MTW220" s="5">
        <v>46174</v>
      </c>
      <c r="MTX220" s="30">
        <f t="shared" ref="MTX220" si="609">MTW220-MTV220</f>
        <v>0</v>
      </c>
      <c r="MTY220" s="5" t="s">
        <v>317</v>
      </c>
      <c r="MTZ220" s="2" t="s">
        <v>22</v>
      </c>
      <c r="MUA220" s="53" t="s">
        <v>334</v>
      </c>
      <c r="MUB220" s="2" t="s">
        <v>513</v>
      </c>
      <c r="MUC220" s="2" t="s">
        <v>25</v>
      </c>
      <c r="MUD220" s="2" t="s">
        <v>393</v>
      </c>
      <c r="MUE220" s="7">
        <v>-74.044305502618698</v>
      </c>
      <c r="MUF220" s="7">
        <v>4.6804459478222702</v>
      </c>
      <c r="MUG220" s="2" t="s">
        <v>357</v>
      </c>
      <c r="MUH220" s="2" t="s">
        <v>63</v>
      </c>
      <c r="MUI220" s="2" t="s">
        <v>83</v>
      </c>
      <c r="MUJ220" s="2" t="s">
        <v>63</v>
      </c>
      <c r="MUK220" s="24">
        <v>434</v>
      </c>
      <c r="MUL220" s="5">
        <v>46174</v>
      </c>
      <c r="MUM220" s="5">
        <v>46174</v>
      </c>
      <c r="MUN220" s="30">
        <f t="shared" ref="MUN220" si="610">MUM220-MUL220</f>
        <v>0</v>
      </c>
      <c r="MUO220" s="5" t="s">
        <v>317</v>
      </c>
      <c r="MUP220" s="2" t="s">
        <v>22</v>
      </c>
      <c r="MUQ220" s="53" t="s">
        <v>334</v>
      </c>
      <c r="MUR220" s="2" t="s">
        <v>513</v>
      </c>
      <c r="MUS220" s="2" t="s">
        <v>25</v>
      </c>
      <c r="MUT220" s="2" t="s">
        <v>393</v>
      </c>
      <c r="MUU220" s="7">
        <v>-74.044305502618698</v>
      </c>
      <c r="MUV220" s="7">
        <v>4.6804459478222702</v>
      </c>
      <c r="MUW220" s="2" t="s">
        <v>357</v>
      </c>
      <c r="MUX220" s="2" t="s">
        <v>63</v>
      </c>
      <c r="MUY220" s="2" t="s">
        <v>83</v>
      </c>
      <c r="MUZ220" s="2" t="s">
        <v>63</v>
      </c>
      <c r="MVA220" s="24">
        <v>434</v>
      </c>
      <c r="MVB220" s="5">
        <v>46174</v>
      </c>
      <c r="MVC220" s="5">
        <v>46174</v>
      </c>
      <c r="MVD220" s="30">
        <f t="shared" ref="MVD220" si="611">MVC220-MVB220</f>
        <v>0</v>
      </c>
      <c r="MVE220" s="5" t="s">
        <v>317</v>
      </c>
      <c r="MVF220" s="2" t="s">
        <v>22</v>
      </c>
      <c r="MVG220" s="53" t="s">
        <v>334</v>
      </c>
      <c r="MVH220" s="2" t="s">
        <v>513</v>
      </c>
      <c r="MVI220" s="2" t="s">
        <v>25</v>
      </c>
      <c r="MVJ220" s="2" t="s">
        <v>393</v>
      </c>
      <c r="MVK220" s="7">
        <v>-74.044305502618698</v>
      </c>
      <c r="MVL220" s="7">
        <v>4.6804459478222702</v>
      </c>
      <c r="MVM220" s="2" t="s">
        <v>357</v>
      </c>
      <c r="MVN220" s="2" t="s">
        <v>63</v>
      </c>
      <c r="MVO220" s="2" t="s">
        <v>83</v>
      </c>
      <c r="MVP220" s="2" t="s">
        <v>63</v>
      </c>
      <c r="MVQ220" s="24">
        <v>434</v>
      </c>
      <c r="MVR220" s="5">
        <v>46174</v>
      </c>
      <c r="MVS220" s="5">
        <v>46174</v>
      </c>
      <c r="MVT220" s="30">
        <f t="shared" ref="MVT220" si="612">MVS220-MVR220</f>
        <v>0</v>
      </c>
      <c r="MVU220" s="5" t="s">
        <v>317</v>
      </c>
      <c r="MVV220" s="2" t="s">
        <v>22</v>
      </c>
      <c r="MVW220" s="53" t="s">
        <v>334</v>
      </c>
      <c r="MVX220" s="2" t="s">
        <v>513</v>
      </c>
      <c r="MVY220" s="2" t="s">
        <v>25</v>
      </c>
      <c r="MVZ220" s="2" t="s">
        <v>393</v>
      </c>
      <c r="MWA220" s="7">
        <v>-74.044305502618698</v>
      </c>
      <c r="MWB220" s="7">
        <v>4.6804459478222702</v>
      </c>
      <c r="MWC220" s="2" t="s">
        <v>357</v>
      </c>
      <c r="MWD220" s="2" t="s">
        <v>63</v>
      </c>
      <c r="MWE220" s="2" t="s">
        <v>83</v>
      </c>
      <c r="MWF220" s="2" t="s">
        <v>63</v>
      </c>
      <c r="MWG220" s="24">
        <v>434</v>
      </c>
      <c r="MWH220" s="5">
        <v>46174</v>
      </c>
      <c r="MWI220" s="5">
        <v>46174</v>
      </c>
      <c r="MWJ220" s="30">
        <f t="shared" ref="MWJ220" si="613">MWI220-MWH220</f>
        <v>0</v>
      </c>
      <c r="MWK220" s="5" t="s">
        <v>317</v>
      </c>
      <c r="MWL220" s="2" t="s">
        <v>22</v>
      </c>
      <c r="MWM220" s="53" t="s">
        <v>334</v>
      </c>
      <c r="MWN220" s="2" t="s">
        <v>513</v>
      </c>
      <c r="MWO220" s="2" t="s">
        <v>25</v>
      </c>
      <c r="MWP220" s="2" t="s">
        <v>393</v>
      </c>
      <c r="MWQ220" s="7">
        <v>-74.044305502618698</v>
      </c>
      <c r="MWR220" s="7">
        <v>4.6804459478222702</v>
      </c>
      <c r="MWS220" s="2" t="s">
        <v>357</v>
      </c>
      <c r="MWT220" s="2" t="s">
        <v>63</v>
      </c>
      <c r="MWU220" s="2" t="s">
        <v>83</v>
      </c>
      <c r="MWV220" s="2" t="s">
        <v>63</v>
      </c>
      <c r="MWW220" s="24">
        <v>434</v>
      </c>
      <c r="MWX220" s="5">
        <v>46174</v>
      </c>
      <c r="MWY220" s="5">
        <v>46174</v>
      </c>
      <c r="MWZ220" s="30">
        <f t="shared" ref="MWZ220" si="614">MWY220-MWX220</f>
        <v>0</v>
      </c>
      <c r="MXA220" s="5" t="s">
        <v>317</v>
      </c>
      <c r="MXB220" s="2" t="s">
        <v>22</v>
      </c>
      <c r="MXC220" s="53" t="s">
        <v>334</v>
      </c>
      <c r="MXD220" s="2" t="s">
        <v>513</v>
      </c>
      <c r="MXE220" s="2" t="s">
        <v>25</v>
      </c>
      <c r="MXF220" s="2" t="s">
        <v>393</v>
      </c>
      <c r="MXG220" s="7">
        <v>-74.044305502618698</v>
      </c>
      <c r="MXH220" s="7">
        <v>4.6804459478222702</v>
      </c>
      <c r="MXI220" s="2" t="s">
        <v>357</v>
      </c>
      <c r="MXJ220" s="2" t="s">
        <v>63</v>
      </c>
      <c r="MXK220" s="2" t="s">
        <v>83</v>
      </c>
      <c r="MXL220" s="2" t="s">
        <v>63</v>
      </c>
      <c r="MXM220" s="24">
        <v>434</v>
      </c>
      <c r="MXN220" s="5">
        <v>46174</v>
      </c>
      <c r="MXO220" s="5">
        <v>46174</v>
      </c>
      <c r="MXP220" s="30">
        <f t="shared" ref="MXP220" si="615">MXO220-MXN220</f>
        <v>0</v>
      </c>
      <c r="MXQ220" s="5" t="s">
        <v>317</v>
      </c>
      <c r="MXR220" s="2" t="s">
        <v>22</v>
      </c>
      <c r="MXS220" s="53" t="s">
        <v>334</v>
      </c>
      <c r="MXT220" s="2" t="s">
        <v>513</v>
      </c>
      <c r="MXU220" s="2" t="s">
        <v>25</v>
      </c>
      <c r="MXV220" s="2" t="s">
        <v>393</v>
      </c>
      <c r="MXW220" s="7">
        <v>-74.044305502618698</v>
      </c>
      <c r="MXX220" s="7">
        <v>4.6804459478222702</v>
      </c>
      <c r="MXY220" s="2" t="s">
        <v>357</v>
      </c>
      <c r="MXZ220" s="2" t="s">
        <v>63</v>
      </c>
      <c r="MYA220" s="2" t="s">
        <v>83</v>
      </c>
      <c r="MYB220" s="2" t="s">
        <v>63</v>
      </c>
      <c r="MYC220" s="24">
        <v>434</v>
      </c>
      <c r="MYD220" s="5">
        <v>46174</v>
      </c>
      <c r="MYE220" s="5">
        <v>46174</v>
      </c>
      <c r="MYF220" s="30">
        <f t="shared" ref="MYF220" si="616">MYE220-MYD220</f>
        <v>0</v>
      </c>
      <c r="MYG220" s="5" t="s">
        <v>317</v>
      </c>
      <c r="MYH220" s="2" t="s">
        <v>22</v>
      </c>
      <c r="MYI220" s="53" t="s">
        <v>334</v>
      </c>
      <c r="MYJ220" s="2" t="s">
        <v>513</v>
      </c>
      <c r="MYK220" s="2" t="s">
        <v>25</v>
      </c>
      <c r="MYL220" s="2" t="s">
        <v>393</v>
      </c>
      <c r="MYM220" s="7">
        <v>-74.044305502618698</v>
      </c>
      <c r="MYN220" s="7">
        <v>4.6804459478222702</v>
      </c>
      <c r="MYO220" s="2" t="s">
        <v>357</v>
      </c>
      <c r="MYP220" s="2" t="s">
        <v>63</v>
      </c>
      <c r="MYQ220" s="2" t="s">
        <v>83</v>
      </c>
      <c r="MYR220" s="2" t="s">
        <v>63</v>
      </c>
      <c r="MYS220" s="24">
        <v>434</v>
      </c>
      <c r="MYT220" s="5">
        <v>46174</v>
      </c>
      <c r="MYU220" s="5">
        <v>46174</v>
      </c>
      <c r="MYV220" s="30">
        <f t="shared" ref="MYV220" si="617">MYU220-MYT220</f>
        <v>0</v>
      </c>
      <c r="MYW220" s="5" t="s">
        <v>317</v>
      </c>
      <c r="MYX220" s="2" t="s">
        <v>22</v>
      </c>
      <c r="MYY220" s="53" t="s">
        <v>334</v>
      </c>
      <c r="MYZ220" s="2" t="s">
        <v>513</v>
      </c>
      <c r="MZA220" s="2" t="s">
        <v>25</v>
      </c>
      <c r="MZB220" s="2" t="s">
        <v>393</v>
      </c>
      <c r="MZC220" s="7">
        <v>-74.044305502618698</v>
      </c>
      <c r="MZD220" s="7">
        <v>4.6804459478222702</v>
      </c>
      <c r="MZE220" s="2" t="s">
        <v>357</v>
      </c>
      <c r="MZF220" s="2" t="s">
        <v>63</v>
      </c>
      <c r="MZG220" s="2" t="s">
        <v>83</v>
      </c>
      <c r="MZH220" s="2" t="s">
        <v>63</v>
      </c>
      <c r="MZI220" s="24">
        <v>434</v>
      </c>
      <c r="MZJ220" s="5">
        <v>46174</v>
      </c>
      <c r="MZK220" s="5">
        <v>46174</v>
      </c>
      <c r="MZL220" s="30">
        <f t="shared" ref="MZL220" si="618">MZK220-MZJ220</f>
        <v>0</v>
      </c>
      <c r="MZM220" s="5" t="s">
        <v>317</v>
      </c>
      <c r="MZN220" s="2" t="s">
        <v>22</v>
      </c>
      <c r="MZO220" s="53" t="s">
        <v>334</v>
      </c>
      <c r="MZP220" s="2" t="s">
        <v>513</v>
      </c>
      <c r="MZQ220" s="2" t="s">
        <v>25</v>
      </c>
      <c r="MZR220" s="2" t="s">
        <v>393</v>
      </c>
      <c r="MZS220" s="7">
        <v>-74.044305502618698</v>
      </c>
      <c r="MZT220" s="7">
        <v>4.6804459478222702</v>
      </c>
      <c r="MZU220" s="2" t="s">
        <v>357</v>
      </c>
      <c r="MZV220" s="2" t="s">
        <v>63</v>
      </c>
      <c r="MZW220" s="2" t="s">
        <v>83</v>
      </c>
      <c r="MZX220" s="2" t="s">
        <v>63</v>
      </c>
      <c r="MZY220" s="24">
        <v>434</v>
      </c>
      <c r="MZZ220" s="5">
        <v>46174</v>
      </c>
      <c r="NAA220" s="5">
        <v>46174</v>
      </c>
      <c r="NAB220" s="30">
        <f t="shared" ref="NAB220" si="619">NAA220-MZZ220</f>
        <v>0</v>
      </c>
      <c r="NAC220" s="5" t="s">
        <v>317</v>
      </c>
      <c r="NAD220" s="2" t="s">
        <v>22</v>
      </c>
      <c r="NAE220" s="53" t="s">
        <v>334</v>
      </c>
      <c r="NAF220" s="2" t="s">
        <v>513</v>
      </c>
      <c r="NAG220" s="2" t="s">
        <v>25</v>
      </c>
      <c r="NAH220" s="2" t="s">
        <v>393</v>
      </c>
      <c r="NAI220" s="7">
        <v>-74.044305502618698</v>
      </c>
      <c r="NAJ220" s="7">
        <v>4.6804459478222702</v>
      </c>
      <c r="NAK220" s="2" t="s">
        <v>357</v>
      </c>
      <c r="NAL220" s="2" t="s">
        <v>63</v>
      </c>
      <c r="NAM220" s="2" t="s">
        <v>83</v>
      </c>
      <c r="NAN220" s="2" t="s">
        <v>63</v>
      </c>
      <c r="NAO220" s="24">
        <v>434</v>
      </c>
      <c r="NAP220" s="5">
        <v>46174</v>
      </c>
      <c r="NAQ220" s="5">
        <v>46174</v>
      </c>
      <c r="NAR220" s="30">
        <f t="shared" ref="NAR220" si="620">NAQ220-NAP220</f>
        <v>0</v>
      </c>
      <c r="NAS220" s="5" t="s">
        <v>317</v>
      </c>
      <c r="NAT220" s="2" t="s">
        <v>22</v>
      </c>
      <c r="NAU220" s="53" t="s">
        <v>334</v>
      </c>
      <c r="NAV220" s="2" t="s">
        <v>513</v>
      </c>
      <c r="NAW220" s="2" t="s">
        <v>25</v>
      </c>
      <c r="NAX220" s="2" t="s">
        <v>393</v>
      </c>
      <c r="NAY220" s="7">
        <v>-74.044305502618698</v>
      </c>
      <c r="NAZ220" s="7">
        <v>4.6804459478222702</v>
      </c>
      <c r="NBA220" s="2" t="s">
        <v>357</v>
      </c>
      <c r="NBB220" s="2" t="s">
        <v>63</v>
      </c>
      <c r="NBC220" s="2" t="s">
        <v>83</v>
      </c>
      <c r="NBD220" s="2" t="s">
        <v>63</v>
      </c>
      <c r="NBE220" s="24">
        <v>434</v>
      </c>
      <c r="NBF220" s="5">
        <v>46174</v>
      </c>
      <c r="NBG220" s="5">
        <v>46174</v>
      </c>
      <c r="NBH220" s="30">
        <f t="shared" ref="NBH220" si="621">NBG220-NBF220</f>
        <v>0</v>
      </c>
      <c r="NBI220" s="5" t="s">
        <v>317</v>
      </c>
      <c r="NBJ220" s="2" t="s">
        <v>22</v>
      </c>
      <c r="NBK220" s="53" t="s">
        <v>334</v>
      </c>
      <c r="NBL220" s="2" t="s">
        <v>513</v>
      </c>
      <c r="NBM220" s="2" t="s">
        <v>25</v>
      </c>
      <c r="NBN220" s="2" t="s">
        <v>393</v>
      </c>
      <c r="NBO220" s="7">
        <v>-74.044305502618698</v>
      </c>
      <c r="NBP220" s="7">
        <v>4.6804459478222702</v>
      </c>
      <c r="NBQ220" s="2" t="s">
        <v>357</v>
      </c>
      <c r="NBR220" s="2" t="s">
        <v>63</v>
      </c>
      <c r="NBS220" s="2" t="s">
        <v>83</v>
      </c>
      <c r="NBT220" s="2" t="s">
        <v>63</v>
      </c>
      <c r="NBU220" s="24">
        <v>434</v>
      </c>
      <c r="NBV220" s="5">
        <v>46174</v>
      </c>
      <c r="NBW220" s="5">
        <v>46174</v>
      </c>
      <c r="NBX220" s="30">
        <f t="shared" ref="NBX220" si="622">NBW220-NBV220</f>
        <v>0</v>
      </c>
      <c r="NBY220" s="5" t="s">
        <v>317</v>
      </c>
      <c r="NBZ220" s="2" t="s">
        <v>22</v>
      </c>
      <c r="NCA220" s="53" t="s">
        <v>334</v>
      </c>
      <c r="NCB220" s="2" t="s">
        <v>513</v>
      </c>
      <c r="NCC220" s="2" t="s">
        <v>25</v>
      </c>
      <c r="NCD220" s="2" t="s">
        <v>393</v>
      </c>
      <c r="NCE220" s="7">
        <v>-74.044305502618698</v>
      </c>
      <c r="NCF220" s="7">
        <v>4.6804459478222702</v>
      </c>
      <c r="NCG220" s="2" t="s">
        <v>357</v>
      </c>
      <c r="NCH220" s="2" t="s">
        <v>63</v>
      </c>
      <c r="NCI220" s="2" t="s">
        <v>83</v>
      </c>
      <c r="NCJ220" s="2" t="s">
        <v>63</v>
      </c>
      <c r="NCK220" s="24">
        <v>434</v>
      </c>
      <c r="NCL220" s="5">
        <v>46174</v>
      </c>
      <c r="NCM220" s="5">
        <v>46174</v>
      </c>
      <c r="NCN220" s="30">
        <f t="shared" ref="NCN220" si="623">NCM220-NCL220</f>
        <v>0</v>
      </c>
      <c r="NCO220" s="5" t="s">
        <v>317</v>
      </c>
      <c r="NCP220" s="2" t="s">
        <v>22</v>
      </c>
      <c r="NCQ220" s="53" t="s">
        <v>334</v>
      </c>
      <c r="NCR220" s="2" t="s">
        <v>513</v>
      </c>
      <c r="NCS220" s="2" t="s">
        <v>25</v>
      </c>
      <c r="NCT220" s="2" t="s">
        <v>393</v>
      </c>
      <c r="NCU220" s="7">
        <v>-74.044305502618698</v>
      </c>
      <c r="NCV220" s="7">
        <v>4.6804459478222702</v>
      </c>
      <c r="NCW220" s="2" t="s">
        <v>357</v>
      </c>
      <c r="NCX220" s="2" t="s">
        <v>63</v>
      </c>
      <c r="NCY220" s="2" t="s">
        <v>83</v>
      </c>
      <c r="NCZ220" s="2" t="s">
        <v>63</v>
      </c>
      <c r="NDA220" s="24">
        <v>434</v>
      </c>
      <c r="NDB220" s="5">
        <v>46174</v>
      </c>
      <c r="NDC220" s="5">
        <v>46174</v>
      </c>
      <c r="NDD220" s="30">
        <f t="shared" ref="NDD220" si="624">NDC220-NDB220</f>
        <v>0</v>
      </c>
      <c r="NDE220" s="5" t="s">
        <v>317</v>
      </c>
      <c r="NDF220" s="2" t="s">
        <v>22</v>
      </c>
      <c r="NDG220" s="53" t="s">
        <v>334</v>
      </c>
      <c r="NDH220" s="2" t="s">
        <v>513</v>
      </c>
      <c r="NDI220" s="2" t="s">
        <v>25</v>
      </c>
      <c r="NDJ220" s="2" t="s">
        <v>393</v>
      </c>
      <c r="NDK220" s="7">
        <v>-74.044305502618698</v>
      </c>
      <c r="NDL220" s="7">
        <v>4.6804459478222702</v>
      </c>
      <c r="NDM220" s="2" t="s">
        <v>357</v>
      </c>
      <c r="NDN220" s="2" t="s">
        <v>63</v>
      </c>
      <c r="NDO220" s="2" t="s">
        <v>83</v>
      </c>
      <c r="NDP220" s="2" t="s">
        <v>63</v>
      </c>
      <c r="NDQ220" s="24">
        <v>434</v>
      </c>
      <c r="NDR220" s="5">
        <v>46174</v>
      </c>
      <c r="NDS220" s="5">
        <v>46174</v>
      </c>
      <c r="NDT220" s="30">
        <f t="shared" ref="NDT220" si="625">NDS220-NDR220</f>
        <v>0</v>
      </c>
      <c r="NDU220" s="5" t="s">
        <v>317</v>
      </c>
      <c r="NDV220" s="2" t="s">
        <v>22</v>
      </c>
      <c r="NDW220" s="53" t="s">
        <v>334</v>
      </c>
      <c r="NDX220" s="2" t="s">
        <v>513</v>
      </c>
      <c r="NDY220" s="2" t="s">
        <v>25</v>
      </c>
      <c r="NDZ220" s="2" t="s">
        <v>393</v>
      </c>
      <c r="NEA220" s="7">
        <v>-74.044305502618698</v>
      </c>
      <c r="NEB220" s="7">
        <v>4.6804459478222702</v>
      </c>
      <c r="NEC220" s="2" t="s">
        <v>357</v>
      </c>
      <c r="NED220" s="2" t="s">
        <v>63</v>
      </c>
      <c r="NEE220" s="2" t="s">
        <v>83</v>
      </c>
      <c r="NEF220" s="2" t="s">
        <v>63</v>
      </c>
      <c r="NEG220" s="24">
        <v>434</v>
      </c>
      <c r="NEH220" s="5">
        <v>46174</v>
      </c>
      <c r="NEI220" s="5">
        <v>46174</v>
      </c>
      <c r="NEJ220" s="30">
        <f t="shared" ref="NEJ220" si="626">NEI220-NEH220</f>
        <v>0</v>
      </c>
      <c r="NEK220" s="5" t="s">
        <v>317</v>
      </c>
      <c r="NEL220" s="2" t="s">
        <v>22</v>
      </c>
      <c r="NEM220" s="53" t="s">
        <v>334</v>
      </c>
      <c r="NEN220" s="2" t="s">
        <v>513</v>
      </c>
      <c r="NEO220" s="2" t="s">
        <v>25</v>
      </c>
      <c r="NEP220" s="2" t="s">
        <v>393</v>
      </c>
      <c r="NEQ220" s="7">
        <v>-74.044305502618698</v>
      </c>
      <c r="NER220" s="7">
        <v>4.6804459478222702</v>
      </c>
      <c r="NES220" s="2" t="s">
        <v>357</v>
      </c>
      <c r="NET220" s="2" t="s">
        <v>63</v>
      </c>
      <c r="NEU220" s="2" t="s">
        <v>83</v>
      </c>
      <c r="NEV220" s="2" t="s">
        <v>63</v>
      </c>
      <c r="NEW220" s="24">
        <v>434</v>
      </c>
      <c r="NEX220" s="5">
        <v>46174</v>
      </c>
      <c r="NEY220" s="5">
        <v>46174</v>
      </c>
      <c r="NEZ220" s="30">
        <f t="shared" ref="NEZ220" si="627">NEY220-NEX220</f>
        <v>0</v>
      </c>
      <c r="NFA220" s="5" t="s">
        <v>317</v>
      </c>
      <c r="NFB220" s="2" t="s">
        <v>22</v>
      </c>
      <c r="NFC220" s="53" t="s">
        <v>334</v>
      </c>
      <c r="NFD220" s="2" t="s">
        <v>513</v>
      </c>
      <c r="NFE220" s="2" t="s">
        <v>25</v>
      </c>
      <c r="NFF220" s="2" t="s">
        <v>393</v>
      </c>
      <c r="NFG220" s="7">
        <v>-74.044305502618698</v>
      </c>
      <c r="NFH220" s="7">
        <v>4.6804459478222702</v>
      </c>
      <c r="NFI220" s="2" t="s">
        <v>357</v>
      </c>
      <c r="NFJ220" s="2" t="s">
        <v>63</v>
      </c>
      <c r="NFK220" s="2" t="s">
        <v>83</v>
      </c>
      <c r="NFL220" s="2" t="s">
        <v>63</v>
      </c>
      <c r="NFM220" s="24">
        <v>434</v>
      </c>
      <c r="NFN220" s="5">
        <v>46174</v>
      </c>
      <c r="NFO220" s="5">
        <v>46174</v>
      </c>
      <c r="NFP220" s="30">
        <f t="shared" ref="NFP220" si="628">NFO220-NFN220</f>
        <v>0</v>
      </c>
      <c r="NFQ220" s="5" t="s">
        <v>317</v>
      </c>
      <c r="NFR220" s="2" t="s">
        <v>22</v>
      </c>
      <c r="NFS220" s="53" t="s">
        <v>334</v>
      </c>
      <c r="NFT220" s="2" t="s">
        <v>513</v>
      </c>
      <c r="NFU220" s="2" t="s">
        <v>25</v>
      </c>
      <c r="NFV220" s="2" t="s">
        <v>393</v>
      </c>
      <c r="NFW220" s="7">
        <v>-74.044305502618698</v>
      </c>
      <c r="NFX220" s="7">
        <v>4.6804459478222702</v>
      </c>
      <c r="NFY220" s="2" t="s">
        <v>357</v>
      </c>
      <c r="NFZ220" s="2" t="s">
        <v>63</v>
      </c>
      <c r="NGA220" s="2" t="s">
        <v>83</v>
      </c>
      <c r="NGB220" s="2" t="s">
        <v>63</v>
      </c>
      <c r="NGC220" s="24">
        <v>434</v>
      </c>
      <c r="NGD220" s="5">
        <v>46174</v>
      </c>
      <c r="NGE220" s="5">
        <v>46174</v>
      </c>
      <c r="NGF220" s="30">
        <f t="shared" ref="NGF220" si="629">NGE220-NGD220</f>
        <v>0</v>
      </c>
      <c r="NGG220" s="5" t="s">
        <v>317</v>
      </c>
      <c r="NGH220" s="2" t="s">
        <v>22</v>
      </c>
      <c r="NGI220" s="53" t="s">
        <v>334</v>
      </c>
      <c r="NGJ220" s="2" t="s">
        <v>513</v>
      </c>
      <c r="NGK220" s="2" t="s">
        <v>25</v>
      </c>
      <c r="NGL220" s="2" t="s">
        <v>393</v>
      </c>
      <c r="NGM220" s="7">
        <v>-74.044305502618698</v>
      </c>
      <c r="NGN220" s="7">
        <v>4.6804459478222702</v>
      </c>
      <c r="NGO220" s="2" t="s">
        <v>357</v>
      </c>
      <c r="NGP220" s="2" t="s">
        <v>63</v>
      </c>
      <c r="NGQ220" s="2" t="s">
        <v>83</v>
      </c>
      <c r="NGR220" s="2" t="s">
        <v>63</v>
      </c>
      <c r="NGS220" s="24">
        <v>434</v>
      </c>
      <c r="NGT220" s="5">
        <v>46174</v>
      </c>
      <c r="NGU220" s="5">
        <v>46174</v>
      </c>
      <c r="NGV220" s="30">
        <f t="shared" ref="NGV220" si="630">NGU220-NGT220</f>
        <v>0</v>
      </c>
      <c r="NGW220" s="5" t="s">
        <v>317</v>
      </c>
      <c r="NGX220" s="2" t="s">
        <v>22</v>
      </c>
      <c r="NGY220" s="53" t="s">
        <v>334</v>
      </c>
      <c r="NGZ220" s="2" t="s">
        <v>513</v>
      </c>
      <c r="NHA220" s="2" t="s">
        <v>25</v>
      </c>
      <c r="NHB220" s="2" t="s">
        <v>393</v>
      </c>
      <c r="NHC220" s="7">
        <v>-74.044305502618698</v>
      </c>
      <c r="NHD220" s="7">
        <v>4.6804459478222702</v>
      </c>
      <c r="NHE220" s="2" t="s">
        <v>357</v>
      </c>
      <c r="NHF220" s="2" t="s">
        <v>63</v>
      </c>
      <c r="NHG220" s="2" t="s">
        <v>83</v>
      </c>
      <c r="NHH220" s="2" t="s">
        <v>63</v>
      </c>
      <c r="NHI220" s="24">
        <v>434</v>
      </c>
      <c r="NHJ220" s="5">
        <v>46174</v>
      </c>
      <c r="NHK220" s="5">
        <v>46174</v>
      </c>
      <c r="NHL220" s="30">
        <f t="shared" ref="NHL220" si="631">NHK220-NHJ220</f>
        <v>0</v>
      </c>
      <c r="NHM220" s="5" t="s">
        <v>317</v>
      </c>
      <c r="NHN220" s="2" t="s">
        <v>22</v>
      </c>
      <c r="NHO220" s="53" t="s">
        <v>334</v>
      </c>
      <c r="NHP220" s="2" t="s">
        <v>513</v>
      </c>
      <c r="NHQ220" s="2" t="s">
        <v>25</v>
      </c>
      <c r="NHR220" s="2" t="s">
        <v>393</v>
      </c>
      <c r="NHS220" s="7">
        <v>-74.044305502618698</v>
      </c>
      <c r="NHT220" s="7">
        <v>4.6804459478222702</v>
      </c>
      <c r="NHU220" s="2" t="s">
        <v>357</v>
      </c>
      <c r="NHV220" s="2" t="s">
        <v>63</v>
      </c>
      <c r="NHW220" s="2" t="s">
        <v>83</v>
      </c>
      <c r="NHX220" s="2" t="s">
        <v>63</v>
      </c>
      <c r="NHY220" s="24">
        <v>434</v>
      </c>
      <c r="NHZ220" s="5">
        <v>46174</v>
      </c>
      <c r="NIA220" s="5">
        <v>46174</v>
      </c>
      <c r="NIB220" s="30">
        <f t="shared" ref="NIB220" si="632">NIA220-NHZ220</f>
        <v>0</v>
      </c>
      <c r="NIC220" s="5" t="s">
        <v>317</v>
      </c>
      <c r="NID220" s="2" t="s">
        <v>22</v>
      </c>
      <c r="NIE220" s="53" t="s">
        <v>334</v>
      </c>
      <c r="NIF220" s="2" t="s">
        <v>513</v>
      </c>
      <c r="NIG220" s="2" t="s">
        <v>25</v>
      </c>
      <c r="NIH220" s="2" t="s">
        <v>393</v>
      </c>
      <c r="NII220" s="7">
        <v>-74.044305502618698</v>
      </c>
      <c r="NIJ220" s="7">
        <v>4.6804459478222702</v>
      </c>
      <c r="NIK220" s="2" t="s">
        <v>357</v>
      </c>
      <c r="NIL220" s="2" t="s">
        <v>63</v>
      </c>
      <c r="NIM220" s="2" t="s">
        <v>83</v>
      </c>
      <c r="NIN220" s="2" t="s">
        <v>63</v>
      </c>
      <c r="NIO220" s="24">
        <v>434</v>
      </c>
      <c r="NIP220" s="5">
        <v>46174</v>
      </c>
      <c r="NIQ220" s="5">
        <v>46174</v>
      </c>
      <c r="NIR220" s="30">
        <f t="shared" ref="NIR220" si="633">NIQ220-NIP220</f>
        <v>0</v>
      </c>
      <c r="NIS220" s="5" t="s">
        <v>317</v>
      </c>
      <c r="NIT220" s="2" t="s">
        <v>22</v>
      </c>
      <c r="NIU220" s="53" t="s">
        <v>334</v>
      </c>
      <c r="NIV220" s="2" t="s">
        <v>513</v>
      </c>
      <c r="NIW220" s="2" t="s">
        <v>25</v>
      </c>
      <c r="NIX220" s="2" t="s">
        <v>393</v>
      </c>
      <c r="NIY220" s="7">
        <v>-74.044305502618698</v>
      </c>
      <c r="NIZ220" s="7">
        <v>4.6804459478222702</v>
      </c>
      <c r="NJA220" s="2" t="s">
        <v>357</v>
      </c>
      <c r="NJB220" s="2" t="s">
        <v>63</v>
      </c>
      <c r="NJC220" s="2" t="s">
        <v>83</v>
      </c>
      <c r="NJD220" s="2" t="s">
        <v>63</v>
      </c>
      <c r="NJE220" s="24">
        <v>434</v>
      </c>
      <c r="NJF220" s="5">
        <v>46174</v>
      </c>
      <c r="NJG220" s="5">
        <v>46174</v>
      </c>
      <c r="NJH220" s="30">
        <f t="shared" ref="NJH220" si="634">NJG220-NJF220</f>
        <v>0</v>
      </c>
      <c r="NJI220" s="5" t="s">
        <v>317</v>
      </c>
      <c r="NJJ220" s="2" t="s">
        <v>22</v>
      </c>
      <c r="NJK220" s="53" t="s">
        <v>334</v>
      </c>
      <c r="NJL220" s="2" t="s">
        <v>513</v>
      </c>
      <c r="NJM220" s="2" t="s">
        <v>25</v>
      </c>
      <c r="NJN220" s="2" t="s">
        <v>393</v>
      </c>
      <c r="NJO220" s="7">
        <v>-74.044305502618698</v>
      </c>
      <c r="NJP220" s="7">
        <v>4.6804459478222702</v>
      </c>
      <c r="NJQ220" s="2" t="s">
        <v>357</v>
      </c>
      <c r="NJR220" s="2" t="s">
        <v>63</v>
      </c>
      <c r="NJS220" s="2" t="s">
        <v>83</v>
      </c>
      <c r="NJT220" s="2" t="s">
        <v>63</v>
      </c>
      <c r="NJU220" s="24">
        <v>434</v>
      </c>
      <c r="NJV220" s="5">
        <v>46174</v>
      </c>
      <c r="NJW220" s="5">
        <v>46174</v>
      </c>
      <c r="NJX220" s="30">
        <f t="shared" ref="NJX220" si="635">NJW220-NJV220</f>
        <v>0</v>
      </c>
      <c r="NJY220" s="5" t="s">
        <v>317</v>
      </c>
      <c r="NJZ220" s="2" t="s">
        <v>22</v>
      </c>
      <c r="NKA220" s="53" t="s">
        <v>334</v>
      </c>
      <c r="NKB220" s="2" t="s">
        <v>513</v>
      </c>
      <c r="NKC220" s="2" t="s">
        <v>25</v>
      </c>
      <c r="NKD220" s="2" t="s">
        <v>393</v>
      </c>
      <c r="NKE220" s="7">
        <v>-74.044305502618698</v>
      </c>
      <c r="NKF220" s="7">
        <v>4.6804459478222702</v>
      </c>
      <c r="NKG220" s="2" t="s">
        <v>357</v>
      </c>
      <c r="NKH220" s="2" t="s">
        <v>63</v>
      </c>
      <c r="NKI220" s="2" t="s">
        <v>83</v>
      </c>
      <c r="NKJ220" s="2" t="s">
        <v>63</v>
      </c>
      <c r="NKK220" s="24">
        <v>434</v>
      </c>
      <c r="NKL220" s="5">
        <v>46174</v>
      </c>
      <c r="NKM220" s="5">
        <v>46174</v>
      </c>
      <c r="NKN220" s="30">
        <f t="shared" ref="NKN220" si="636">NKM220-NKL220</f>
        <v>0</v>
      </c>
      <c r="NKO220" s="5" t="s">
        <v>317</v>
      </c>
      <c r="NKP220" s="2" t="s">
        <v>22</v>
      </c>
      <c r="NKQ220" s="53" t="s">
        <v>334</v>
      </c>
      <c r="NKR220" s="2" t="s">
        <v>513</v>
      </c>
      <c r="NKS220" s="2" t="s">
        <v>25</v>
      </c>
      <c r="NKT220" s="2" t="s">
        <v>393</v>
      </c>
      <c r="NKU220" s="7">
        <v>-74.044305502618698</v>
      </c>
      <c r="NKV220" s="7">
        <v>4.6804459478222702</v>
      </c>
      <c r="NKW220" s="2" t="s">
        <v>357</v>
      </c>
      <c r="NKX220" s="2" t="s">
        <v>63</v>
      </c>
      <c r="NKY220" s="2" t="s">
        <v>83</v>
      </c>
      <c r="NKZ220" s="2" t="s">
        <v>63</v>
      </c>
      <c r="NLA220" s="24">
        <v>434</v>
      </c>
      <c r="NLB220" s="5">
        <v>46174</v>
      </c>
      <c r="NLC220" s="5">
        <v>46174</v>
      </c>
      <c r="NLD220" s="30">
        <f t="shared" ref="NLD220" si="637">NLC220-NLB220</f>
        <v>0</v>
      </c>
      <c r="NLE220" s="5" t="s">
        <v>317</v>
      </c>
      <c r="NLF220" s="2" t="s">
        <v>22</v>
      </c>
      <c r="NLG220" s="53" t="s">
        <v>334</v>
      </c>
      <c r="NLH220" s="2" t="s">
        <v>513</v>
      </c>
      <c r="NLI220" s="2" t="s">
        <v>25</v>
      </c>
      <c r="NLJ220" s="2" t="s">
        <v>393</v>
      </c>
      <c r="NLK220" s="7">
        <v>-74.044305502618698</v>
      </c>
      <c r="NLL220" s="7">
        <v>4.6804459478222702</v>
      </c>
      <c r="NLM220" s="2" t="s">
        <v>357</v>
      </c>
      <c r="NLN220" s="2" t="s">
        <v>63</v>
      </c>
      <c r="NLO220" s="2" t="s">
        <v>83</v>
      </c>
      <c r="NLP220" s="2" t="s">
        <v>63</v>
      </c>
      <c r="NLQ220" s="24">
        <v>434</v>
      </c>
      <c r="NLR220" s="5">
        <v>46174</v>
      </c>
      <c r="NLS220" s="5">
        <v>46174</v>
      </c>
      <c r="NLT220" s="30">
        <f t="shared" ref="NLT220" si="638">NLS220-NLR220</f>
        <v>0</v>
      </c>
      <c r="NLU220" s="5" t="s">
        <v>317</v>
      </c>
      <c r="NLV220" s="2" t="s">
        <v>22</v>
      </c>
      <c r="NLW220" s="53" t="s">
        <v>334</v>
      </c>
      <c r="NLX220" s="2" t="s">
        <v>513</v>
      </c>
      <c r="NLY220" s="2" t="s">
        <v>25</v>
      </c>
      <c r="NLZ220" s="2" t="s">
        <v>393</v>
      </c>
      <c r="NMA220" s="7">
        <v>-74.044305502618698</v>
      </c>
      <c r="NMB220" s="7">
        <v>4.6804459478222702</v>
      </c>
      <c r="NMC220" s="2" t="s">
        <v>357</v>
      </c>
      <c r="NMD220" s="2" t="s">
        <v>63</v>
      </c>
      <c r="NME220" s="2" t="s">
        <v>83</v>
      </c>
      <c r="NMF220" s="2" t="s">
        <v>63</v>
      </c>
      <c r="NMG220" s="24">
        <v>434</v>
      </c>
      <c r="NMH220" s="5">
        <v>46174</v>
      </c>
      <c r="NMI220" s="5">
        <v>46174</v>
      </c>
      <c r="NMJ220" s="30">
        <f t="shared" ref="NMJ220" si="639">NMI220-NMH220</f>
        <v>0</v>
      </c>
      <c r="NMK220" s="5" t="s">
        <v>317</v>
      </c>
      <c r="NML220" s="2" t="s">
        <v>22</v>
      </c>
      <c r="NMM220" s="53" t="s">
        <v>334</v>
      </c>
      <c r="NMN220" s="2" t="s">
        <v>513</v>
      </c>
      <c r="NMO220" s="2" t="s">
        <v>25</v>
      </c>
      <c r="NMP220" s="2" t="s">
        <v>393</v>
      </c>
      <c r="NMQ220" s="7">
        <v>-74.044305502618698</v>
      </c>
      <c r="NMR220" s="7">
        <v>4.6804459478222702</v>
      </c>
      <c r="NMS220" s="2" t="s">
        <v>357</v>
      </c>
      <c r="NMT220" s="2" t="s">
        <v>63</v>
      </c>
      <c r="NMU220" s="2" t="s">
        <v>83</v>
      </c>
      <c r="NMV220" s="2" t="s">
        <v>63</v>
      </c>
      <c r="NMW220" s="24">
        <v>434</v>
      </c>
      <c r="NMX220" s="5">
        <v>46174</v>
      </c>
      <c r="NMY220" s="5">
        <v>46174</v>
      </c>
      <c r="NMZ220" s="30">
        <f t="shared" ref="NMZ220" si="640">NMY220-NMX220</f>
        <v>0</v>
      </c>
      <c r="NNA220" s="5" t="s">
        <v>317</v>
      </c>
      <c r="NNB220" s="2" t="s">
        <v>22</v>
      </c>
      <c r="NNC220" s="53" t="s">
        <v>334</v>
      </c>
      <c r="NND220" s="2" t="s">
        <v>513</v>
      </c>
      <c r="NNE220" s="2" t="s">
        <v>25</v>
      </c>
      <c r="NNF220" s="2" t="s">
        <v>393</v>
      </c>
      <c r="NNG220" s="7">
        <v>-74.044305502618698</v>
      </c>
      <c r="NNH220" s="7">
        <v>4.6804459478222702</v>
      </c>
      <c r="NNI220" s="2" t="s">
        <v>357</v>
      </c>
      <c r="NNJ220" s="2" t="s">
        <v>63</v>
      </c>
      <c r="NNK220" s="2" t="s">
        <v>83</v>
      </c>
      <c r="NNL220" s="2" t="s">
        <v>63</v>
      </c>
      <c r="NNM220" s="24">
        <v>434</v>
      </c>
      <c r="NNN220" s="5">
        <v>46174</v>
      </c>
      <c r="NNO220" s="5">
        <v>46174</v>
      </c>
      <c r="NNP220" s="30">
        <f t="shared" ref="NNP220" si="641">NNO220-NNN220</f>
        <v>0</v>
      </c>
      <c r="NNQ220" s="5" t="s">
        <v>317</v>
      </c>
      <c r="NNR220" s="2" t="s">
        <v>22</v>
      </c>
      <c r="NNS220" s="53" t="s">
        <v>334</v>
      </c>
      <c r="NNT220" s="2" t="s">
        <v>513</v>
      </c>
      <c r="NNU220" s="2" t="s">
        <v>25</v>
      </c>
      <c r="NNV220" s="2" t="s">
        <v>393</v>
      </c>
      <c r="NNW220" s="7">
        <v>-74.044305502618698</v>
      </c>
      <c r="NNX220" s="7">
        <v>4.6804459478222702</v>
      </c>
      <c r="NNY220" s="2" t="s">
        <v>357</v>
      </c>
      <c r="NNZ220" s="2" t="s">
        <v>63</v>
      </c>
      <c r="NOA220" s="2" t="s">
        <v>83</v>
      </c>
      <c r="NOB220" s="2" t="s">
        <v>63</v>
      </c>
      <c r="NOC220" s="24">
        <v>434</v>
      </c>
      <c r="NOD220" s="5">
        <v>46174</v>
      </c>
      <c r="NOE220" s="5">
        <v>46174</v>
      </c>
      <c r="NOF220" s="30">
        <f t="shared" ref="NOF220" si="642">NOE220-NOD220</f>
        <v>0</v>
      </c>
      <c r="NOG220" s="5" t="s">
        <v>317</v>
      </c>
      <c r="NOH220" s="2" t="s">
        <v>22</v>
      </c>
      <c r="NOI220" s="53" t="s">
        <v>334</v>
      </c>
      <c r="NOJ220" s="2" t="s">
        <v>513</v>
      </c>
      <c r="NOK220" s="2" t="s">
        <v>25</v>
      </c>
      <c r="NOL220" s="2" t="s">
        <v>393</v>
      </c>
      <c r="NOM220" s="7">
        <v>-74.044305502618698</v>
      </c>
      <c r="NON220" s="7">
        <v>4.6804459478222702</v>
      </c>
      <c r="NOO220" s="2" t="s">
        <v>357</v>
      </c>
      <c r="NOP220" s="2" t="s">
        <v>63</v>
      </c>
      <c r="NOQ220" s="2" t="s">
        <v>83</v>
      </c>
      <c r="NOR220" s="2" t="s">
        <v>63</v>
      </c>
      <c r="NOS220" s="24">
        <v>434</v>
      </c>
      <c r="NOT220" s="5">
        <v>46174</v>
      </c>
      <c r="NOU220" s="5">
        <v>46174</v>
      </c>
      <c r="NOV220" s="30">
        <f t="shared" ref="NOV220" si="643">NOU220-NOT220</f>
        <v>0</v>
      </c>
      <c r="NOW220" s="5" t="s">
        <v>317</v>
      </c>
      <c r="NOX220" s="2" t="s">
        <v>22</v>
      </c>
      <c r="NOY220" s="53" t="s">
        <v>334</v>
      </c>
      <c r="NOZ220" s="2" t="s">
        <v>513</v>
      </c>
      <c r="NPA220" s="2" t="s">
        <v>25</v>
      </c>
      <c r="NPB220" s="2" t="s">
        <v>393</v>
      </c>
      <c r="NPC220" s="7">
        <v>-74.044305502618698</v>
      </c>
      <c r="NPD220" s="7">
        <v>4.6804459478222702</v>
      </c>
      <c r="NPE220" s="2" t="s">
        <v>357</v>
      </c>
      <c r="NPF220" s="2" t="s">
        <v>63</v>
      </c>
      <c r="NPG220" s="2" t="s">
        <v>83</v>
      </c>
      <c r="NPH220" s="2" t="s">
        <v>63</v>
      </c>
      <c r="NPI220" s="24">
        <v>434</v>
      </c>
      <c r="NPJ220" s="5">
        <v>46174</v>
      </c>
      <c r="NPK220" s="5">
        <v>46174</v>
      </c>
      <c r="NPL220" s="30">
        <f t="shared" ref="NPL220" si="644">NPK220-NPJ220</f>
        <v>0</v>
      </c>
      <c r="NPM220" s="5" t="s">
        <v>317</v>
      </c>
      <c r="NPN220" s="2" t="s">
        <v>22</v>
      </c>
      <c r="NPO220" s="53" t="s">
        <v>334</v>
      </c>
      <c r="NPP220" s="2" t="s">
        <v>513</v>
      </c>
      <c r="NPQ220" s="2" t="s">
        <v>25</v>
      </c>
      <c r="NPR220" s="2" t="s">
        <v>393</v>
      </c>
      <c r="NPS220" s="7">
        <v>-74.044305502618698</v>
      </c>
      <c r="NPT220" s="7">
        <v>4.6804459478222702</v>
      </c>
      <c r="NPU220" s="2" t="s">
        <v>357</v>
      </c>
      <c r="NPV220" s="2" t="s">
        <v>63</v>
      </c>
      <c r="NPW220" s="2" t="s">
        <v>83</v>
      </c>
      <c r="NPX220" s="2" t="s">
        <v>63</v>
      </c>
      <c r="NPY220" s="24">
        <v>434</v>
      </c>
      <c r="NPZ220" s="5">
        <v>46174</v>
      </c>
      <c r="NQA220" s="5">
        <v>46174</v>
      </c>
      <c r="NQB220" s="30">
        <f t="shared" ref="NQB220" si="645">NQA220-NPZ220</f>
        <v>0</v>
      </c>
      <c r="NQC220" s="5" t="s">
        <v>317</v>
      </c>
      <c r="NQD220" s="2" t="s">
        <v>22</v>
      </c>
      <c r="NQE220" s="53" t="s">
        <v>334</v>
      </c>
      <c r="NQF220" s="2" t="s">
        <v>513</v>
      </c>
      <c r="NQG220" s="2" t="s">
        <v>25</v>
      </c>
      <c r="NQH220" s="2" t="s">
        <v>393</v>
      </c>
      <c r="NQI220" s="7">
        <v>-74.044305502618698</v>
      </c>
      <c r="NQJ220" s="7">
        <v>4.6804459478222702</v>
      </c>
      <c r="NQK220" s="2" t="s">
        <v>357</v>
      </c>
      <c r="NQL220" s="2" t="s">
        <v>63</v>
      </c>
      <c r="NQM220" s="2" t="s">
        <v>83</v>
      </c>
      <c r="NQN220" s="2" t="s">
        <v>63</v>
      </c>
      <c r="NQO220" s="24">
        <v>434</v>
      </c>
      <c r="NQP220" s="5">
        <v>46174</v>
      </c>
      <c r="NQQ220" s="5">
        <v>46174</v>
      </c>
      <c r="NQR220" s="30">
        <f t="shared" ref="NQR220" si="646">NQQ220-NQP220</f>
        <v>0</v>
      </c>
      <c r="NQS220" s="5" t="s">
        <v>317</v>
      </c>
      <c r="NQT220" s="2" t="s">
        <v>22</v>
      </c>
      <c r="NQU220" s="53" t="s">
        <v>334</v>
      </c>
      <c r="NQV220" s="2" t="s">
        <v>513</v>
      </c>
      <c r="NQW220" s="2" t="s">
        <v>25</v>
      </c>
      <c r="NQX220" s="2" t="s">
        <v>393</v>
      </c>
      <c r="NQY220" s="7">
        <v>-74.044305502618698</v>
      </c>
      <c r="NQZ220" s="7">
        <v>4.6804459478222702</v>
      </c>
      <c r="NRA220" s="2" t="s">
        <v>357</v>
      </c>
      <c r="NRB220" s="2" t="s">
        <v>63</v>
      </c>
      <c r="NRC220" s="2" t="s">
        <v>83</v>
      </c>
      <c r="NRD220" s="2" t="s">
        <v>63</v>
      </c>
      <c r="NRE220" s="24">
        <v>434</v>
      </c>
      <c r="NRF220" s="5">
        <v>46174</v>
      </c>
      <c r="NRG220" s="5">
        <v>46174</v>
      </c>
      <c r="NRH220" s="30">
        <f t="shared" ref="NRH220" si="647">NRG220-NRF220</f>
        <v>0</v>
      </c>
      <c r="NRI220" s="5" t="s">
        <v>317</v>
      </c>
      <c r="NRJ220" s="2" t="s">
        <v>22</v>
      </c>
      <c r="NRK220" s="53" t="s">
        <v>334</v>
      </c>
      <c r="NRL220" s="2" t="s">
        <v>513</v>
      </c>
      <c r="NRM220" s="2" t="s">
        <v>25</v>
      </c>
      <c r="NRN220" s="2" t="s">
        <v>393</v>
      </c>
      <c r="NRO220" s="7">
        <v>-74.044305502618698</v>
      </c>
      <c r="NRP220" s="7">
        <v>4.6804459478222702</v>
      </c>
      <c r="NRQ220" s="2" t="s">
        <v>357</v>
      </c>
      <c r="NRR220" s="2" t="s">
        <v>63</v>
      </c>
      <c r="NRS220" s="2" t="s">
        <v>83</v>
      </c>
      <c r="NRT220" s="2" t="s">
        <v>63</v>
      </c>
      <c r="NRU220" s="24">
        <v>434</v>
      </c>
      <c r="NRV220" s="5">
        <v>46174</v>
      </c>
      <c r="NRW220" s="5">
        <v>46174</v>
      </c>
      <c r="NRX220" s="30">
        <f t="shared" ref="NRX220" si="648">NRW220-NRV220</f>
        <v>0</v>
      </c>
      <c r="NRY220" s="5" t="s">
        <v>317</v>
      </c>
      <c r="NRZ220" s="2" t="s">
        <v>22</v>
      </c>
      <c r="NSA220" s="53" t="s">
        <v>334</v>
      </c>
      <c r="NSB220" s="2" t="s">
        <v>513</v>
      </c>
      <c r="NSC220" s="2" t="s">
        <v>25</v>
      </c>
      <c r="NSD220" s="2" t="s">
        <v>393</v>
      </c>
      <c r="NSE220" s="7">
        <v>-74.044305502618698</v>
      </c>
      <c r="NSF220" s="7">
        <v>4.6804459478222702</v>
      </c>
      <c r="NSG220" s="2" t="s">
        <v>357</v>
      </c>
      <c r="NSH220" s="2" t="s">
        <v>63</v>
      </c>
      <c r="NSI220" s="2" t="s">
        <v>83</v>
      </c>
      <c r="NSJ220" s="2" t="s">
        <v>63</v>
      </c>
      <c r="NSK220" s="24">
        <v>434</v>
      </c>
      <c r="NSL220" s="5">
        <v>46174</v>
      </c>
      <c r="NSM220" s="5">
        <v>46174</v>
      </c>
      <c r="NSN220" s="30">
        <f t="shared" ref="NSN220" si="649">NSM220-NSL220</f>
        <v>0</v>
      </c>
      <c r="NSO220" s="5" t="s">
        <v>317</v>
      </c>
      <c r="NSP220" s="2" t="s">
        <v>22</v>
      </c>
      <c r="NSQ220" s="53" t="s">
        <v>334</v>
      </c>
      <c r="NSR220" s="2" t="s">
        <v>513</v>
      </c>
      <c r="NSS220" s="2" t="s">
        <v>25</v>
      </c>
      <c r="NST220" s="2" t="s">
        <v>393</v>
      </c>
      <c r="NSU220" s="7">
        <v>-74.044305502618698</v>
      </c>
      <c r="NSV220" s="7">
        <v>4.6804459478222702</v>
      </c>
      <c r="NSW220" s="2" t="s">
        <v>357</v>
      </c>
      <c r="NSX220" s="2" t="s">
        <v>63</v>
      </c>
      <c r="NSY220" s="2" t="s">
        <v>83</v>
      </c>
      <c r="NSZ220" s="2" t="s">
        <v>63</v>
      </c>
      <c r="NTA220" s="24">
        <v>434</v>
      </c>
      <c r="NTB220" s="5">
        <v>46174</v>
      </c>
      <c r="NTC220" s="5">
        <v>46174</v>
      </c>
      <c r="NTD220" s="30">
        <f t="shared" ref="NTD220" si="650">NTC220-NTB220</f>
        <v>0</v>
      </c>
      <c r="NTE220" s="5" t="s">
        <v>317</v>
      </c>
      <c r="NTF220" s="2" t="s">
        <v>22</v>
      </c>
      <c r="NTG220" s="53" t="s">
        <v>334</v>
      </c>
      <c r="NTH220" s="2" t="s">
        <v>513</v>
      </c>
      <c r="NTI220" s="2" t="s">
        <v>25</v>
      </c>
      <c r="NTJ220" s="2" t="s">
        <v>393</v>
      </c>
      <c r="NTK220" s="7">
        <v>-74.044305502618698</v>
      </c>
      <c r="NTL220" s="7">
        <v>4.6804459478222702</v>
      </c>
      <c r="NTM220" s="2" t="s">
        <v>357</v>
      </c>
      <c r="NTN220" s="2" t="s">
        <v>63</v>
      </c>
      <c r="NTO220" s="2" t="s">
        <v>83</v>
      </c>
      <c r="NTP220" s="2" t="s">
        <v>63</v>
      </c>
      <c r="NTQ220" s="24">
        <v>434</v>
      </c>
      <c r="NTR220" s="5">
        <v>46174</v>
      </c>
      <c r="NTS220" s="5">
        <v>46174</v>
      </c>
      <c r="NTT220" s="30">
        <f t="shared" ref="NTT220" si="651">NTS220-NTR220</f>
        <v>0</v>
      </c>
      <c r="NTU220" s="5" t="s">
        <v>317</v>
      </c>
      <c r="NTV220" s="2" t="s">
        <v>22</v>
      </c>
      <c r="NTW220" s="53" t="s">
        <v>334</v>
      </c>
      <c r="NTX220" s="2" t="s">
        <v>513</v>
      </c>
      <c r="NTY220" s="2" t="s">
        <v>25</v>
      </c>
      <c r="NTZ220" s="2" t="s">
        <v>393</v>
      </c>
      <c r="NUA220" s="7">
        <v>-74.044305502618698</v>
      </c>
      <c r="NUB220" s="7">
        <v>4.6804459478222702</v>
      </c>
      <c r="NUC220" s="2" t="s">
        <v>357</v>
      </c>
      <c r="NUD220" s="2" t="s">
        <v>63</v>
      </c>
      <c r="NUE220" s="2" t="s">
        <v>83</v>
      </c>
      <c r="NUF220" s="2" t="s">
        <v>63</v>
      </c>
      <c r="NUG220" s="24">
        <v>434</v>
      </c>
      <c r="NUH220" s="5">
        <v>46174</v>
      </c>
      <c r="NUI220" s="5">
        <v>46174</v>
      </c>
      <c r="NUJ220" s="30">
        <f t="shared" ref="NUJ220" si="652">NUI220-NUH220</f>
        <v>0</v>
      </c>
      <c r="NUK220" s="5" t="s">
        <v>317</v>
      </c>
      <c r="NUL220" s="2" t="s">
        <v>22</v>
      </c>
      <c r="NUM220" s="53" t="s">
        <v>334</v>
      </c>
      <c r="NUN220" s="2" t="s">
        <v>513</v>
      </c>
      <c r="NUO220" s="2" t="s">
        <v>25</v>
      </c>
      <c r="NUP220" s="2" t="s">
        <v>393</v>
      </c>
      <c r="NUQ220" s="7">
        <v>-74.044305502618698</v>
      </c>
      <c r="NUR220" s="7">
        <v>4.6804459478222702</v>
      </c>
      <c r="NUS220" s="2" t="s">
        <v>357</v>
      </c>
      <c r="NUT220" s="2" t="s">
        <v>63</v>
      </c>
      <c r="NUU220" s="2" t="s">
        <v>83</v>
      </c>
      <c r="NUV220" s="2" t="s">
        <v>63</v>
      </c>
      <c r="NUW220" s="24">
        <v>434</v>
      </c>
      <c r="NUX220" s="5">
        <v>46174</v>
      </c>
      <c r="NUY220" s="5">
        <v>46174</v>
      </c>
      <c r="NUZ220" s="30">
        <f t="shared" ref="NUZ220" si="653">NUY220-NUX220</f>
        <v>0</v>
      </c>
      <c r="NVA220" s="5" t="s">
        <v>317</v>
      </c>
      <c r="NVB220" s="2" t="s">
        <v>22</v>
      </c>
      <c r="NVC220" s="53" t="s">
        <v>334</v>
      </c>
      <c r="NVD220" s="2" t="s">
        <v>513</v>
      </c>
      <c r="NVE220" s="2" t="s">
        <v>25</v>
      </c>
      <c r="NVF220" s="2" t="s">
        <v>393</v>
      </c>
      <c r="NVG220" s="7">
        <v>-74.044305502618698</v>
      </c>
      <c r="NVH220" s="7">
        <v>4.6804459478222702</v>
      </c>
      <c r="NVI220" s="2" t="s">
        <v>357</v>
      </c>
      <c r="NVJ220" s="2" t="s">
        <v>63</v>
      </c>
      <c r="NVK220" s="2" t="s">
        <v>83</v>
      </c>
      <c r="NVL220" s="2" t="s">
        <v>63</v>
      </c>
      <c r="NVM220" s="24">
        <v>434</v>
      </c>
      <c r="NVN220" s="5">
        <v>46174</v>
      </c>
      <c r="NVO220" s="5">
        <v>46174</v>
      </c>
      <c r="NVP220" s="30">
        <f t="shared" ref="NVP220" si="654">NVO220-NVN220</f>
        <v>0</v>
      </c>
      <c r="NVQ220" s="5" t="s">
        <v>317</v>
      </c>
      <c r="NVR220" s="2" t="s">
        <v>22</v>
      </c>
      <c r="NVS220" s="53" t="s">
        <v>334</v>
      </c>
      <c r="NVT220" s="2" t="s">
        <v>513</v>
      </c>
      <c r="NVU220" s="2" t="s">
        <v>25</v>
      </c>
      <c r="NVV220" s="2" t="s">
        <v>393</v>
      </c>
      <c r="NVW220" s="7">
        <v>-74.044305502618698</v>
      </c>
      <c r="NVX220" s="7">
        <v>4.6804459478222702</v>
      </c>
      <c r="NVY220" s="2" t="s">
        <v>357</v>
      </c>
      <c r="NVZ220" s="2" t="s">
        <v>63</v>
      </c>
      <c r="NWA220" s="2" t="s">
        <v>83</v>
      </c>
      <c r="NWB220" s="2" t="s">
        <v>63</v>
      </c>
      <c r="NWC220" s="24">
        <v>434</v>
      </c>
      <c r="NWD220" s="5">
        <v>46174</v>
      </c>
      <c r="NWE220" s="5">
        <v>46174</v>
      </c>
      <c r="NWF220" s="30">
        <f t="shared" ref="NWF220" si="655">NWE220-NWD220</f>
        <v>0</v>
      </c>
      <c r="NWG220" s="5" t="s">
        <v>317</v>
      </c>
      <c r="NWH220" s="2" t="s">
        <v>22</v>
      </c>
      <c r="NWI220" s="53" t="s">
        <v>334</v>
      </c>
      <c r="NWJ220" s="2" t="s">
        <v>513</v>
      </c>
      <c r="NWK220" s="2" t="s">
        <v>25</v>
      </c>
      <c r="NWL220" s="2" t="s">
        <v>393</v>
      </c>
      <c r="NWM220" s="7">
        <v>-74.044305502618698</v>
      </c>
      <c r="NWN220" s="7">
        <v>4.6804459478222702</v>
      </c>
      <c r="NWO220" s="2" t="s">
        <v>357</v>
      </c>
      <c r="NWP220" s="2" t="s">
        <v>63</v>
      </c>
      <c r="NWQ220" s="2" t="s">
        <v>83</v>
      </c>
      <c r="NWR220" s="2" t="s">
        <v>63</v>
      </c>
      <c r="NWS220" s="24">
        <v>434</v>
      </c>
      <c r="NWT220" s="5">
        <v>46174</v>
      </c>
      <c r="NWU220" s="5">
        <v>46174</v>
      </c>
      <c r="NWV220" s="30">
        <f t="shared" ref="NWV220" si="656">NWU220-NWT220</f>
        <v>0</v>
      </c>
      <c r="NWW220" s="5" t="s">
        <v>317</v>
      </c>
      <c r="NWX220" s="2" t="s">
        <v>22</v>
      </c>
      <c r="NWY220" s="53" t="s">
        <v>334</v>
      </c>
      <c r="NWZ220" s="2" t="s">
        <v>513</v>
      </c>
      <c r="NXA220" s="2" t="s">
        <v>25</v>
      </c>
      <c r="NXB220" s="2" t="s">
        <v>393</v>
      </c>
      <c r="NXC220" s="7">
        <v>-74.044305502618698</v>
      </c>
      <c r="NXD220" s="7">
        <v>4.6804459478222702</v>
      </c>
      <c r="NXE220" s="2" t="s">
        <v>357</v>
      </c>
      <c r="NXF220" s="2" t="s">
        <v>63</v>
      </c>
      <c r="NXG220" s="2" t="s">
        <v>83</v>
      </c>
      <c r="NXH220" s="2" t="s">
        <v>63</v>
      </c>
      <c r="NXI220" s="24">
        <v>434</v>
      </c>
      <c r="NXJ220" s="5">
        <v>46174</v>
      </c>
      <c r="NXK220" s="5">
        <v>46174</v>
      </c>
      <c r="NXL220" s="30">
        <f t="shared" ref="NXL220" si="657">NXK220-NXJ220</f>
        <v>0</v>
      </c>
      <c r="NXM220" s="5" t="s">
        <v>317</v>
      </c>
      <c r="NXN220" s="2" t="s">
        <v>22</v>
      </c>
      <c r="NXO220" s="53" t="s">
        <v>334</v>
      </c>
      <c r="NXP220" s="2" t="s">
        <v>513</v>
      </c>
      <c r="NXQ220" s="2" t="s">
        <v>25</v>
      </c>
      <c r="NXR220" s="2" t="s">
        <v>393</v>
      </c>
      <c r="NXS220" s="7">
        <v>-74.044305502618698</v>
      </c>
      <c r="NXT220" s="7">
        <v>4.6804459478222702</v>
      </c>
      <c r="NXU220" s="2" t="s">
        <v>357</v>
      </c>
      <c r="NXV220" s="2" t="s">
        <v>63</v>
      </c>
      <c r="NXW220" s="2" t="s">
        <v>83</v>
      </c>
      <c r="NXX220" s="2" t="s">
        <v>63</v>
      </c>
      <c r="NXY220" s="24">
        <v>434</v>
      </c>
      <c r="NXZ220" s="5">
        <v>46174</v>
      </c>
      <c r="NYA220" s="5">
        <v>46174</v>
      </c>
      <c r="NYB220" s="30">
        <f t="shared" ref="NYB220" si="658">NYA220-NXZ220</f>
        <v>0</v>
      </c>
      <c r="NYC220" s="5" t="s">
        <v>317</v>
      </c>
      <c r="NYD220" s="2" t="s">
        <v>22</v>
      </c>
      <c r="NYE220" s="53" t="s">
        <v>334</v>
      </c>
      <c r="NYF220" s="2" t="s">
        <v>513</v>
      </c>
      <c r="NYG220" s="2" t="s">
        <v>25</v>
      </c>
      <c r="NYH220" s="2" t="s">
        <v>393</v>
      </c>
      <c r="NYI220" s="7">
        <v>-74.044305502618698</v>
      </c>
      <c r="NYJ220" s="7">
        <v>4.6804459478222702</v>
      </c>
      <c r="NYK220" s="2" t="s">
        <v>357</v>
      </c>
      <c r="NYL220" s="2" t="s">
        <v>63</v>
      </c>
      <c r="NYM220" s="2" t="s">
        <v>83</v>
      </c>
      <c r="NYN220" s="2" t="s">
        <v>63</v>
      </c>
      <c r="NYO220" s="24">
        <v>434</v>
      </c>
      <c r="NYP220" s="5">
        <v>46174</v>
      </c>
      <c r="NYQ220" s="5">
        <v>46174</v>
      </c>
      <c r="NYR220" s="30">
        <f t="shared" ref="NYR220" si="659">NYQ220-NYP220</f>
        <v>0</v>
      </c>
      <c r="NYS220" s="5" t="s">
        <v>317</v>
      </c>
      <c r="NYT220" s="2" t="s">
        <v>22</v>
      </c>
      <c r="NYU220" s="53" t="s">
        <v>334</v>
      </c>
      <c r="NYV220" s="2" t="s">
        <v>513</v>
      </c>
      <c r="NYW220" s="2" t="s">
        <v>25</v>
      </c>
      <c r="NYX220" s="2" t="s">
        <v>393</v>
      </c>
      <c r="NYY220" s="7">
        <v>-74.044305502618698</v>
      </c>
      <c r="NYZ220" s="7">
        <v>4.6804459478222702</v>
      </c>
      <c r="NZA220" s="2" t="s">
        <v>357</v>
      </c>
      <c r="NZB220" s="2" t="s">
        <v>63</v>
      </c>
      <c r="NZC220" s="2" t="s">
        <v>83</v>
      </c>
      <c r="NZD220" s="2" t="s">
        <v>63</v>
      </c>
      <c r="NZE220" s="24">
        <v>434</v>
      </c>
      <c r="NZF220" s="5">
        <v>46174</v>
      </c>
      <c r="NZG220" s="5">
        <v>46174</v>
      </c>
      <c r="NZH220" s="30">
        <f t="shared" ref="NZH220" si="660">NZG220-NZF220</f>
        <v>0</v>
      </c>
      <c r="NZI220" s="5" t="s">
        <v>317</v>
      </c>
      <c r="NZJ220" s="2" t="s">
        <v>22</v>
      </c>
      <c r="NZK220" s="53" t="s">
        <v>334</v>
      </c>
      <c r="NZL220" s="2" t="s">
        <v>513</v>
      </c>
      <c r="NZM220" s="2" t="s">
        <v>25</v>
      </c>
      <c r="NZN220" s="2" t="s">
        <v>393</v>
      </c>
      <c r="NZO220" s="7">
        <v>-74.044305502618698</v>
      </c>
      <c r="NZP220" s="7">
        <v>4.6804459478222702</v>
      </c>
      <c r="NZQ220" s="2" t="s">
        <v>357</v>
      </c>
      <c r="NZR220" s="2" t="s">
        <v>63</v>
      </c>
      <c r="NZS220" s="2" t="s">
        <v>83</v>
      </c>
      <c r="NZT220" s="2" t="s">
        <v>63</v>
      </c>
      <c r="NZU220" s="24">
        <v>434</v>
      </c>
      <c r="NZV220" s="5">
        <v>46174</v>
      </c>
      <c r="NZW220" s="5">
        <v>46174</v>
      </c>
      <c r="NZX220" s="30">
        <f t="shared" ref="NZX220" si="661">NZW220-NZV220</f>
        <v>0</v>
      </c>
      <c r="NZY220" s="5" t="s">
        <v>317</v>
      </c>
      <c r="NZZ220" s="2" t="s">
        <v>22</v>
      </c>
      <c r="OAA220" s="53" t="s">
        <v>334</v>
      </c>
      <c r="OAB220" s="2" t="s">
        <v>513</v>
      </c>
      <c r="OAC220" s="2" t="s">
        <v>25</v>
      </c>
      <c r="OAD220" s="2" t="s">
        <v>393</v>
      </c>
      <c r="OAE220" s="7">
        <v>-74.044305502618698</v>
      </c>
      <c r="OAF220" s="7">
        <v>4.6804459478222702</v>
      </c>
      <c r="OAG220" s="2" t="s">
        <v>357</v>
      </c>
      <c r="OAH220" s="2" t="s">
        <v>63</v>
      </c>
      <c r="OAI220" s="2" t="s">
        <v>83</v>
      </c>
      <c r="OAJ220" s="2" t="s">
        <v>63</v>
      </c>
      <c r="OAK220" s="24">
        <v>434</v>
      </c>
      <c r="OAL220" s="5">
        <v>46174</v>
      </c>
      <c r="OAM220" s="5">
        <v>46174</v>
      </c>
      <c r="OAN220" s="30">
        <f t="shared" ref="OAN220" si="662">OAM220-OAL220</f>
        <v>0</v>
      </c>
      <c r="OAO220" s="5" t="s">
        <v>317</v>
      </c>
      <c r="OAP220" s="2" t="s">
        <v>22</v>
      </c>
      <c r="OAQ220" s="53" t="s">
        <v>334</v>
      </c>
      <c r="OAR220" s="2" t="s">
        <v>513</v>
      </c>
      <c r="OAS220" s="2" t="s">
        <v>25</v>
      </c>
      <c r="OAT220" s="2" t="s">
        <v>393</v>
      </c>
      <c r="OAU220" s="7">
        <v>-74.044305502618698</v>
      </c>
      <c r="OAV220" s="7">
        <v>4.6804459478222702</v>
      </c>
      <c r="OAW220" s="2" t="s">
        <v>357</v>
      </c>
      <c r="OAX220" s="2" t="s">
        <v>63</v>
      </c>
      <c r="OAY220" s="2" t="s">
        <v>83</v>
      </c>
      <c r="OAZ220" s="2" t="s">
        <v>63</v>
      </c>
      <c r="OBA220" s="24">
        <v>434</v>
      </c>
      <c r="OBB220" s="5">
        <v>46174</v>
      </c>
      <c r="OBC220" s="5">
        <v>46174</v>
      </c>
      <c r="OBD220" s="30">
        <f t="shared" ref="OBD220" si="663">OBC220-OBB220</f>
        <v>0</v>
      </c>
      <c r="OBE220" s="5" t="s">
        <v>317</v>
      </c>
      <c r="OBF220" s="2" t="s">
        <v>22</v>
      </c>
      <c r="OBG220" s="53" t="s">
        <v>334</v>
      </c>
      <c r="OBH220" s="2" t="s">
        <v>513</v>
      </c>
      <c r="OBI220" s="2" t="s">
        <v>25</v>
      </c>
      <c r="OBJ220" s="2" t="s">
        <v>393</v>
      </c>
      <c r="OBK220" s="7">
        <v>-74.044305502618698</v>
      </c>
      <c r="OBL220" s="7">
        <v>4.6804459478222702</v>
      </c>
      <c r="OBM220" s="2" t="s">
        <v>357</v>
      </c>
      <c r="OBN220" s="2" t="s">
        <v>63</v>
      </c>
      <c r="OBO220" s="2" t="s">
        <v>83</v>
      </c>
      <c r="OBP220" s="2" t="s">
        <v>63</v>
      </c>
      <c r="OBQ220" s="24">
        <v>434</v>
      </c>
      <c r="OBR220" s="5">
        <v>46174</v>
      </c>
      <c r="OBS220" s="5">
        <v>46174</v>
      </c>
      <c r="OBT220" s="30">
        <f t="shared" ref="OBT220" si="664">OBS220-OBR220</f>
        <v>0</v>
      </c>
      <c r="OBU220" s="5" t="s">
        <v>317</v>
      </c>
      <c r="OBV220" s="2" t="s">
        <v>22</v>
      </c>
      <c r="OBW220" s="53" t="s">
        <v>334</v>
      </c>
      <c r="OBX220" s="2" t="s">
        <v>513</v>
      </c>
      <c r="OBY220" s="2" t="s">
        <v>25</v>
      </c>
      <c r="OBZ220" s="2" t="s">
        <v>393</v>
      </c>
      <c r="OCA220" s="7">
        <v>-74.044305502618698</v>
      </c>
      <c r="OCB220" s="7">
        <v>4.6804459478222702</v>
      </c>
      <c r="OCC220" s="2" t="s">
        <v>357</v>
      </c>
      <c r="OCD220" s="2" t="s">
        <v>63</v>
      </c>
      <c r="OCE220" s="2" t="s">
        <v>83</v>
      </c>
      <c r="OCF220" s="2" t="s">
        <v>63</v>
      </c>
      <c r="OCG220" s="24">
        <v>434</v>
      </c>
      <c r="OCH220" s="5">
        <v>46174</v>
      </c>
      <c r="OCI220" s="5">
        <v>46174</v>
      </c>
      <c r="OCJ220" s="30">
        <f t="shared" ref="OCJ220" si="665">OCI220-OCH220</f>
        <v>0</v>
      </c>
      <c r="OCK220" s="5" t="s">
        <v>317</v>
      </c>
      <c r="OCL220" s="2" t="s">
        <v>22</v>
      </c>
      <c r="OCM220" s="53" t="s">
        <v>334</v>
      </c>
      <c r="OCN220" s="2" t="s">
        <v>513</v>
      </c>
      <c r="OCO220" s="2" t="s">
        <v>25</v>
      </c>
      <c r="OCP220" s="2" t="s">
        <v>393</v>
      </c>
      <c r="OCQ220" s="7">
        <v>-74.044305502618698</v>
      </c>
      <c r="OCR220" s="7">
        <v>4.6804459478222702</v>
      </c>
      <c r="OCS220" s="2" t="s">
        <v>357</v>
      </c>
      <c r="OCT220" s="2" t="s">
        <v>63</v>
      </c>
      <c r="OCU220" s="2" t="s">
        <v>83</v>
      </c>
      <c r="OCV220" s="2" t="s">
        <v>63</v>
      </c>
      <c r="OCW220" s="24">
        <v>434</v>
      </c>
      <c r="OCX220" s="5">
        <v>46174</v>
      </c>
      <c r="OCY220" s="5">
        <v>46174</v>
      </c>
      <c r="OCZ220" s="30">
        <f t="shared" ref="OCZ220" si="666">OCY220-OCX220</f>
        <v>0</v>
      </c>
      <c r="ODA220" s="5" t="s">
        <v>317</v>
      </c>
      <c r="ODB220" s="2" t="s">
        <v>22</v>
      </c>
      <c r="ODC220" s="53" t="s">
        <v>334</v>
      </c>
      <c r="ODD220" s="2" t="s">
        <v>513</v>
      </c>
      <c r="ODE220" s="2" t="s">
        <v>25</v>
      </c>
      <c r="ODF220" s="2" t="s">
        <v>393</v>
      </c>
      <c r="ODG220" s="7">
        <v>-74.044305502618698</v>
      </c>
      <c r="ODH220" s="7">
        <v>4.6804459478222702</v>
      </c>
      <c r="ODI220" s="2" t="s">
        <v>357</v>
      </c>
      <c r="ODJ220" s="2" t="s">
        <v>63</v>
      </c>
      <c r="ODK220" s="2" t="s">
        <v>83</v>
      </c>
      <c r="ODL220" s="2" t="s">
        <v>63</v>
      </c>
      <c r="ODM220" s="24">
        <v>434</v>
      </c>
      <c r="ODN220" s="5">
        <v>46174</v>
      </c>
      <c r="ODO220" s="5">
        <v>46174</v>
      </c>
      <c r="ODP220" s="30">
        <f t="shared" ref="ODP220" si="667">ODO220-ODN220</f>
        <v>0</v>
      </c>
      <c r="ODQ220" s="5" t="s">
        <v>317</v>
      </c>
      <c r="ODR220" s="2" t="s">
        <v>22</v>
      </c>
      <c r="ODS220" s="53" t="s">
        <v>334</v>
      </c>
      <c r="ODT220" s="2" t="s">
        <v>513</v>
      </c>
      <c r="ODU220" s="2" t="s">
        <v>25</v>
      </c>
      <c r="ODV220" s="2" t="s">
        <v>393</v>
      </c>
      <c r="ODW220" s="7">
        <v>-74.044305502618698</v>
      </c>
      <c r="ODX220" s="7">
        <v>4.6804459478222702</v>
      </c>
      <c r="ODY220" s="2" t="s">
        <v>357</v>
      </c>
      <c r="ODZ220" s="2" t="s">
        <v>63</v>
      </c>
      <c r="OEA220" s="2" t="s">
        <v>83</v>
      </c>
      <c r="OEB220" s="2" t="s">
        <v>63</v>
      </c>
      <c r="OEC220" s="24">
        <v>434</v>
      </c>
      <c r="OED220" s="5">
        <v>46174</v>
      </c>
      <c r="OEE220" s="5">
        <v>46174</v>
      </c>
      <c r="OEF220" s="30">
        <f t="shared" ref="OEF220" si="668">OEE220-OED220</f>
        <v>0</v>
      </c>
      <c r="OEG220" s="5" t="s">
        <v>317</v>
      </c>
      <c r="OEH220" s="2" t="s">
        <v>22</v>
      </c>
      <c r="OEI220" s="53" t="s">
        <v>334</v>
      </c>
      <c r="OEJ220" s="2" t="s">
        <v>513</v>
      </c>
      <c r="OEK220" s="2" t="s">
        <v>25</v>
      </c>
      <c r="OEL220" s="2" t="s">
        <v>393</v>
      </c>
      <c r="OEM220" s="7">
        <v>-74.044305502618698</v>
      </c>
      <c r="OEN220" s="7">
        <v>4.6804459478222702</v>
      </c>
      <c r="OEO220" s="2" t="s">
        <v>357</v>
      </c>
      <c r="OEP220" s="2" t="s">
        <v>63</v>
      </c>
      <c r="OEQ220" s="2" t="s">
        <v>83</v>
      </c>
      <c r="OER220" s="2" t="s">
        <v>63</v>
      </c>
      <c r="OES220" s="24">
        <v>434</v>
      </c>
      <c r="OET220" s="5">
        <v>46174</v>
      </c>
      <c r="OEU220" s="5">
        <v>46174</v>
      </c>
      <c r="OEV220" s="30">
        <f t="shared" ref="OEV220" si="669">OEU220-OET220</f>
        <v>0</v>
      </c>
      <c r="OEW220" s="5" t="s">
        <v>317</v>
      </c>
      <c r="OEX220" s="2" t="s">
        <v>22</v>
      </c>
      <c r="OEY220" s="53" t="s">
        <v>334</v>
      </c>
      <c r="OEZ220" s="2" t="s">
        <v>513</v>
      </c>
      <c r="OFA220" s="2" t="s">
        <v>25</v>
      </c>
      <c r="OFB220" s="2" t="s">
        <v>393</v>
      </c>
      <c r="OFC220" s="7">
        <v>-74.044305502618698</v>
      </c>
      <c r="OFD220" s="7">
        <v>4.6804459478222702</v>
      </c>
      <c r="OFE220" s="2" t="s">
        <v>357</v>
      </c>
      <c r="OFF220" s="2" t="s">
        <v>63</v>
      </c>
      <c r="OFG220" s="2" t="s">
        <v>83</v>
      </c>
      <c r="OFH220" s="2" t="s">
        <v>63</v>
      </c>
      <c r="OFI220" s="24">
        <v>434</v>
      </c>
      <c r="OFJ220" s="5">
        <v>46174</v>
      </c>
      <c r="OFK220" s="5">
        <v>46174</v>
      </c>
      <c r="OFL220" s="30">
        <f t="shared" ref="OFL220" si="670">OFK220-OFJ220</f>
        <v>0</v>
      </c>
      <c r="OFM220" s="5" t="s">
        <v>317</v>
      </c>
      <c r="OFN220" s="2" t="s">
        <v>22</v>
      </c>
      <c r="OFO220" s="53" t="s">
        <v>334</v>
      </c>
      <c r="OFP220" s="2" t="s">
        <v>513</v>
      </c>
      <c r="OFQ220" s="2" t="s">
        <v>25</v>
      </c>
      <c r="OFR220" s="2" t="s">
        <v>393</v>
      </c>
      <c r="OFS220" s="7">
        <v>-74.044305502618698</v>
      </c>
      <c r="OFT220" s="7">
        <v>4.6804459478222702</v>
      </c>
      <c r="OFU220" s="2" t="s">
        <v>357</v>
      </c>
      <c r="OFV220" s="2" t="s">
        <v>63</v>
      </c>
      <c r="OFW220" s="2" t="s">
        <v>83</v>
      </c>
      <c r="OFX220" s="2" t="s">
        <v>63</v>
      </c>
      <c r="OFY220" s="24">
        <v>434</v>
      </c>
      <c r="OFZ220" s="5">
        <v>46174</v>
      </c>
      <c r="OGA220" s="5">
        <v>46174</v>
      </c>
      <c r="OGB220" s="30">
        <f t="shared" ref="OGB220" si="671">OGA220-OFZ220</f>
        <v>0</v>
      </c>
      <c r="OGC220" s="5" t="s">
        <v>317</v>
      </c>
      <c r="OGD220" s="2" t="s">
        <v>22</v>
      </c>
      <c r="OGE220" s="53" t="s">
        <v>334</v>
      </c>
      <c r="OGF220" s="2" t="s">
        <v>513</v>
      </c>
      <c r="OGG220" s="2" t="s">
        <v>25</v>
      </c>
      <c r="OGH220" s="2" t="s">
        <v>393</v>
      </c>
      <c r="OGI220" s="7">
        <v>-74.044305502618698</v>
      </c>
      <c r="OGJ220" s="7">
        <v>4.6804459478222702</v>
      </c>
      <c r="OGK220" s="2" t="s">
        <v>357</v>
      </c>
      <c r="OGL220" s="2" t="s">
        <v>63</v>
      </c>
      <c r="OGM220" s="2" t="s">
        <v>83</v>
      </c>
      <c r="OGN220" s="2" t="s">
        <v>63</v>
      </c>
      <c r="OGO220" s="24">
        <v>434</v>
      </c>
      <c r="OGP220" s="5">
        <v>46174</v>
      </c>
      <c r="OGQ220" s="5">
        <v>46174</v>
      </c>
      <c r="OGR220" s="30">
        <f t="shared" ref="OGR220" si="672">OGQ220-OGP220</f>
        <v>0</v>
      </c>
      <c r="OGS220" s="5" t="s">
        <v>317</v>
      </c>
      <c r="OGT220" s="2" t="s">
        <v>22</v>
      </c>
      <c r="OGU220" s="53" t="s">
        <v>334</v>
      </c>
      <c r="OGV220" s="2" t="s">
        <v>513</v>
      </c>
      <c r="OGW220" s="2" t="s">
        <v>25</v>
      </c>
      <c r="OGX220" s="2" t="s">
        <v>393</v>
      </c>
      <c r="OGY220" s="7">
        <v>-74.044305502618698</v>
      </c>
      <c r="OGZ220" s="7">
        <v>4.6804459478222702</v>
      </c>
      <c r="OHA220" s="2" t="s">
        <v>357</v>
      </c>
      <c r="OHB220" s="2" t="s">
        <v>63</v>
      </c>
      <c r="OHC220" s="2" t="s">
        <v>83</v>
      </c>
      <c r="OHD220" s="2" t="s">
        <v>63</v>
      </c>
      <c r="OHE220" s="24">
        <v>434</v>
      </c>
      <c r="OHF220" s="5">
        <v>46174</v>
      </c>
      <c r="OHG220" s="5">
        <v>46174</v>
      </c>
      <c r="OHH220" s="30">
        <f t="shared" ref="OHH220" si="673">OHG220-OHF220</f>
        <v>0</v>
      </c>
      <c r="OHI220" s="5" t="s">
        <v>317</v>
      </c>
      <c r="OHJ220" s="2" t="s">
        <v>22</v>
      </c>
      <c r="OHK220" s="53" t="s">
        <v>334</v>
      </c>
      <c r="OHL220" s="2" t="s">
        <v>513</v>
      </c>
      <c r="OHM220" s="2" t="s">
        <v>25</v>
      </c>
      <c r="OHN220" s="2" t="s">
        <v>393</v>
      </c>
      <c r="OHO220" s="7">
        <v>-74.044305502618698</v>
      </c>
      <c r="OHP220" s="7">
        <v>4.6804459478222702</v>
      </c>
      <c r="OHQ220" s="2" t="s">
        <v>357</v>
      </c>
      <c r="OHR220" s="2" t="s">
        <v>63</v>
      </c>
      <c r="OHS220" s="2" t="s">
        <v>83</v>
      </c>
      <c r="OHT220" s="2" t="s">
        <v>63</v>
      </c>
      <c r="OHU220" s="24">
        <v>434</v>
      </c>
      <c r="OHV220" s="5">
        <v>46174</v>
      </c>
      <c r="OHW220" s="5">
        <v>46174</v>
      </c>
      <c r="OHX220" s="30">
        <f t="shared" ref="OHX220" si="674">OHW220-OHV220</f>
        <v>0</v>
      </c>
      <c r="OHY220" s="5" t="s">
        <v>317</v>
      </c>
      <c r="OHZ220" s="2" t="s">
        <v>22</v>
      </c>
      <c r="OIA220" s="53" t="s">
        <v>334</v>
      </c>
      <c r="OIB220" s="2" t="s">
        <v>513</v>
      </c>
      <c r="OIC220" s="2" t="s">
        <v>25</v>
      </c>
      <c r="OID220" s="2" t="s">
        <v>393</v>
      </c>
      <c r="OIE220" s="7">
        <v>-74.044305502618698</v>
      </c>
      <c r="OIF220" s="7">
        <v>4.6804459478222702</v>
      </c>
      <c r="OIG220" s="2" t="s">
        <v>357</v>
      </c>
      <c r="OIH220" s="2" t="s">
        <v>63</v>
      </c>
      <c r="OII220" s="2" t="s">
        <v>83</v>
      </c>
      <c r="OIJ220" s="2" t="s">
        <v>63</v>
      </c>
      <c r="OIK220" s="24">
        <v>434</v>
      </c>
      <c r="OIL220" s="5">
        <v>46174</v>
      </c>
      <c r="OIM220" s="5">
        <v>46174</v>
      </c>
      <c r="OIN220" s="30">
        <f t="shared" ref="OIN220" si="675">OIM220-OIL220</f>
        <v>0</v>
      </c>
      <c r="OIO220" s="5" t="s">
        <v>317</v>
      </c>
      <c r="OIP220" s="2" t="s">
        <v>22</v>
      </c>
      <c r="OIQ220" s="53" t="s">
        <v>334</v>
      </c>
      <c r="OIR220" s="2" t="s">
        <v>513</v>
      </c>
      <c r="OIS220" s="2" t="s">
        <v>25</v>
      </c>
      <c r="OIT220" s="2" t="s">
        <v>393</v>
      </c>
      <c r="OIU220" s="7">
        <v>-74.044305502618698</v>
      </c>
      <c r="OIV220" s="7">
        <v>4.6804459478222702</v>
      </c>
      <c r="OIW220" s="2" t="s">
        <v>357</v>
      </c>
      <c r="OIX220" s="2" t="s">
        <v>63</v>
      </c>
      <c r="OIY220" s="2" t="s">
        <v>83</v>
      </c>
      <c r="OIZ220" s="2" t="s">
        <v>63</v>
      </c>
      <c r="OJA220" s="24">
        <v>434</v>
      </c>
      <c r="OJB220" s="5">
        <v>46174</v>
      </c>
      <c r="OJC220" s="5">
        <v>46174</v>
      </c>
      <c r="OJD220" s="30">
        <f t="shared" ref="OJD220" si="676">OJC220-OJB220</f>
        <v>0</v>
      </c>
      <c r="OJE220" s="5" t="s">
        <v>317</v>
      </c>
      <c r="OJF220" s="2" t="s">
        <v>22</v>
      </c>
      <c r="OJG220" s="53" t="s">
        <v>334</v>
      </c>
      <c r="OJH220" s="2" t="s">
        <v>513</v>
      </c>
      <c r="OJI220" s="2" t="s">
        <v>25</v>
      </c>
      <c r="OJJ220" s="2" t="s">
        <v>393</v>
      </c>
      <c r="OJK220" s="7">
        <v>-74.044305502618698</v>
      </c>
      <c r="OJL220" s="7">
        <v>4.6804459478222702</v>
      </c>
      <c r="OJM220" s="2" t="s">
        <v>357</v>
      </c>
      <c r="OJN220" s="2" t="s">
        <v>63</v>
      </c>
      <c r="OJO220" s="2" t="s">
        <v>83</v>
      </c>
      <c r="OJP220" s="2" t="s">
        <v>63</v>
      </c>
      <c r="OJQ220" s="24">
        <v>434</v>
      </c>
      <c r="OJR220" s="5">
        <v>46174</v>
      </c>
      <c r="OJS220" s="5">
        <v>46174</v>
      </c>
      <c r="OJT220" s="30">
        <f t="shared" ref="OJT220" si="677">OJS220-OJR220</f>
        <v>0</v>
      </c>
      <c r="OJU220" s="5" t="s">
        <v>317</v>
      </c>
      <c r="OJV220" s="2" t="s">
        <v>22</v>
      </c>
      <c r="OJW220" s="53" t="s">
        <v>334</v>
      </c>
      <c r="OJX220" s="2" t="s">
        <v>513</v>
      </c>
      <c r="OJY220" s="2" t="s">
        <v>25</v>
      </c>
      <c r="OJZ220" s="2" t="s">
        <v>393</v>
      </c>
      <c r="OKA220" s="7">
        <v>-74.044305502618698</v>
      </c>
      <c r="OKB220" s="7">
        <v>4.6804459478222702</v>
      </c>
      <c r="OKC220" s="2" t="s">
        <v>357</v>
      </c>
      <c r="OKD220" s="2" t="s">
        <v>63</v>
      </c>
      <c r="OKE220" s="2" t="s">
        <v>83</v>
      </c>
      <c r="OKF220" s="2" t="s">
        <v>63</v>
      </c>
      <c r="OKG220" s="24">
        <v>434</v>
      </c>
      <c r="OKH220" s="5">
        <v>46174</v>
      </c>
      <c r="OKI220" s="5">
        <v>46174</v>
      </c>
      <c r="OKJ220" s="30">
        <f t="shared" ref="OKJ220" si="678">OKI220-OKH220</f>
        <v>0</v>
      </c>
      <c r="OKK220" s="5" t="s">
        <v>317</v>
      </c>
      <c r="OKL220" s="2" t="s">
        <v>22</v>
      </c>
      <c r="OKM220" s="53" t="s">
        <v>334</v>
      </c>
      <c r="OKN220" s="2" t="s">
        <v>513</v>
      </c>
      <c r="OKO220" s="2" t="s">
        <v>25</v>
      </c>
      <c r="OKP220" s="2" t="s">
        <v>393</v>
      </c>
      <c r="OKQ220" s="7">
        <v>-74.044305502618698</v>
      </c>
      <c r="OKR220" s="7">
        <v>4.6804459478222702</v>
      </c>
      <c r="OKS220" s="2" t="s">
        <v>357</v>
      </c>
      <c r="OKT220" s="2" t="s">
        <v>63</v>
      </c>
      <c r="OKU220" s="2" t="s">
        <v>83</v>
      </c>
      <c r="OKV220" s="2" t="s">
        <v>63</v>
      </c>
      <c r="OKW220" s="24">
        <v>434</v>
      </c>
      <c r="OKX220" s="5">
        <v>46174</v>
      </c>
      <c r="OKY220" s="5">
        <v>46174</v>
      </c>
      <c r="OKZ220" s="30">
        <f t="shared" ref="OKZ220" si="679">OKY220-OKX220</f>
        <v>0</v>
      </c>
      <c r="OLA220" s="5" t="s">
        <v>317</v>
      </c>
      <c r="OLB220" s="2" t="s">
        <v>22</v>
      </c>
      <c r="OLC220" s="53" t="s">
        <v>334</v>
      </c>
      <c r="OLD220" s="2" t="s">
        <v>513</v>
      </c>
      <c r="OLE220" s="2" t="s">
        <v>25</v>
      </c>
      <c r="OLF220" s="2" t="s">
        <v>393</v>
      </c>
      <c r="OLG220" s="7">
        <v>-74.044305502618698</v>
      </c>
      <c r="OLH220" s="7">
        <v>4.6804459478222702</v>
      </c>
      <c r="OLI220" s="2" t="s">
        <v>357</v>
      </c>
      <c r="OLJ220" s="2" t="s">
        <v>63</v>
      </c>
      <c r="OLK220" s="2" t="s">
        <v>83</v>
      </c>
      <c r="OLL220" s="2" t="s">
        <v>63</v>
      </c>
      <c r="OLM220" s="24">
        <v>434</v>
      </c>
      <c r="OLN220" s="5">
        <v>46174</v>
      </c>
      <c r="OLO220" s="5">
        <v>46174</v>
      </c>
      <c r="OLP220" s="30">
        <f t="shared" ref="OLP220" si="680">OLO220-OLN220</f>
        <v>0</v>
      </c>
      <c r="OLQ220" s="5" t="s">
        <v>317</v>
      </c>
      <c r="OLR220" s="2" t="s">
        <v>22</v>
      </c>
      <c r="OLS220" s="53" t="s">
        <v>334</v>
      </c>
      <c r="OLT220" s="2" t="s">
        <v>513</v>
      </c>
      <c r="OLU220" s="2" t="s">
        <v>25</v>
      </c>
      <c r="OLV220" s="2" t="s">
        <v>393</v>
      </c>
      <c r="OLW220" s="7">
        <v>-74.044305502618698</v>
      </c>
      <c r="OLX220" s="7">
        <v>4.6804459478222702</v>
      </c>
      <c r="OLY220" s="2" t="s">
        <v>357</v>
      </c>
      <c r="OLZ220" s="2" t="s">
        <v>63</v>
      </c>
      <c r="OMA220" s="2" t="s">
        <v>83</v>
      </c>
      <c r="OMB220" s="2" t="s">
        <v>63</v>
      </c>
      <c r="OMC220" s="24">
        <v>434</v>
      </c>
      <c r="OMD220" s="5">
        <v>46174</v>
      </c>
      <c r="OME220" s="5">
        <v>46174</v>
      </c>
      <c r="OMF220" s="30">
        <f t="shared" ref="OMF220" si="681">OME220-OMD220</f>
        <v>0</v>
      </c>
      <c r="OMG220" s="5" t="s">
        <v>317</v>
      </c>
      <c r="OMH220" s="2" t="s">
        <v>22</v>
      </c>
      <c r="OMI220" s="53" t="s">
        <v>334</v>
      </c>
      <c r="OMJ220" s="2" t="s">
        <v>513</v>
      </c>
      <c r="OMK220" s="2" t="s">
        <v>25</v>
      </c>
      <c r="OML220" s="2" t="s">
        <v>393</v>
      </c>
      <c r="OMM220" s="7">
        <v>-74.044305502618698</v>
      </c>
      <c r="OMN220" s="7">
        <v>4.6804459478222702</v>
      </c>
      <c r="OMO220" s="2" t="s">
        <v>357</v>
      </c>
      <c r="OMP220" s="2" t="s">
        <v>63</v>
      </c>
      <c r="OMQ220" s="2" t="s">
        <v>83</v>
      </c>
      <c r="OMR220" s="2" t="s">
        <v>63</v>
      </c>
      <c r="OMS220" s="24">
        <v>434</v>
      </c>
      <c r="OMT220" s="5">
        <v>46174</v>
      </c>
      <c r="OMU220" s="5">
        <v>46174</v>
      </c>
      <c r="OMV220" s="30">
        <f t="shared" ref="OMV220" si="682">OMU220-OMT220</f>
        <v>0</v>
      </c>
      <c r="OMW220" s="5" t="s">
        <v>317</v>
      </c>
      <c r="OMX220" s="2" t="s">
        <v>22</v>
      </c>
      <c r="OMY220" s="53" t="s">
        <v>334</v>
      </c>
      <c r="OMZ220" s="2" t="s">
        <v>513</v>
      </c>
      <c r="ONA220" s="2" t="s">
        <v>25</v>
      </c>
      <c r="ONB220" s="2" t="s">
        <v>393</v>
      </c>
      <c r="ONC220" s="7">
        <v>-74.044305502618698</v>
      </c>
      <c r="OND220" s="7">
        <v>4.6804459478222702</v>
      </c>
      <c r="ONE220" s="2" t="s">
        <v>357</v>
      </c>
      <c r="ONF220" s="2" t="s">
        <v>63</v>
      </c>
      <c r="ONG220" s="2" t="s">
        <v>83</v>
      </c>
      <c r="ONH220" s="2" t="s">
        <v>63</v>
      </c>
      <c r="ONI220" s="24">
        <v>434</v>
      </c>
      <c r="ONJ220" s="5">
        <v>46174</v>
      </c>
      <c r="ONK220" s="5">
        <v>46174</v>
      </c>
      <c r="ONL220" s="30">
        <f t="shared" ref="ONL220" si="683">ONK220-ONJ220</f>
        <v>0</v>
      </c>
      <c r="ONM220" s="5" t="s">
        <v>317</v>
      </c>
      <c r="ONN220" s="2" t="s">
        <v>22</v>
      </c>
      <c r="ONO220" s="53" t="s">
        <v>334</v>
      </c>
      <c r="ONP220" s="2" t="s">
        <v>513</v>
      </c>
      <c r="ONQ220" s="2" t="s">
        <v>25</v>
      </c>
      <c r="ONR220" s="2" t="s">
        <v>393</v>
      </c>
      <c r="ONS220" s="7">
        <v>-74.044305502618698</v>
      </c>
      <c r="ONT220" s="7">
        <v>4.6804459478222702</v>
      </c>
      <c r="ONU220" s="2" t="s">
        <v>357</v>
      </c>
      <c r="ONV220" s="2" t="s">
        <v>63</v>
      </c>
      <c r="ONW220" s="2" t="s">
        <v>83</v>
      </c>
      <c r="ONX220" s="2" t="s">
        <v>63</v>
      </c>
      <c r="ONY220" s="24">
        <v>434</v>
      </c>
      <c r="ONZ220" s="5">
        <v>46174</v>
      </c>
      <c r="OOA220" s="5">
        <v>46174</v>
      </c>
      <c r="OOB220" s="30">
        <f t="shared" ref="OOB220" si="684">OOA220-ONZ220</f>
        <v>0</v>
      </c>
      <c r="OOC220" s="5" t="s">
        <v>317</v>
      </c>
      <c r="OOD220" s="2" t="s">
        <v>22</v>
      </c>
      <c r="OOE220" s="53" t="s">
        <v>334</v>
      </c>
      <c r="OOF220" s="2" t="s">
        <v>513</v>
      </c>
      <c r="OOG220" s="2" t="s">
        <v>25</v>
      </c>
      <c r="OOH220" s="2" t="s">
        <v>393</v>
      </c>
      <c r="OOI220" s="7">
        <v>-74.044305502618698</v>
      </c>
      <c r="OOJ220" s="7">
        <v>4.6804459478222702</v>
      </c>
      <c r="OOK220" s="2" t="s">
        <v>357</v>
      </c>
      <c r="OOL220" s="2" t="s">
        <v>63</v>
      </c>
      <c r="OOM220" s="2" t="s">
        <v>83</v>
      </c>
      <c r="OON220" s="2" t="s">
        <v>63</v>
      </c>
      <c r="OOO220" s="24">
        <v>434</v>
      </c>
      <c r="OOP220" s="5">
        <v>46174</v>
      </c>
      <c r="OOQ220" s="5">
        <v>46174</v>
      </c>
      <c r="OOR220" s="30">
        <f t="shared" ref="OOR220" si="685">OOQ220-OOP220</f>
        <v>0</v>
      </c>
      <c r="OOS220" s="5" t="s">
        <v>317</v>
      </c>
      <c r="OOT220" s="2" t="s">
        <v>22</v>
      </c>
      <c r="OOU220" s="53" t="s">
        <v>334</v>
      </c>
      <c r="OOV220" s="2" t="s">
        <v>513</v>
      </c>
      <c r="OOW220" s="2" t="s">
        <v>25</v>
      </c>
      <c r="OOX220" s="2" t="s">
        <v>393</v>
      </c>
      <c r="OOY220" s="7">
        <v>-74.044305502618698</v>
      </c>
      <c r="OOZ220" s="7">
        <v>4.6804459478222702</v>
      </c>
      <c r="OPA220" s="2" t="s">
        <v>357</v>
      </c>
      <c r="OPB220" s="2" t="s">
        <v>63</v>
      </c>
      <c r="OPC220" s="2" t="s">
        <v>83</v>
      </c>
      <c r="OPD220" s="2" t="s">
        <v>63</v>
      </c>
      <c r="OPE220" s="24">
        <v>434</v>
      </c>
      <c r="OPF220" s="5">
        <v>46174</v>
      </c>
      <c r="OPG220" s="5">
        <v>46174</v>
      </c>
      <c r="OPH220" s="30">
        <f t="shared" ref="OPH220" si="686">OPG220-OPF220</f>
        <v>0</v>
      </c>
      <c r="OPI220" s="5" t="s">
        <v>317</v>
      </c>
      <c r="OPJ220" s="2" t="s">
        <v>22</v>
      </c>
      <c r="OPK220" s="53" t="s">
        <v>334</v>
      </c>
      <c r="OPL220" s="2" t="s">
        <v>513</v>
      </c>
      <c r="OPM220" s="2" t="s">
        <v>25</v>
      </c>
      <c r="OPN220" s="2" t="s">
        <v>393</v>
      </c>
      <c r="OPO220" s="7">
        <v>-74.044305502618698</v>
      </c>
      <c r="OPP220" s="7">
        <v>4.6804459478222702</v>
      </c>
      <c r="OPQ220" s="2" t="s">
        <v>357</v>
      </c>
      <c r="OPR220" s="2" t="s">
        <v>63</v>
      </c>
      <c r="OPS220" s="2" t="s">
        <v>83</v>
      </c>
      <c r="OPT220" s="2" t="s">
        <v>63</v>
      </c>
      <c r="OPU220" s="24">
        <v>434</v>
      </c>
      <c r="OPV220" s="5">
        <v>46174</v>
      </c>
      <c r="OPW220" s="5">
        <v>46174</v>
      </c>
      <c r="OPX220" s="30">
        <f t="shared" ref="OPX220" si="687">OPW220-OPV220</f>
        <v>0</v>
      </c>
      <c r="OPY220" s="5" t="s">
        <v>317</v>
      </c>
      <c r="OPZ220" s="2" t="s">
        <v>22</v>
      </c>
      <c r="OQA220" s="53" t="s">
        <v>334</v>
      </c>
      <c r="OQB220" s="2" t="s">
        <v>513</v>
      </c>
      <c r="OQC220" s="2" t="s">
        <v>25</v>
      </c>
      <c r="OQD220" s="2" t="s">
        <v>393</v>
      </c>
      <c r="OQE220" s="7">
        <v>-74.044305502618698</v>
      </c>
      <c r="OQF220" s="7">
        <v>4.6804459478222702</v>
      </c>
      <c r="OQG220" s="2" t="s">
        <v>357</v>
      </c>
      <c r="OQH220" s="2" t="s">
        <v>63</v>
      </c>
      <c r="OQI220" s="2" t="s">
        <v>83</v>
      </c>
      <c r="OQJ220" s="2" t="s">
        <v>63</v>
      </c>
      <c r="OQK220" s="24">
        <v>434</v>
      </c>
      <c r="OQL220" s="5">
        <v>46174</v>
      </c>
      <c r="OQM220" s="5">
        <v>46174</v>
      </c>
      <c r="OQN220" s="30">
        <f t="shared" ref="OQN220" si="688">OQM220-OQL220</f>
        <v>0</v>
      </c>
      <c r="OQO220" s="5" t="s">
        <v>317</v>
      </c>
      <c r="OQP220" s="2" t="s">
        <v>22</v>
      </c>
      <c r="OQQ220" s="53" t="s">
        <v>334</v>
      </c>
      <c r="OQR220" s="2" t="s">
        <v>513</v>
      </c>
      <c r="OQS220" s="2" t="s">
        <v>25</v>
      </c>
      <c r="OQT220" s="2" t="s">
        <v>393</v>
      </c>
      <c r="OQU220" s="7">
        <v>-74.044305502618698</v>
      </c>
      <c r="OQV220" s="7">
        <v>4.6804459478222702</v>
      </c>
      <c r="OQW220" s="2" t="s">
        <v>357</v>
      </c>
      <c r="OQX220" s="2" t="s">
        <v>63</v>
      </c>
      <c r="OQY220" s="2" t="s">
        <v>83</v>
      </c>
      <c r="OQZ220" s="2" t="s">
        <v>63</v>
      </c>
      <c r="ORA220" s="24">
        <v>434</v>
      </c>
      <c r="ORB220" s="5">
        <v>46174</v>
      </c>
      <c r="ORC220" s="5">
        <v>46174</v>
      </c>
      <c r="ORD220" s="30">
        <f t="shared" ref="ORD220" si="689">ORC220-ORB220</f>
        <v>0</v>
      </c>
      <c r="ORE220" s="5" t="s">
        <v>317</v>
      </c>
      <c r="ORF220" s="2" t="s">
        <v>22</v>
      </c>
      <c r="ORG220" s="53" t="s">
        <v>334</v>
      </c>
      <c r="ORH220" s="2" t="s">
        <v>513</v>
      </c>
      <c r="ORI220" s="2" t="s">
        <v>25</v>
      </c>
      <c r="ORJ220" s="2" t="s">
        <v>393</v>
      </c>
      <c r="ORK220" s="7">
        <v>-74.044305502618698</v>
      </c>
      <c r="ORL220" s="7">
        <v>4.6804459478222702</v>
      </c>
      <c r="ORM220" s="2" t="s">
        <v>357</v>
      </c>
      <c r="ORN220" s="2" t="s">
        <v>63</v>
      </c>
      <c r="ORO220" s="2" t="s">
        <v>83</v>
      </c>
      <c r="ORP220" s="2" t="s">
        <v>63</v>
      </c>
      <c r="ORQ220" s="24">
        <v>434</v>
      </c>
      <c r="ORR220" s="5">
        <v>46174</v>
      </c>
      <c r="ORS220" s="5">
        <v>46174</v>
      </c>
      <c r="ORT220" s="30">
        <f t="shared" ref="ORT220" si="690">ORS220-ORR220</f>
        <v>0</v>
      </c>
      <c r="ORU220" s="5" t="s">
        <v>317</v>
      </c>
      <c r="ORV220" s="2" t="s">
        <v>22</v>
      </c>
      <c r="ORW220" s="53" t="s">
        <v>334</v>
      </c>
      <c r="ORX220" s="2" t="s">
        <v>513</v>
      </c>
      <c r="ORY220" s="2" t="s">
        <v>25</v>
      </c>
      <c r="ORZ220" s="2" t="s">
        <v>393</v>
      </c>
      <c r="OSA220" s="7">
        <v>-74.044305502618698</v>
      </c>
      <c r="OSB220" s="7">
        <v>4.6804459478222702</v>
      </c>
      <c r="OSC220" s="2" t="s">
        <v>357</v>
      </c>
      <c r="OSD220" s="2" t="s">
        <v>63</v>
      </c>
      <c r="OSE220" s="2" t="s">
        <v>83</v>
      </c>
      <c r="OSF220" s="2" t="s">
        <v>63</v>
      </c>
      <c r="OSG220" s="24">
        <v>434</v>
      </c>
      <c r="OSH220" s="5">
        <v>46174</v>
      </c>
      <c r="OSI220" s="5">
        <v>46174</v>
      </c>
      <c r="OSJ220" s="30">
        <f t="shared" ref="OSJ220" si="691">OSI220-OSH220</f>
        <v>0</v>
      </c>
      <c r="OSK220" s="5" t="s">
        <v>317</v>
      </c>
      <c r="OSL220" s="2" t="s">
        <v>22</v>
      </c>
      <c r="OSM220" s="53" t="s">
        <v>334</v>
      </c>
      <c r="OSN220" s="2" t="s">
        <v>513</v>
      </c>
      <c r="OSO220" s="2" t="s">
        <v>25</v>
      </c>
      <c r="OSP220" s="2" t="s">
        <v>393</v>
      </c>
      <c r="OSQ220" s="7">
        <v>-74.044305502618698</v>
      </c>
      <c r="OSR220" s="7">
        <v>4.6804459478222702</v>
      </c>
      <c r="OSS220" s="2" t="s">
        <v>357</v>
      </c>
      <c r="OST220" s="2" t="s">
        <v>63</v>
      </c>
      <c r="OSU220" s="2" t="s">
        <v>83</v>
      </c>
      <c r="OSV220" s="2" t="s">
        <v>63</v>
      </c>
      <c r="OSW220" s="24">
        <v>434</v>
      </c>
      <c r="OSX220" s="5">
        <v>46174</v>
      </c>
      <c r="OSY220" s="5">
        <v>46174</v>
      </c>
      <c r="OSZ220" s="30">
        <f t="shared" ref="OSZ220" si="692">OSY220-OSX220</f>
        <v>0</v>
      </c>
      <c r="OTA220" s="5" t="s">
        <v>317</v>
      </c>
      <c r="OTB220" s="2" t="s">
        <v>22</v>
      </c>
      <c r="OTC220" s="53" t="s">
        <v>334</v>
      </c>
      <c r="OTD220" s="2" t="s">
        <v>513</v>
      </c>
      <c r="OTE220" s="2" t="s">
        <v>25</v>
      </c>
      <c r="OTF220" s="2" t="s">
        <v>393</v>
      </c>
      <c r="OTG220" s="7">
        <v>-74.044305502618698</v>
      </c>
      <c r="OTH220" s="7">
        <v>4.6804459478222702</v>
      </c>
      <c r="OTI220" s="2" t="s">
        <v>357</v>
      </c>
      <c r="OTJ220" s="2" t="s">
        <v>63</v>
      </c>
      <c r="OTK220" s="2" t="s">
        <v>83</v>
      </c>
      <c r="OTL220" s="2" t="s">
        <v>63</v>
      </c>
      <c r="OTM220" s="24">
        <v>434</v>
      </c>
      <c r="OTN220" s="5">
        <v>46174</v>
      </c>
      <c r="OTO220" s="5">
        <v>46174</v>
      </c>
      <c r="OTP220" s="30">
        <f t="shared" ref="OTP220" si="693">OTO220-OTN220</f>
        <v>0</v>
      </c>
      <c r="OTQ220" s="5" t="s">
        <v>317</v>
      </c>
      <c r="OTR220" s="2" t="s">
        <v>22</v>
      </c>
      <c r="OTS220" s="53" t="s">
        <v>334</v>
      </c>
      <c r="OTT220" s="2" t="s">
        <v>513</v>
      </c>
      <c r="OTU220" s="2" t="s">
        <v>25</v>
      </c>
      <c r="OTV220" s="2" t="s">
        <v>393</v>
      </c>
      <c r="OTW220" s="7">
        <v>-74.044305502618698</v>
      </c>
      <c r="OTX220" s="7">
        <v>4.6804459478222702</v>
      </c>
      <c r="OTY220" s="2" t="s">
        <v>357</v>
      </c>
      <c r="OTZ220" s="2" t="s">
        <v>63</v>
      </c>
      <c r="OUA220" s="2" t="s">
        <v>83</v>
      </c>
      <c r="OUB220" s="2" t="s">
        <v>63</v>
      </c>
      <c r="OUC220" s="24">
        <v>434</v>
      </c>
      <c r="OUD220" s="5">
        <v>46174</v>
      </c>
      <c r="OUE220" s="5">
        <v>46174</v>
      </c>
      <c r="OUF220" s="30">
        <f t="shared" ref="OUF220" si="694">OUE220-OUD220</f>
        <v>0</v>
      </c>
      <c r="OUG220" s="5" t="s">
        <v>317</v>
      </c>
      <c r="OUH220" s="2" t="s">
        <v>22</v>
      </c>
      <c r="OUI220" s="53" t="s">
        <v>334</v>
      </c>
      <c r="OUJ220" s="2" t="s">
        <v>513</v>
      </c>
      <c r="OUK220" s="2" t="s">
        <v>25</v>
      </c>
      <c r="OUL220" s="2" t="s">
        <v>393</v>
      </c>
      <c r="OUM220" s="7">
        <v>-74.044305502618698</v>
      </c>
      <c r="OUN220" s="7">
        <v>4.6804459478222702</v>
      </c>
      <c r="OUO220" s="2" t="s">
        <v>357</v>
      </c>
      <c r="OUP220" s="2" t="s">
        <v>63</v>
      </c>
      <c r="OUQ220" s="2" t="s">
        <v>83</v>
      </c>
      <c r="OUR220" s="2" t="s">
        <v>63</v>
      </c>
      <c r="OUS220" s="24">
        <v>434</v>
      </c>
      <c r="OUT220" s="5">
        <v>46174</v>
      </c>
      <c r="OUU220" s="5">
        <v>46174</v>
      </c>
      <c r="OUV220" s="30">
        <f t="shared" ref="OUV220" si="695">OUU220-OUT220</f>
        <v>0</v>
      </c>
      <c r="OUW220" s="5" t="s">
        <v>317</v>
      </c>
      <c r="OUX220" s="2" t="s">
        <v>22</v>
      </c>
      <c r="OUY220" s="53" t="s">
        <v>334</v>
      </c>
      <c r="OUZ220" s="2" t="s">
        <v>513</v>
      </c>
      <c r="OVA220" s="2" t="s">
        <v>25</v>
      </c>
      <c r="OVB220" s="2" t="s">
        <v>393</v>
      </c>
      <c r="OVC220" s="7">
        <v>-74.044305502618698</v>
      </c>
      <c r="OVD220" s="7">
        <v>4.6804459478222702</v>
      </c>
      <c r="OVE220" s="2" t="s">
        <v>357</v>
      </c>
      <c r="OVF220" s="2" t="s">
        <v>63</v>
      </c>
      <c r="OVG220" s="2" t="s">
        <v>83</v>
      </c>
      <c r="OVH220" s="2" t="s">
        <v>63</v>
      </c>
      <c r="OVI220" s="24">
        <v>434</v>
      </c>
      <c r="OVJ220" s="5">
        <v>46174</v>
      </c>
      <c r="OVK220" s="5">
        <v>46174</v>
      </c>
      <c r="OVL220" s="30">
        <f t="shared" ref="OVL220" si="696">OVK220-OVJ220</f>
        <v>0</v>
      </c>
      <c r="OVM220" s="5" t="s">
        <v>317</v>
      </c>
      <c r="OVN220" s="2" t="s">
        <v>22</v>
      </c>
      <c r="OVO220" s="53" t="s">
        <v>334</v>
      </c>
      <c r="OVP220" s="2" t="s">
        <v>513</v>
      </c>
      <c r="OVQ220" s="2" t="s">
        <v>25</v>
      </c>
      <c r="OVR220" s="2" t="s">
        <v>393</v>
      </c>
      <c r="OVS220" s="7">
        <v>-74.044305502618698</v>
      </c>
      <c r="OVT220" s="7">
        <v>4.6804459478222702</v>
      </c>
      <c r="OVU220" s="2" t="s">
        <v>357</v>
      </c>
      <c r="OVV220" s="2" t="s">
        <v>63</v>
      </c>
      <c r="OVW220" s="2" t="s">
        <v>83</v>
      </c>
      <c r="OVX220" s="2" t="s">
        <v>63</v>
      </c>
      <c r="OVY220" s="24">
        <v>434</v>
      </c>
      <c r="OVZ220" s="5">
        <v>46174</v>
      </c>
      <c r="OWA220" s="5">
        <v>46174</v>
      </c>
      <c r="OWB220" s="30">
        <f t="shared" ref="OWB220" si="697">OWA220-OVZ220</f>
        <v>0</v>
      </c>
      <c r="OWC220" s="5" t="s">
        <v>317</v>
      </c>
      <c r="OWD220" s="2" t="s">
        <v>22</v>
      </c>
      <c r="OWE220" s="53" t="s">
        <v>334</v>
      </c>
      <c r="OWF220" s="2" t="s">
        <v>513</v>
      </c>
      <c r="OWG220" s="2" t="s">
        <v>25</v>
      </c>
      <c r="OWH220" s="2" t="s">
        <v>393</v>
      </c>
      <c r="OWI220" s="7">
        <v>-74.044305502618698</v>
      </c>
      <c r="OWJ220" s="7">
        <v>4.6804459478222702</v>
      </c>
      <c r="OWK220" s="2" t="s">
        <v>357</v>
      </c>
      <c r="OWL220" s="2" t="s">
        <v>63</v>
      </c>
      <c r="OWM220" s="2" t="s">
        <v>83</v>
      </c>
      <c r="OWN220" s="2" t="s">
        <v>63</v>
      </c>
      <c r="OWO220" s="24">
        <v>434</v>
      </c>
      <c r="OWP220" s="5">
        <v>46174</v>
      </c>
      <c r="OWQ220" s="5">
        <v>46174</v>
      </c>
      <c r="OWR220" s="30">
        <f t="shared" ref="OWR220" si="698">OWQ220-OWP220</f>
        <v>0</v>
      </c>
      <c r="OWS220" s="5" t="s">
        <v>317</v>
      </c>
      <c r="OWT220" s="2" t="s">
        <v>22</v>
      </c>
      <c r="OWU220" s="53" t="s">
        <v>334</v>
      </c>
      <c r="OWV220" s="2" t="s">
        <v>513</v>
      </c>
      <c r="OWW220" s="2" t="s">
        <v>25</v>
      </c>
      <c r="OWX220" s="2" t="s">
        <v>393</v>
      </c>
      <c r="OWY220" s="7">
        <v>-74.044305502618698</v>
      </c>
      <c r="OWZ220" s="7">
        <v>4.6804459478222702</v>
      </c>
      <c r="OXA220" s="2" t="s">
        <v>357</v>
      </c>
      <c r="OXB220" s="2" t="s">
        <v>63</v>
      </c>
      <c r="OXC220" s="2" t="s">
        <v>83</v>
      </c>
      <c r="OXD220" s="2" t="s">
        <v>63</v>
      </c>
      <c r="OXE220" s="24">
        <v>434</v>
      </c>
      <c r="OXF220" s="5">
        <v>46174</v>
      </c>
      <c r="OXG220" s="5">
        <v>46174</v>
      </c>
      <c r="OXH220" s="30">
        <f t="shared" ref="OXH220" si="699">OXG220-OXF220</f>
        <v>0</v>
      </c>
      <c r="OXI220" s="5" t="s">
        <v>317</v>
      </c>
      <c r="OXJ220" s="2" t="s">
        <v>22</v>
      </c>
      <c r="OXK220" s="53" t="s">
        <v>334</v>
      </c>
      <c r="OXL220" s="2" t="s">
        <v>513</v>
      </c>
      <c r="OXM220" s="2" t="s">
        <v>25</v>
      </c>
      <c r="OXN220" s="2" t="s">
        <v>393</v>
      </c>
      <c r="OXO220" s="7">
        <v>-74.044305502618698</v>
      </c>
      <c r="OXP220" s="7">
        <v>4.6804459478222702</v>
      </c>
      <c r="OXQ220" s="2" t="s">
        <v>357</v>
      </c>
      <c r="OXR220" s="2" t="s">
        <v>63</v>
      </c>
      <c r="OXS220" s="2" t="s">
        <v>83</v>
      </c>
      <c r="OXT220" s="2" t="s">
        <v>63</v>
      </c>
      <c r="OXU220" s="24">
        <v>434</v>
      </c>
      <c r="OXV220" s="5">
        <v>46174</v>
      </c>
      <c r="OXW220" s="5">
        <v>46174</v>
      </c>
      <c r="OXX220" s="30">
        <f t="shared" ref="OXX220" si="700">OXW220-OXV220</f>
        <v>0</v>
      </c>
      <c r="OXY220" s="5" t="s">
        <v>317</v>
      </c>
      <c r="OXZ220" s="2" t="s">
        <v>22</v>
      </c>
      <c r="OYA220" s="53" t="s">
        <v>334</v>
      </c>
      <c r="OYB220" s="2" t="s">
        <v>513</v>
      </c>
      <c r="OYC220" s="2" t="s">
        <v>25</v>
      </c>
      <c r="OYD220" s="2" t="s">
        <v>393</v>
      </c>
      <c r="OYE220" s="7">
        <v>-74.044305502618698</v>
      </c>
      <c r="OYF220" s="7">
        <v>4.6804459478222702</v>
      </c>
      <c r="OYG220" s="2" t="s">
        <v>357</v>
      </c>
      <c r="OYH220" s="2" t="s">
        <v>63</v>
      </c>
      <c r="OYI220" s="2" t="s">
        <v>83</v>
      </c>
      <c r="OYJ220" s="2" t="s">
        <v>63</v>
      </c>
      <c r="OYK220" s="24">
        <v>434</v>
      </c>
      <c r="OYL220" s="5">
        <v>46174</v>
      </c>
      <c r="OYM220" s="5">
        <v>46174</v>
      </c>
      <c r="OYN220" s="30">
        <f t="shared" ref="OYN220" si="701">OYM220-OYL220</f>
        <v>0</v>
      </c>
      <c r="OYO220" s="5" t="s">
        <v>317</v>
      </c>
      <c r="OYP220" s="2" t="s">
        <v>22</v>
      </c>
      <c r="OYQ220" s="53" t="s">
        <v>334</v>
      </c>
      <c r="OYR220" s="2" t="s">
        <v>513</v>
      </c>
      <c r="OYS220" s="2" t="s">
        <v>25</v>
      </c>
      <c r="OYT220" s="2" t="s">
        <v>393</v>
      </c>
      <c r="OYU220" s="7">
        <v>-74.044305502618698</v>
      </c>
      <c r="OYV220" s="7">
        <v>4.6804459478222702</v>
      </c>
      <c r="OYW220" s="2" t="s">
        <v>357</v>
      </c>
      <c r="OYX220" s="2" t="s">
        <v>63</v>
      </c>
      <c r="OYY220" s="2" t="s">
        <v>83</v>
      </c>
      <c r="OYZ220" s="2" t="s">
        <v>63</v>
      </c>
      <c r="OZA220" s="24">
        <v>434</v>
      </c>
      <c r="OZB220" s="5">
        <v>46174</v>
      </c>
      <c r="OZC220" s="5">
        <v>46174</v>
      </c>
      <c r="OZD220" s="30">
        <f t="shared" ref="OZD220" si="702">OZC220-OZB220</f>
        <v>0</v>
      </c>
      <c r="OZE220" s="5" t="s">
        <v>317</v>
      </c>
      <c r="OZF220" s="2" t="s">
        <v>22</v>
      </c>
      <c r="OZG220" s="53" t="s">
        <v>334</v>
      </c>
      <c r="OZH220" s="2" t="s">
        <v>513</v>
      </c>
      <c r="OZI220" s="2" t="s">
        <v>25</v>
      </c>
      <c r="OZJ220" s="2" t="s">
        <v>393</v>
      </c>
      <c r="OZK220" s="7">
        <v>-74.044305502618698</v>
      </c>
      <c r="OZL220" s="7">
        <v>4.6804459478222702</v>
      </c>
      <c r="OZM220" s="2" t="s">
        <v>357</v>
      </c>
      <c r="OZN220" s="2" t="s">
        <v>63</v>
      </c>
      <c r="OZO220" s="2" t="s">
        <v>83</v>
      </c>
      <c r="OZP220" s="2" t="s">
        <v>63</v>
      </c>
      <c r="OZQ220" s="24">
        <v>434</v>
      </c>
      <c r="OZR220" s="5">
        <v>46174</v>
      </c>
      <c r="OZS220" s="5">
        <v>46174</v>
      </c>
      <c r="OZT220" s="30">
        <f t="shared" ref="OZT220" si="703">OZS220-OZR220</f>
        <v>0</v>
      </c>
      <c r="OZU220" s="5" t="s">
        <v>317</v>
      </c>
      <c r="OZV220" s="2" t="s">
        <v>22</v>
      </c>
      <c r="OZW220" s="53" t="s">
        <v>334</v>
      </c>
      <c r="OZX220" s="2" t="s">
        <v>513</v>
      </c>
      <c r="OZY220" s="2" t="s">
        <v>25</v>
      </c>
      <c r="OZZ220" s="2" t="s">
        <v>393</v>
      </c>
      <c r="PAA220" s="7">
        <v>-74.044305502618698</v>
      </c>
      <c r="PAB220" s="7">
        <v>4.6804459478222702</v>
      </c>
      <c r="PAC220" s="2" t="s">
        <v>357</v>
      </c>
      <c r="PAD220" s="2" t="s">
        <v>63</v>
      </c>
      <c r="PAE220" s="2" t="s">
        <v>83</v>
      </c>
      <c r="PAF220" s="2" t="s">
        <v>63</v>
      </c>
      <c r="PAG220" s="24">
        <v>434</v>
      </c>
      <c r="PAH220" s="5">
        <v>46174</v>
      </c>
      <c r="PAI220" s="5">
        <v>46174</v>
      </c>
      <c r="PAJ220" s="30">
        <f t="shared" ref="PAJ220" si="704">PAI220-PAH220</f>
        <v>0</v>
      </c>
      <c r="PAK220" s="5" t="s">
        <v>317</v>
      </c>
      <c r="PAL220" s="2" t="s">
        <v>22</v>
      </c>
      <c r="PAM220" s="53" t="s">
        <v>334</v>
      </c>
      <c r="PAN220" s="2" t="s">
        <v>513</v>
      </c>
      <c r="PAO220" s="2" t="s">
        <v>25</v>
      </c>
      <c r="PAP220" s="2" t="s">
        <v>393</v>
      </c>
      <c r="PAQ220" s="7">
        <v>-74.044305502618698</v>
      </c>
      <c r="PAR220" s="7">
        <v>4.6804459478222702</v>
      </c>
      <c r="PAS220" s="2" t="s">
        <v>357</v>
      </c>
      <c r="PAT220" s="2" t="s">
        <v>63</v>
      </c>
      <c r="PAU220" s="2" t="s">
        <v>83</v>
      </c>
      <c r="PAV220" s="2" t="s">
        <v>63</v>
      </c>
      <c r="PAW220" s="24">
        <v>434</v>
      </c>
      <c r="PAX220" s="5">
        <v>46174</v>
      </c>
      <c r="PAY220" s="5">
        <v>46174</v>
      </c>
      <c r="PAZ220" s="30">
        <f t="shared" ref="PAZ220" si="705">PAY220-PAX220</f>
        <v>0</v>
      </c>
      <c r="PBA220" s="5" t="s">
        <v>317</v>
      </c>
      <c r="PBB220" s="2" t="s">
        <v>22</v>
      </c>
      <c r="PBC220" s="53" t="s">
        <v>334</v>
      </c>
      <c r="PBD220" s="2" t="s">
        <v>513</v>
      </c>
      <c r="PBE220" s="2" t="s">
        <v>25</v>
      </c>
      <c r="PBF220" s="2" t="s">
        <v>393</v>
      </c>
      <c r="PBG220" s="7">
        <v>-74.044305502618698</v>
      </c>
      <c r="PBH220" s="7">
        <v>4.6804459478222702</v>
      </c>
      <c r="PBI220" s="2" t="s">
        <v>357</v>
      </c>
      <c r="PBJ220" s="2" t="s">
        <v>63</v>
      </c>
      <c r="PBK220" s="2" t="s">
        <v>83</v>
      </c>
      <c r="PBL220" s="2" t="s">
        <v>63</v>
      </c>
      <c r="PBM220" s="24">
        <v>434</v>
      </c>
      <c r="PBN220" s="5">
        <v>46174</v>
      </c>
      <c r="PBO220" s="5">
        <v>46174</v>
      </c>
      <c r="PBP220" s="30">
        <f t="shared" ref="PBP220" si="706">PBO220-PBN220</f>
        <v>0</v>
      </c>
      <c r="PBQ220" s="5" t="s">
        <v>317</v>
      </c>
      <c r="PBR220" s="2" t="s">
        <v>22</v>
      </c>
      <c r="PBS220" s="53" t="s">
        <v>334</v>
      </c>
      <c r="PBT220" s="2" t="s">
        <v>513</v>
      </c>
      <c r="PBU220" s="2" t="s">
        <v>25</v>
      </c>
      <c r="PBV220" s="2" t="s">
        <v>393</v>
      </c>
      <c r="PBW220" s="7">
        <v>-74.044305502618698</v>
      </c>
      <c r="PBX220" s="7">
        <v>4.6804459478222702</v>
      </c>
      <c r="PBY220" s="2" t="s">
        <v>357</v>
      </c>
      <c r="PBZ220" s="2" t="s">
        <v>63</v>
      </c>
      <c r="PCA220" s="2" t="s">
        <v>83</v>
      </c>
      <c r="PCB220" s="2" t="s">
        <v>63</v>
      </c>
      <c r="PCC220" s="24">
        <v>434</v>
      </c>
      <c r="PCD220" s="5">
        <v>46174</v>
      </c>
      <c r="PCE220" s="5">
        <v>46174</v>
      </c>
      <c r="PCF220" s="30">
        <f t="shared" ref="PCF220" si="707">PCE220-PCD220</f>
        <v>0</v>
      </c>
      <c r="PCG220" s="5" t="s">
        <v>317</v>
      </c>
      <c r="PCH220" s="2" t="s">
        <v>22</v>
      </c>
      <c r="PCI220" s="53" t="s">
        <v>334</v>
      </c>
      <c r="PCJ220" s="2" t="s">
        <v>513</v>
      </c>
      <c r="PCK220" s="2" t="s">
        <v>25</v>
      </c>
      <c r="PCL220" s="2" t="s">
        <v>393</v>
      </c>
      <c r="PCM220" s="7">
        <v>-74.044305502618698</v>
      </c>
      <c r="PCN220" s="7">
        <v>4.6804459478222702</v>
      </c>
      <c r="PCO220" s="2" t="s">
        <v>357</v>
      </c>
      <c r="PCP220" s="2" t="s">
        <v>63</v>
      </c>
      <c r="PCQ220" s="2" t="s">
        <v>83</v>
      </c>
      <c r="PCR220" s="2" t="s">
        <v>63</v>
      </c>
      <c r="PCS220" s="24">
        <v>434</v>
      </c>
      <c r="PCT220" s="5">
        <v>46174</v>
      </c>
      <c r="PCU220" s="5">
        <v>46174</v>
      </c>
      <c r="PCV220" s="30">
        <f t="shared" ref="PCV220" si="708">PCU220-PCT220</f>
        <v>0</v>
      </c>
      <c r="PCW220" s="5" t="s">
        <v>317</v>
      </c>
      <c r="PCX220" s="2" t="s">
        <v>22</v>
      </c>
      <c r="PCY220" s="53" t="s">
        <v>334</v>
      </c>
      <c r="PCZ220" s="2" t="s">
        <v>513</v>
      </c>
      <c r="PDA220" s="2" t="s">
        <v>25</v>
      </c>
      <c r="PDB220" s="2" t="s">
        <v>393</v>
      </c>
      <c r="PDC220" s="7">
        <v>-74.044305502618698</v>
      </c>
      <c r="PDD220" s="7">
        <v>4.6804459478222702</v>
      </c>
      <c r="PDE220" s="2" t="s">
        <v>357</v>
      </c>
      <c r="PDF220" s="2" t="s">
        <v>63</v>
      </c>
      <c r="PDG220" s="2" t="s">
        <v>83</v>
      </c>
      <c r="PDH220" s="2" t="s">
        <v>63</v>
      </c>
      <c r="PDI220" s="24">
        <v>434</v>
      </c>
      <c r="PDJ220" s="5">
        <v>46174</v>
      </c>
      <c r="PDK220" s="5">
        <v>46174</v>
      </c>
      <c r="PDL220" s="30">
        <f t="shared" ref="PDL220" si="709">PDK220-PDJ220</f>
        <v>0</v>
      </c>
      <c r="PDM220" s="5" t="s">
        <v>317</v>
      </c>
      <c r="PDN220" s="2" t="s">
        <v>22</v>
      </c>
      <c r="PDO220" s="53" t="s">
        <v>334</v>
      </c>
      <c r="PDP220" s="2" t="s">
        <v>513</v>
      </c>
      <c r="PDQ220" s="2" t="s">
        <v>25</v>
      </c>
      <c r="PDR220" s="2" t="s">
        <v>393</v>
      </c>
      <c r="PDS220" s="7">
        <v>-74.044305502618698</v>
      </c>
      <c r="PDT220" s="7">
        <v>4.6804459478222702</v>
      </c>
      <c r="PDU220" s="2" t="s">
        <v>357</v>
      </c>
      <c r="PDV220" s="2" t="s">
        <v>63</v>
      </c>
      <c r="PDW220" s="2" t="s">
        <v>83</v>
      </c>
      <c r="PDX220" s="2" t="s">
        <v>63</v>
      </c>
      <c r="PDY220" s="24">
        <v>434</v>
      </c>
      <c r="PDZ220" s="5">
        <v>46174</v>
      </c>
      <c r="PEA220" s="5">
        <v>46174</v>
      </c>
      <c r="PEB220" s="30">
        <f t="shared" ref="PEB220" si="710">PEA220-PDZ220</f>
        <v>0</v>
      </c>
      <c r="PEC220" s="5" t="s">
        <v>317</v>
      </c>
      <c r="PED220" s="2" t="s">
        <v>22</v>
      </c>
      <c r="PEE220" s="53" t="s">
        <v>334</v>
      </c>
      <c r="PEF220" s="2" t="s">
        <v>513</v>
      </c>
      <c r="PEG220" s="2" t="s">
        <v>25</v>
      </c>
      <c r="PEH220" s="2" t="s">
        <v>393</v>
      </c>
      <c r="PEI220" s="7">
        <v>-74.044305502618698</v>
      </c>
      <c r="PEJ220" s="7">
        <v>4.6804459478222702</v>
      </c>
      <c r="PEK220" s="2" t="s">
        <v>357</v>
      </c>
      <c r="PEL220" s="2" t="s">
        <v>63</v>
      </c>
      <c r="PEM220" s="2" t="s">
        <v>83</v>
      </c>
      <c r="PEN220" s="2" t="s">
        <v>63</v>
      </c>
      <c r="PEO220" s="24">
        <v>434</v>
      </c>
      <c r="PEP220" s="5">
        <v>46174</v>
      </c>
      <c r="PEQ220" s="5">
        <v>46174</v>
      </c>
      <c r="PER220" s="30">
        <f t="shared" ref="PER220" si="711">PEQ220-PEP220</f>
        <v>0</v>
      </c>
      <c r="PES220" s="5" t="s">
        <v>317</v>
      </c>
      <c r="PET220" s="2" t="s">
        <v>22</v>
      </c>
      <c r="PEU220" s="53" t="s">
        <v>334</v>
      </c>
      <c r="PEV220" s="2" t="s">
        <v>513</v>
      </c>
      <c r="PEW220" s="2" t="s">
        <v>25</v>
      </c>
      <c r="PEX220" s="2" t="s">
        <v>393</v>
      </c>
      <c r="PEY220" s="7">
        <v>-74.044305502618698</v>
      </c>
      <c r="PEZ220" s="7">
        <v>4.6804459478222702</v>
      </c>
      <c r="PFA220" s="2" t="s">
        <v>357</v>
      </c>
      <c r="PFB220" s="2" t="s">
        <v>63</v>
      </c>
      <c r="PFC220" s="2" t="s">
        <v>83</v>
      </c>
      <c r="PFD220" s="2" t="s">
        <v>63</v>
      </c>
      <c r="PFE220" s="24">
        <v>434</v>
      </c>
      <c r="PFF220" s="5">
        <v>46174</v>
      </c>
      <c r="PFG220" s="5">
        <v>46174</v>
      </c>
      <c r="PFH220" s="30">
        <f t="shared" ref="PFH220" si="712">PFG220-PFF220</f>
        <v>0</v>
      </c>
      <c r="PFI220" s="5" t="s">
        <v>317</v>
      </c>
      <c r="PFJ220" s="2" t="s">
        <v>22</v>
      </c>
      <c r="PFK220" s="53" t="s">
        <v>334</v>
      </c>
      <c r="PFL220" s="2" t="s">
        <v>513</v>
      </c>
      <c r="PFM220" s="2" t="s">
        <v>25</v>
      </c>
      <c r="PFN220" s="2" t="s">
        <v>393</v>
      </c>
      <c r="PFO220" s="7">
        <v>-74.044305502618698</v>
      </c>
      <c r="PFP220" s="7">
        <v>4.6804459478222702</v>
      </c>
      <c r="PFQ220" s="2" t="s">
        <v>357</v>
      </c>
      <c r="PFR220" s="2" t="s">
        <v>63</v>
      </c>
      <c r="PFS220" s="2" t="s">
        <v>83</v>
      </c>
      <c r="PFT220" s="2" t="s">
        <v>63</v>
      </c>
      <c r="PFU220" s="24">
        <v>434</v>
      </c>
      <c r="PFV220" s="5">
        <v>46174</v>
      </c>
      <c r="PFW220" s="5">
        <v>46174</v>
      </c>
      <c r="PFX220" s="30">
        <f t="shared" ref="PFX220" si="713">PFW220-PFV220</f>
        <v>0</v>
      </c>
      <c r="PFY220" s="5" t="s">
        <v>317</v>
      </c>
      <c r="PFZ220" s="2" t="s">
        <v>22</v>
      </c>
      <c r="PGA220" s="53" t="s">
        <v>334</v>
      </c>
      <c r="PGB220" s="2" t="s">
        <v>513</v>
      </c>
      <c r="PGC220" s="2" t="s">
        <v>25</v>
      </c>
      <c r="PGD220" s="2" t="s">
        <v>393</v>
      </c>
      <c r="PGE220" s="7">
        <v>-74.044305502618698</v>
      </c>
      <c r="PGF220" s="7">
        <v>4.6804459478222702</v>
      </c>
      <c r="PGG220" s="2" t="s">
        <v>357</v>
      </c>
      <c r="PGH220" s="2" t="s">
        <v>63</v>
      </c>
      <c r="PGI220" s="2" t="s">
        <v>83</v>
      </c>
      <c r="PGJ220" s="2" t="s">
        <v>63</v>
      </c>
      <c r="PGK220" s="24">
        <v>434</v>
      </c>
      <c r="PGL220" s="5">
        <v>46174</v>
      </c>
      <c r="PGM220" s="5">
        <v>46174</v>
      </c>
      <c r="PGN220" s="30">
        <f t="shared" ref="PGN220" si="714">PGM220-PGL220</f>
        <v>0</v>
      </c>
      <c r="PGO220" s="5" t="s">
        <v>317</v>
      </c>
      <c r="PGP220" s="2" t="s">
        <v>22</v>
      </c>
      <c r="PGQ220" s="53" t="s">
        <v>334</v>
      </c>
      <c r="PGR220" s="2" t="s">
        <v>513</v>
      </c>
      <c r="PGS220" s="2" t="s">
        <v>25</v>
      </c>
      <c r="PGT220" s="2" t="s">
        <v>393</v>
      </c>
      <c r="PGU220" s="7">
        <v>-74.044305502618698</v>
      </c>
      <c r="PGV220" s="7">
        <v>4.6804459478222702</v>
      </c>
      <c r="PGW220" s="2" t="s">
        <v>357</v>
      </c>
      <c r="PGX220" s="2" t="s">
        <v>63</v>
      </c>
      <c r="PGY220" s="2" t="s">
        <v>83</v>
      </c>
      <c r="PGZ220" s="2" t="s">
        <v>63</v>
      </c>
      <c r="PHA220" s="24">
        <v>434</v>
      </c>
      <c r="PHB220" s="5">
        <v>46174</v>
      </c>
      <c r="PHC220" s="5">
        <v>46174</v>
      </c>
      <c r="PHD220" s="30">
        <f t="shared" ref="PHD220" si="715">PHC220-PHB220</f>
        <v>0</v>
      </c>
      <c r="PHE220" s="5" t="s">
        <v>317</v>
      </c>
      <c r="PHF220" s="2" t="s">
        <v>22</v>
      </c>
      <c r="PHG220" s="53" t="s">
        <v>334</v>
      </c>
      <c r="PHH220" s="2" t="s">
        <v>513</v>
      </c>
      <c r="PHI220" s="2" t="s">
        <v>25</v>
      </c>
      <c r="PHJ220" s="2" t="s">
        <v>393</v>
      </c>
      <c r="PHK220" s="7">
        <v>-74.044305502618698</v>
      </c>
      <c r="PHL220" s="7">
        <v>4.6804459478222702</v>
      </c>
      <c r="PHM220" s="2" t="s">
        <v>357</v>
      </c>
      <c r="PHN220" s="2" t="s">
        <v>63</v>
      </c>
      <c r="PHO220" s="2" t="s">
        <v>83</v>
      </c>
      <c r="PHP220" s="2" t="s">
        <v>63</v>
      </c>
      <c r="PHQ220" s="24">
        <v>434</v>
      </c>
      <c r="PHR220" s="5">
        <v>46174</v>
      </c>
      <c r="PHS220" s="5">
        <v>46174</v>
      </c>
      <c r="PHT220" s="30">
        <f t="shared" ref="PHT220" si="716">PHS220-PHR220</f>
        <v>0</v>
      </c>
      <c r="PHU220" s="5" t="s">
        <v>317</v>
      </c>
      <c r="PHV220" s="2" t="s">
        <v>22</v>
      </c>
      <c r="PHW220" s="53" t="s">
        <v>334</v>
      </c>
      <c r="PHX220" s="2" t="s">
        <v>513</v>
      </c>
      <c r="PHY220" s="2" t="s">
        <v>25</v>
      </c>
      <c r="PHZ220" s="2" t="s">
        <v>393</v>
      </c>
      <c r="PIA220" s="7">
        <v>-74.044305502618698</v>
      </c>
      <c r="PIB220" s="7">
        <v>4.6804459478222702</v>
      </c>
      <c r="PIC220" s="2" t="s">
        <v>357</v>
      </c>
      <c r="PID220" s="2" t="s">
        <v>63</v>
      </c>
      <c r="PIE220" s="2" t="s">
        <v>83</v>
      </c>
      <c r="PIF220" s="2" t="s">
        <v>63</v>
      </c>
      <c r="PIG220" s="24">
        <v>434</v>
      </c>
      <c r="PIH220" s="5">
        <v>46174</v>
      </c>
      <c r="PII220" s="5">
        <v>46174</v>
      </c>
      <c r="PIJ220" s="30">
        <f t="shared" ref="PIJ220" si="717">PII220-PIH220</f>
        <v>0</v>
      </c>
      <c r="PIK220" s="5" t="s">
        <v>317</v>
      </c>
      <c r="PIL220" s="2" t="s">
        <v>22</v>
      </c>
      <c r="PIM220" s="53" t="s">
        <v>334</v>
      </c>
      <c r="PIN220" s="2" t="s">
        <v>513</v>
      </c>
      <c r="PIO220" s="2" t="s">
        <v>25</v>
      </c>
      <c r="PIP220" s="2" t="s">
        <v>393</v>
      </c>
      <c r="PIQ220" s="7">
        <v>-74.044305502618698</v>
      </c>
      <c r="PIR220" s="7">
        <v>4.6804459478222702</v>
      </c>
      <c r="PIS220" s="2" t="s">
        <v>357</v>
      </c>
      <c r="PIT220" s="2" t="s">
        <v>63</v>
      </c>
      <c r="PIU220" s="2" t="s">
        <v>83</v>
      </c>
      <c r="PIV220" s="2" t="s">
        <v>63</v>
      </c>
      <c r="PIW220" s="24">
        <v>434</v>
      </c>
      <c r="PIX220" s="5">
        <v>46174</v>
      </c>
      <c r="PIY220" s="5">
        <v>46174</v>
      </c>
      <c r="PIZ220" s="30">
        <f t="shared" ref="PIZ220" si="718">PIY220-PIX220</f>
        <v>0</v>
      </c>
      <c r="PJA220" s="5" t="s">
        <v>317</v>
      </c>
      <c r="PJB220" s="2" t="s">
        <v>22</v>
      </c>
      <c r="PJC220" s="53" t="s">
        <v>334</v>
      </c>
      <c r="PJD220" s="2" t="s">
        <v>513</v>
      </c>
      <c r="PJE220" s="2" t="s">
        <v>25</v>
      </c>
      <c r="PJF220" s="2" t="s">
        <v>393</v>
      </c>
      <c r="PJG220" s="7">
        <v>-74.044305502618698</v>
      </c>
      <c r="PJH220" s="7">
        <v>4.6804459478222702</v>
      </c>
      <c r="PJI220" s="2" t="s">
        <v>357</v>
      </c>
      <c r="PJJ220" s="2" t="s">
        <v>63</v>
      </c>
      <c r="PJK220" s="2" t="s">
        <v>83</v>
      </c>
      <c r="PJL220" s="2" t="s">
        <v>63</v>
      </c>
      <c r="PJM220" s="24">
        <v>434</v>
      </c>
      <c r="PJN220" s="5">
        <v>46174</v>
      </c>
      <c r="PJO220" s="5">
        <v>46174</v>
      </c>
      <c r="PJP220" s="30">
        <f t="shared" ref="PJP220" si="719">PJO220-PJN220</f>
        <v>0</v>
      </c>
      <c r="PJQ220" s="5" t="s">
        <v>317</v>
      </c>
      <c r="PJR220" s="2" t="s">
        <v>22</v>
      </c>
      <c r="PJS220" s="53" t="s">
        <v>334</v>
      </c>
      <c r="PJT220" s="2" t="s">
        <v>513</v>
      </c>
      <c r="PJU220" s="2" t="s">
        <v>25</v>
      </c>
      <c r="PJV220" s="2" t="s">
        <v>393</v>
      </c>
      <c r="PJW220" s="7">
        <v>-74.044305502618698</v>
      </c>
      <c r="PJX220" s="7">
        <v>4.6804459478222702</v>
      </c>
      <c r="PJY220" s="2" t="s">
        <v>357</v>
      </c>
      <c r="PJZ220" s="2" t="s">
        <v>63</v>
      </c>
      <c r="PKA220" s="2" t="s">
        <v>83</v>
      </c>
      <c r="PKB220" s="2" t="s">
        <v>63</v>
      </c>
      <c r="PKC220" s="24">
        <v>434</v>
      </c>
      <c r="PKD220" s="5">
        <v>46174</v>
      </c>
      <c r="PKE220" s="5">
        <v>46174</v>
      </c>
      <c r="PKF220" s="30">
        <f t="shared" ref="PKF220" si="720">PKE220-PKD220</f>
        <v>0</v>
      </c>
      <c r="PKG220" s="5" t="s">
        <v>317</v>
      </c>
      <c r="PKH220" s="2" t="s">
        <v>22</v>
      </c>
      <c r="PKI220" s="53" t="s">
        <v>334</v>
      </c>
      <c r="PKJ220" s="2" t="s">
        <v>513</v>
      </c>
      <c r="PKK220" s="2" t="s">
        <v>25</v>
      </c>
      <c r="PKL220" s="2" t="s">
        <v>393</v>
      </c>
      <c r="PKM220" s="7">
        <v>-74.044305502618698</v>
      </c>
      <c r="PKN220" s="7">
        <v>4.6804459478222702</v>
      </c>
      <c r="PKO220" s="2" t="s">
        <v>357</v>
      </c>
      <c r="PKP220" s="2" t="s">
        <v>63</v>
      </c>
      <c r="PKQ220" s="2" t="s">
        <v>83</v>
      </c>
      <c r="PKR220" s="2" t="s">
        <v>63</v>
      </c>
      <c r="PKS220" s="24">
        <v>434</v>
      </c>
      <c r="PKT220" s="5">
        <v>46174</v>
      </c>
      <c r="PKU220" s="5">
        <v>46174</v>
      </c>
      <c r="PKV220" s="30">
        <f t="shared" ref="PKV220" si="721">PKU220-PKT220</f>
        <v>0</v>
      </c>
      <c r="PKW220" s="5" t="s">
        <v>317</v>
      </c>
      <c r="PKX220" s="2" t="s">
        <v>22</v>
      </c>
      <c r="PKY220" s="53" t="s">
        <v>334</v>
      </c>
      <c r="PKZ220" s="2" t="s">
        <v>513</v>
      </c>
      <c r="PLA220" s="2" t="s">
        <v>25</v>
      </c>
      <c r="PLB220" s="2" t="s">
        <v>393</v>
      </c>
      <c r="PLC220" s="7">
        <v>-74.044305502618698</v>
      </c>
      <c r="PLD220" s="7">
        <v>4.6804459478222702</v>
      </c>
      <c r="PLE220" s="2" t="s">
        <v>357</v>
      </c>
      <c r="PLF220" s="2" t="s">
        <v>63</v>
      </c>
      <c r="PLG220" s="2" t="s">
        <v>83</v>
      </c>
      <c r="PLH220" s="2" t="s">
        <v>63</v>
      </c>
      <c r="PLI220" s="24">
        <v>434</v>
      </c>
      <c r="PLJ220" s="5">
        <v>46174</v>
      </c>
      <c r="PLK220" s="5">
        <v>46174</v>
      </c>
      <c r="PLL220" s="30">
        <f t="shared" ref="PLL220" si="722">PLK220-PLJ220</f>
        <v>0</v>
      </c>
      <c r="PLM220" s="5" t="s">
        <v>317</v>
      </c>
      <c r="PLN220" s="2" t="s">
        <v>22</v>
      </c>
      <c r="PLO220" s="53" t="s">
        <v>334</v>
      </c>
      <c r="PLP220" s="2" t="s">
        <v>513</v>
      </c>
      <c r="PLQ220" s="2" t="s">
        <v>25</v>
      </c>
      <c r="PLR220" s="2" t="s">
        <v>393</v>
      </c>
      <c r="PLS220" s="7">
        <v>-74.044305502618698</v>
      </c>
      <c r="PLT220" s="7">
        <v>4.6804459478222702</v>
      </c>
      <c r="PLU220" s="2" t="s">
        <v>357</v>
      </c>
      <c r="PLV220" s="2" t="s">
        <v>63</v>
      </c>
      <c r="PLW220" s="2" t="s">
        <v>83</v>
      </c>
      <c r="PLX220" s="2" t="s">
        <v>63</v>
      </c>
      <c r="PLY220" s="24">
        <v>434</v>
      </c>
      <c r="PLZ220" s="5">
        <v>46174</v>
      </c>
      <c r="PMA220" s="5">
        <v>46174</v>
      </c>
      <c r="PMB220" s="30">
        <f t="shared" ref="PMB220" si="723">PMA220-PLZ220</f>
        <v>0</v>
      </c>
      <c r="PMC220" s="5" t="s">
        <v>317</v>
      </c>
      <c r="PMD220" s="2" t="s">
        <v>22</v>
      </c>
      <c r="PME220" s="53" t="s">
        <v>334</v>
      </c>
      <c r="PMF220" s="2" t="s">
        <v>513</v>
      </c>
      <c r="PMG220" s="2" t="s">
        <v>25</v>
      </c>
      <c r="PMH220" s="2" t="s">
        <v>393</v>
      </c>
      <c r="PMI220" s="7">
        <v>-74.044305502618698</v>
      </c>
      <c r="PMJ220" s="7">
        <v>4.6804459478222702</v>
      </c>
      <c r="PMK220" s="2" t="s">
        <v>357</v>
      </c>
      <c r="PML220" s="2" t="s">
        <v>63</v>
      </c>
      <c r="PMM220" s="2" t="s">
        <v>83</v>
      </c>
      <c r="PMN220" s="2" t="s">
        <v>63</v>
      </c>
      <c r="PMO220" s="24">
        <v>434</v>
      </c>
      <c r="PMP220" s="5">
        <v>46174</v>
      </c>
      <c r="PMQ220" s="5">
        <v>46174</v>
      </c>
      <c r="PMR220" s="30">
        <f t="shared" ref="PMR220" si="724">PMQ220-PMP220</f>
        <v>0</v>
      </c>
      <c r="PMS220" s="5" t="s">
        <v>317</v>
      </c>
      <c r="PMT220" s="2" t="s">
        <v>22</v>
      </c>
      <c r="PMU220" s="53" t="s">
        <v>334</v>
      </c>
      <c r="PMV220" s="2" t="s">
        <v>513</v>
      </c>
      <c r="PMW220" s="2" t="s">
        <v>25</v>
      </c>
      <c r="PMX220" s="2" t="s">
        <v>393</v>
      </c>
      <c r="PMY220" s="7">
        <v>-74.044305502618698</v>
      </c>
      <c r="PMZ220" s="7">
        <v>4.6804459478222702</v>
      </c>
      <c r="PNA220" s="2" t="s">
        <v>357</v>
      </c>
      <c r="PNB220" s="2" t="s">
        <v>63</v>
      </c>
      <c r="PNC220" s="2" t="s">
        <v>83</v>
      </c>
      <c r="PND220" s="2" t="s">
        <v>63</v>
      </c>
      <c r="PNE220" s="24">
        <v>434</v>
      </c>
      <c r="PNF220" s="5">
        <v>46174</v>
      </c>
      <c r="PNG220" s="5">
        <v>46174</v>
      </c>
      <c r="PNH220" s="30">
        <f t="shared" ref="PNH220" si="725">PNG220-PNF220</f>
        <v>0</v>
      </c>
      <c r="PNI220" s="5" t="s">
        <v>317</v>
      </c>
      <c r="PNJ220" s="2" t="s">
        <v>22</v>
      </c>
      <c r="PNK220" s="53" t="s">
        <v>334</v>
      </c>
      <c r="PNL220" s="2" t="s">
        <v>513</v>
      </c>
      <c r="PNM220" s="2" t="s">
        <v>25</v>
      </c>
      <c r="PNN220" s="2" t="s">
        <v>393</v>
      </c>
      <c r="PNO220" s="7">
        <v>-74.044305502618698</v>
      </c>
      <c r="PNP220" s="7">
        <v>4.6804459478222702</v>
      </c>
      <c r="PNQ220" s="2" t="s">
        <v>357</v>
      </c>
      <c r="PNR220" s="2" t="s">
        <v>63</v>
      </c>
      <c r="PNS220" s="2" t="s">
        <v>83</v>
      </c>
      <c r="PNT220" s="2" t="s">
        <v>63</v>
      </c>
      <c r="PNU220" s="24">
        <v>434</v>
      </c>
      <c r="PNV220" s="5">
        <v>46174</v>
      </c>
      <c r="PNW220" s="5">
        <v>46174</v>
      </c>
      <c r="PNX220" s="30">
        <f t="shared" ref="PNX220" si="726">PNW220-PNV220</f>
        <v>0</v>
      </c>
      <c r="PNY220" s="5" t="s">
        <v>317</v>
      </c>
      <c r="PNZ220" s="2" t="s">
        <v>22</v>
      </c>
      <c r="POA220" s="53" t="s">
        <v>334</v>
      </c>
      <c r="POB220" s="2" t="s">
        <v>513</v>
      </c>
      <c r="POC220" s="2" t="s">
        <v>25</v>
      </c>
      <c r="POD220" s="2" t="s">
        <v>393</v>
      </c>
      <c r="POE220" s="7">
        <v>-74.044305502618698</v>
      </c>
      <c r="POF220" s="7">
        <v>4.6804459478222702</v>
      </c>
      <c r="POG220" s="2" t="s">
        <v>357</v>
      </c>
      <c r="POH220" s="2" t="s">
        <v>63</v>
      </c>
      <c r="POI220" s="2" t="s">
        <v>83</v>
      </c>
      <c r="POJ220" s="2" t="s">
        <v>63</v>
      </c>
      <c r="POK220" s="24">
        <v>434</v>
      </c>
      <c r="POL220" s="5">
        <v>46174</v>
      </c>
      <c r="POM220" s="5">
        <v>46174</v>
      </c>
      <c r="PON220" s="30">
        <f t="shared" ref="PON220" si="727">POM220-POL220</f>
        <v>0</v>
      </c>
      <c r="POO220" s="5" t="s">
        <v>317</v>
      </c>
      <c r="POP220" s="2" t="s">
        <v>22</v>
      </c>
      <c r="POQ220" s="53" t="s">
        <v>334</v>
      </c>
      <c r="POR220" s="2" t="s">
        <v>513</v>
      </c>
      <c r="POS220" s="2" t="s">
        <v>25</v>
      </c>
      <c r="POT220" s="2" t="s">
        <v>393</v>
      </c>
      <c r="POU220" s="7">
        <v>-74.044305502618698</v>
      </c>
      <c r="POV220" s="7">
        <v>4.6804459478222702</v>
      </c>
      <c r="POW220" s="2" t="s">
        <v>357</v>
      </c>
      <c r="POX220" s="2" t="s">
        <v>63</v>
      </c>
      <c r="POY220" s="2" t="s">
        <v>83</v>
      </c>
      <c r="POZ220" s="2" t="s">
        <v>63</v>
      </c>
      <c r="PPA220" s="24">
        <v>434</v>
      </c>
      <c r="PPB220" s="5">
        <v>46174</v>
      </c>
      <c r="PPC220" s="5">
        <v>46174</v>
      </c>
      <c r="PPD220" s="30">
        <f t="shared" ref="PPD220" si="728">PPC220-PPB220</f>
        <v>0</v>
      </c>
      <c r="PPE220" s="5" t="s">
        <v>317</v>
      </c>
      <c r="PPF220" s="2" t="s">
        <v>22</v>
      </c>
      <c r="PPG220" s="53" t="s">
        <v>334</v>
      </c>
      <c r="PPH220" s="2" t="s">
        <v>513</v>
      </c>
      <c r="PPI220" s="2" t="s">
        <v>25</v>
      </c>
      <c r="PPJ220" s="2" t="s">
        <v>393</v>
      </c>
      <c r="PPK220" s="7">
        <v>-74.044305502618698</v>
      </c>
      <c r="PPL220" s="7">
        <v>4.6804459478222702</v>
      </c>
      <c r="PPM220" s="2" t="s">
        <v>357</v>
      </c>
      <c r="PPN220" s="2" t="s">
        <v>63</v>
      </c>
      <c r="PPO220" s="2" t="s">
        <v>83</v>
      </c>
      <c r="PPP220" s="2" t="s">
        <v>63</v>
      </c>
      <c r="PPQ220" s="24">
        <v>434</v>
      </c>
      <c r="PPR220" s="5">
        <v>46174</v>
      </c>
      <c r="PPS220" s="5">
        <v>46174</v>
      </c>
      <c r="PPT220" s="30">
        <f t="shared" ref="PPT220" si="729">PPS220-PPR220</f>
        <v>0</v>
      </c>
      <c r="PPU220" s="5" t="s">
        <v>317</v>
      </c>
      <c r="PPV220" s="2" t="s">
        <v>22</v>
      </c>
      <c r="PPW220" s="53" t="s">
        <v>334</v>
      </c>
      <c r="PPX220" s="2" t="s">
        <v>513</v>
      </c>
      <c r="PPY220" s="2" t="s">
        <v>25</v>
      </c>
      <c r="PPZ220" s="2" t="s">
        <v>393</v>
      </c>
      <c r="PQA220" s="7">
        <v>-74.044305502618698</v>
      </c>
      <c r="PQB220" s="7">
        <v>4.6804459478222702</v>
      </c>
      <c r="PQC220" s="2" t="s">
        <v>357</v>
      </c>
      <c r="PQD220" s="2" t="s">
        <v>63</v>
      </c>
      <c r="PQE220" s="2" t="s">
        <v>83</v>
      </c>
      <c r="PQF220" s="2" t="s">
        <v>63</v>
      </c>
      <c r="PQG220" s="24">
        <v>434</v>
      </c>
      <c r="PQH220" s="5">
        <v>46174</v>
      </c>
      <c r="PQI220" s="5">
        <v>46174</v>
      </c>
      <c r="PQJ220" s="30">
        <f t="shared" ref="PQJ220" si="730">PQI220-PQH220</f>
        <v>0</v>
      </c>
      <c r="PQK220" s="5" t="s">
        <v>317</v>
      </c>
      <c r="PQL220" s="2" t="s">
        <v>22</v>
      </c>
      <c r="PQM220" s="53" t="s">
        <v>334</v>
      </c>
      <c r="PQN220" s="2" t="s">
        <v>513</v>
      </c>
      <c r="PQO220" s="2" t="s">
        <v>25</v>
      </c>
      <c r="PQP220" s="2" t="s">
        <v>393</v>
      </c>
      <c r="PQQ220" s="7">
        <v>-74.044305502618698</v>
      </c>
      <c r="PQR220" s="7">
        <v>4.6804459478222702</v>
      </c>
      <c r="PQS220" s="2" t="s">
        <v>357</v>
      </c>
      <c r="PQT220" s="2" t="s">
        <v>63</v>
      </c>
      <c r="PQU220" s="2" t="s">
        <v>83</v>
      </c>
      <c r="PQV220" s="2" t="s">
        <v>63</v>
      </c>
      <c r="PQW220" s="24">
        <v>434</v>
      </c>
      <c r="PQX220" s="5">
        <v>46174</v>
      </c>
      <c r="PQY220" s="5">
        <v>46174</v>
      </c>
      <c r="PQZ220" s="30">
        <f t="shared" ref="PQZ220" si="731">PQY220-PQX220</f>
        <v>0</v>
      </c>
      <c r="PRA220" s="5" t="s">
        <v>317</v>
      </c>
      <c r="PRB220" s="2" t="s">
        <v>22</v>
      </c>
      <c r="PRC220" s="53" t="s">
        <v>334</v>
      </c>
      <c r="PRD220" s="2" t="s">
        <v>513</v>
      </c>
      <c r="PRE220" s="2" t="s">
        <v>25</v>
      </c>
      <c r="PRF220" s="2" t="s">
        <v>393</v>
      </c>
      <c r="PRG220" s="7">
        <v>-74.044305502618698</v>
      </c>
      <c r="PRH220" s="7">
        <v>4.6804459478222702</v>
      </c>
      <c r="PRI220" s="2" t="s">
        <v>357</v>
      </c>
      <c r="PRJ220" s="2" t="s">
        <v>63</v>
      </c>
      <c r="PRK220" s="2" t="s">
        <v>83</v>
      </c>
      <c r="PRL220" s="2" t="s">
        <v>63</v>
      </c>
      <c r="PRM220" s="24">
        <v>434</v>
      </c>
      <c r="PRN220" s="5">
        <v>46174</v>
      </c>
      <c r="PRO220" s="5">
        <v>46174</v>
      </c>
      <c r="PRP220" s="30">
        <f t="shared" ref="PRP220" si="732">PRO220-PRN220</f>
        <v>0</v>
      </c>
      <c r="PRQ220" s="5" t="s">
        <v>317</v>
      </c>
      <c r="PRR220" s="2" t="s">
        <v>22</v>
      </c>
      <c r="PRS220" s="53" t="s">
        <v>334</v>
      </c>
      <c r="PRT220" s="2" t="s">
        <v>513</v>
      </c>
      <c r="PRU220" s="2" t="s">
        <v>25</v>
      </c>
      <c r="PRV220" s="2" t="s">
        <v>393</v>
      </c>
      <c r="PRW220" s="7">
        <v>-74.044305502618698</v>
      </c>
      <c r="PRX220" s="7">
        <v>4.6804459478222702</v>
      </c>
      <c r="PRY220" s="2" t="s">
        <v>357</v>
      </c>
      <c r="PRZ220" s="2" t="s">
        <v>63</v>
      </c>
      <c r="PSA220" s="2" t="s">
        <v>83</v>
      </c>
      <c r="PSB220" s="2" t="s">
        <v>63</v>
      </c>
      <c r="PSC220" s="24">
        <v>434</v>
      </c>
      <c r="PSD220" s="5">
        <v>46174</v>
      </c>
      <c r="PSE220" s="5">
        <v>46174</v>
      </c>
      <c r="PSF220" s="30">
        <f t="shared" ref="PSF220" si="733">PSE220-PSD220</f>
        <v>0</v>
      </c>
      <c r="PSG220" s="5" t="s">
        <v>317</v>
      </c>
      <c r="PSH220" s="2" t="s">
        <v>22</v>
      </c>
      <c r="PSI220" s="53" t="s">
        <v>334</v>
      </c>
      <c r="PSJ220" s="2" t="s">
        <v>513</v>
      </c>
      <c r="PSK220" s="2" t="s">
        <v>25</v>
      </c>
      <c r="PSL220" s="2" t="s">
        <v>393</v>
      </c>
      <c r="PSM220" s="7">
        <v>-74.044305502618698</v>
      </c>
      <c r="PSN220" s="7">
        <v>4.6804459478222702</v>
      </c>
      <c r="PSO220" s="2" t="s">
        <v>357</v>
      </c>
      <c r="PSP220" s="2" t="s">
        <v>63</v>
      </c>
      <c r="PSQ220" s="2" t="s">
        <v>83</v>
      </c>
      <c r="PSR220" s="2" t="s">
        <v>63</v>
      </c>
      <c r="PSS220" s="24">
        <v>434</v>
      </c>
      <c r="PST220" s="5">
        <v>46174</v>
      </c>
      <c r="PSU220" s="5">
        <v>46174</v>
      </c>
      <c r="PSV220" s="30">
        <f t="shared" ref="PSV220" si="734">PSU220-PST220</f>
        <v>0</v>
      </c>
      <c r="PSW220" s="5" t="s">
        <v>317</v>
      </c>
      <c r="PSX220" s="2" t="s">
        <v>22</v>
      </c>
      <c r="PSY220" s="53" t="s">
        <v>334</v>
      </c>
      <c r="PSZ220" s="2" t="s">
        <v>513</v>
      </c>
      <c r="PTA220" s="2" t="s">
        <v>25</v>
      </c>
      <c r="PTB220" s="2" t="s">
        <v>393</v>
      </c>
      <c r="PTC220" s="7">
        <v>-74.044305502618698</v>
      </c>
      <c r="PTD220" s="7">
        <v>4.6804459478222702</v>
      </c>
      <c r="PTE220" s="2" t="s">
        <v>357</v>
      </c>
      <c r="PTF220" s="2" t="s">
        <v>63</v>
      </c>
      <c r="PTG220" s="2" t="s">
        <v>83</v>
      </c>
      <c r="PTH220" s="2" t="s">
        <v>63</v>
      </c>
      <c r="PTI220" s="24">
        <v>434</v>
      </c>
      <c r="PTJ220" s="5">
        <v>46174</v>
      </c>
      <c r="PTK220" s="5">
        <v>46174</v>
      </c>
      <c r="PTL220" s="30">
        <f t="shared" ref="PTL220" si="735">PTK220-PTJ220</f>
        <v>0</v>
      </c>
      <c r="PTM220" s="5" t="s">
        <v>317</v>
      </c>
      <c r="PTN220" s="2" t="s">
        <v>22</v>
      </c>
      <c r="PTO220" s="53" t="s">
        <v>334</v>
      </c>
      <c r="PTP220" s="2" t="s">
        <v>513</v>
      </c>
      <c r="PTQ220" s="2" t="s">
        <v>25</v>
      </c>
      <c r="PTR220" s="2" t="s">
        <v>393</v>
      </c>
      <c r="PTS220" s="7">
        <v>-74.044305502618698</v>
      </c>
      <c r="PTT220" s="7">
        <v>4.6804459478222702</v>
      </c>
      <c r="PTU220" s="2" t="s">
        <v>357</v>
      </c>
      <c r="PTV220" s="2" t="s">
        <v>63</v>
      </c>
      <c r="PTW220" s="2" t="s">
        <v>83</v>
      </c>
      <c r="PTX220" s="2" t="s">
        <v>63</v>
      </c>
      <c r="PTY220" s="24">
        <v>434</v>
      </c>
      <c r="PTZ220" s="5">
        <v>46174</v>
      </c>
      <c r="PUA220" s="5">
        <v>46174</v>
      </c>
      <c r="PUB220" s="30">
        <f t="shared" ref="PUB220" si="736">PUA220-PTZ220</f>
        <v>0</v>
      </c>
      <c r="PUC220" s="5" t="s">
        <v>317</v>
      </c>
      <c r="PUD220" s="2" t="s">
        <v>22</v>
      </c>
      <c r="PUE220" s="53" t="s">
        <v>334</v>
      </c>
      <c r="PUF220" s="2" t="s">
        <v>513</v>
      </c>
      <c r="PUG220" s="2" t="s">
        <v>25</v>
      </c>
      <c r="PUH220" s="2" t="s">
        <v>393</v>
      </c>
      <c r="PUI220" s="7">
        <v>-74.044305502618698</v>
      </c>
      <c r="PUJ220" s="7">
        <v>4.6804459478222702</v>
      </c>
      <c r="PUK220" s="2" t="s">
        <v>357</v>
      </c>
      <c r="PUL220" s="2" t="s">
        <v>63</v>
      </c>
      <c r="PUM220" s="2" t="s">
        <v>83</v>
      </c>
      <c r="PUN220" s="2" t="s">
        <v>63</v>
      </c>
      <c r="PUO220" s="24">
        <v>434</v>
      </c>
      <c r="PUP220" s="5">
        <v>46174</v>
      </c>
      <c r="PUQ220" s="5">
        <v>46174</v>
      </c>
      <c r="PUR220" s="30">
        <f t="shared" ref="PUR220" si="737">PUQ220-PUP220</f>
        <v>0</v>
      </c>
      <c r="PUS220" s="5" t="s">
        <v>317</v>
      </c>
      <c r="PUT220" s="2" t="s">
        <v>22</v>
      </c>
      <c r="PUU220" s="53" t="s">
        <v>334</v>
      </c>
      <c r="PUV220" s="2" t="s">
        <v>513</v>
      </c>
      <c r="PUW220" s="2" t="s">
        <v>25</v>
      </c>
      <c r="PUX220" s="2" t="s">
        <v>393</v>
      </c>
      <c r="PUY220" s="7">
        <v>-74.044305502618698</v>
      </c>
      <c r="PUZ220" s="7">
        <v>4.6804459478222702</v>
      </c>
      <c r="PVA220" s="2" t="s">
        <v>357</v>
      </c>
      <c r="PVB220" s="2" t="s">
        <v>63</v>
      </c>
      <c r="PVC220" s="2" t="s">
        <v>83</v>
      </c>
      <c r="PVD220" s="2" t="s">
        <v>63</v>
      </c>
      <c r="PVE220" s="24">
        <v>434</v>
      </c>
      <c r="PVF220" s="5">
        <v>46174</v>
      </c>
      <c r="PVG220" s="5">
        <v>46174</v>
      </c>
      <c r="PVH220" s="30">
        <f t="shared" ref="PVH220" si="738">PVG220-PVF220</f>
        <v>0</v>
      </c>
      <c r="PVI220" s="5" t="s">
        <v>317</v>
      </c>
      <c r="PVJ220" s="2" t="s">
        <v>22</v>
      </c>
      <c r="PVK220" s="53" t="s">
        <v>334</v>
      </c>
      <c r="PVL220" s="2" t="s">
        <v>513</v>
      </c>
      <c r="PVM220" s="2" t="s">
        <v>25</v>
      </c>
      <c r="PVN220" s="2" t="s">
        <v>393</v>
      </c>
      <c r="PVO220" s="7">
        <v>-74.044305502618698</v>
      </c>
      <c r="PVP220" s="7">
        <v>4.6804459478222702</v>
      </c>
      <c r="PVQ220" s="2" t="s">
        <v>357</v>
      </c>
      <c r="PVR220" s="2" t="s">
        <v>63</v>
      </c>
      <c r="PVS220" s="2" t="s">
        <v>83</v>
      </c>
      <c r="PVT220" s="2" t="s">
        <v>63</v>
      </c>
      <c r="PVU220" s="24">
        <v>434</v>
      </c>
      <c r="PVV220" s="5">
        <v>46174</v>
      </c>
      <c r="PVW220" s="5">
        <v>46174</v>
      </c>
      <c r="PVX220" s="30">
        <f t="shared" ref="PVX220" si="739">PVW220-PVV220</f>
        <v>0</v>
      </c>
      <c r="PVY220" s="5" t="s">
        <v>317</v>
      </c>
      <c r="PVZ220" s="2" t="s">
        <v>22</v>
      </c>
      <c r="PWA220" s="53" t="s">
        <v>334</v>
      </c>
      <c r="PWB220" s="2" t="s">
        <v>513</v>
      </c>
      <c r="PWC220" s="2" t="s">
        <v>25</v>
      </c>
      <c r="PWD220" s="2" t="s">
        <v>393</v>
      </c>
      <c r="PWE220" s="7">
        <v>-74.044305502618698</v>
      </c>
      <c r="PWF220" s="7">
        <v>4.6804459478222702</v>
      </c>
      <c r="PWG220" s="2" t="s">
        <v>357</v>
      </c>
      <c r="PWH220" s="2" t="s">
        <v>63</v>
      </c>
      <c r="PWI220" s="2" t="s">
        <v>83</v>
      </c>
      <c r="PWJ220" s="2" t="s">
        <v>63</v>
      </c>
      <c r="PWK220" s="24">
        <v>434</v>
      </c>
      <c r="PWL220" s="5">
        <v>46174</v>
      </c>
      <c r="PWM220" s="5">
        <v>46174</v>
      </c>
      <c r="PWN220" s="30">
        <f t="shared" ref="PWN220" si="740">PWM220-PWL220</f>
        <v>0</v>
      </c>
      <c r="PWO220" s="5" t="s">
        <v>317</v>
      </c>
      <c r="PWP220" s="2" t="s">
        <v>22</v>
      </c>
      <c r="PWQ220" s="53" t="s">
        <v>334</v>
      </c>
      <c r="PWR220" s="2" t="s">
        <v>513</v>
      </c>
      <c r="PWS220" s="2" t="s">
        <v>25</v>
      </c>
      <c r="PWT220" s="2" t="s">
        <v>393</v>
      </c>
      <c r="PWU220" s="7">
        <v>-74.044305502618698</v>
      </c>
      <c r="PWV220" s="7">
        <v>4.6804459478222702</v>
      </c>
      <c r="PWW220" s="2" t="s">
        <v>357</v>
      </c>
      <c r="PWX220" s="2" t="s">
        <v>63</v>
      </c>
      <c r="PWY220" s="2" t="s">
        <v>83</v>
      </c>
      <c r="PWZ220" s="2" t="s">
        <v>63</v>
      </c>
      <c r="PXA220" s="24">
        <v>434</v>
      </c>
      <c r="PXB220" s="5">
        <v>46174</v>
      </c>
      <c r="PXC220" s="5">
        <v>46174</v>
      </c>
      <c r="PXD220" s="30">
        <f t="shared" ref="PXD220" si="741">PXC220-PXB220</f>
        <v>0</v>
      </c>
      <c r="PXE220" s="5" t="s">
        <v>317</v>
      </c>
      <c r="PXF220" s="2" t="s">
        <v>22</v>
      </c>
      <c r="PXG220" s="53" t="s">
        <v>334</v>
      </c>
      <c r="PXH220" s="2" t="s">
        <v>513</v>
      </c>
      <c r="PXI220" s="2" t="s">
        <v>25</v>
      </c>
      <c r="PXJ220" s="2" t="s">
        <v>393</v>
      </c>
      <c r="PXK220" s="7">
        <v>-74.044305502618698</v>
      </c>
      <c r="PXL220" s="7">
        <v>4.6804459478222702</v>
      </c>
      <c r="PXM220" s="2" t="s">
        <v>357</v>
      </c>
      <c r="PXN220" s="2" t="s">
        <v>63</v>
      </c>
      <c r="PXO220" s="2" t="s">
        <v>83</v>
      </c>
      <c r="PXP220" s="2" t="s">
        <v>63</v>
      </c>
      <c r="PXQ220" s="24">
        <v>434</v>
      </c>
      <c r="PXR220" s="5">
        <v>46174</v>
      </c>
      <c r="PXS220" s="5">
        <v>46174</v>
      </c>
      <c r="PXT220" s="30">
        <f t="shared" ref="PXT220" si="742">PXS220-PXR220</f>
        <v>0</v>
      </c>
      <c r="PXU220" s="5" t="s">
        <v>317</v>
      </c>
      <c r="PXV220" s="2" t="s">
        <v>22</v>
      </c>
      <c r="PXW220" s="53" t="s">
        <v>334</v>
      </c>
      <c r="PXX220" s="2" t="s">
        <v>513</v>
      </c>
      <c r="PXY220" s="2" t="s">
        <v>25</v>
      </c>
      <c r="PXZ220" s="2" t="s">
        <v>393</v>
      </c>
      <c r="PYA220" s="7">
        <v>-74.044305502618698</v>
      </c>
      <c r="PYB220" s="7">
        <v>4.6804459478222702</v>
      </c>
      <c r="PYC220" s="2" t="s">
        <v>357</v>
      </c>
      <c r="PYD220" s="2" t="s">
        <v>63</v>
      </c>
      <c r="PYE220" s="2" t="s">
        <v>83</v>
      </c>
      <c r="PYF220" s="2" t="s">
        <v>63</v>
      </c>
      <c r="PYG220" s="24">
        <v>434</v>
      </c>
      <c r="PYH220" s="5">
        <v>46174</v>
      </c>
      <c r="PYI220" s="5">
        <v>46174</v>
      </c>
      <c r="PYJ220" s="30">
        <f t="shared" ref="PYJ220" si="743">PYI220-PYH220</f>
        <v>0</v>
      </c>
      <c r="PYK220" s="5" t="s">
        <v>317</v>
      </c>
      <c r="PYL220" s="2" t="s">
        <v>22</v>
      </c>
      <c r="PYM220" s="53" t="s">
        <v>334</v>
      </c>
      <c r="PYN220" s="2" t="s">
        <v>513</v>
      </c>
      <c r="PYO220" s="2" t="s">
        <v>25</v>
      </c>
      <c r="PYP220" s="2" t="s">
        <v>393</v>
      </c>
      <c r="PYQ220" s="7">
        <v>-74.044305502618698</v>
      </c>
      <c r="PYR220" s="7">
        <v>4.6804459478222702</v>
      </c>
      <c r="PYS220" s="2" t="s">
        <v>357</v>
      </c>
      <c r="PYT220" s="2" t="s">
        <v>63</v>
      </c>
      <c r="PYU220" s="2" t="s">
        <v>83</v>
      </c>
      <c r="PYV220" s="2" t="s">
        <v>63</v>
      </c>
      <c r="PYW220" s="24">
        <v>434</v>
      </c>
      <c r="PYX220" s="5">
        <v>46174</v>
      </c>
      <c r="PYY220" s="5">
        <v>46174</v>
      </c>
      <c r="PYZ220" s="30">
        <f t="shared" ref="PYZ220" si="744">PYY220-PYX220</f>
        <v>0</v>
      </c>
      <c r="PZA220" s="5" t="s">
        <v>317</v>
      </c>
      <c r="PZB220" s="2" t="s">
        <v>22</v>
      </c>
      <c r="PZC220" s="53" t="s">
        <v>334</v>
      </c>
      <c r="PZD220" s="2" t="s">
        <v>513</v>
      </c>
      <c r="PZE220" s="2" t="s">
        <v>25</v>
      </c>
      <c r="PZF220" s="2" t="s">
        <v>393</v>
      </c>
      <c r="PZG220" s="7">
        <v>-74.044305502618698</v>
      </c>
      <c r="PZH220" s="7">
        <v>4.6804459478222702</v>
      </c>
      <c r="PZI220" s="2" t="s">
        <v>357</v>
      </c>
      <c r="PZJ220" s="2" t="s">
        <v>63</v>
      </c>
      <c r="PZK220" s="2" t="s">
        <v>83</v>
      </c>
      <c r="PZL220" s="2" t="s">
        <v>63</v>
      </c>
      <c r="PZM220" s="24">
        <v>434</v>
      </c>
      <c r="PZN220" s="5">
        <v>46174</v>
      </c>
      <c r="PZO220" s="5">
        <v>46174</v>
      </c>
      <c r="PZP220" s="30">
        <f t="shared" ref="PZP220" si="745">PZO220-PZN220</f>
        <v>0</v>
      </c>
      <c r="PZQ220" s="5" t="s">
        <v>317</v>
      </c>
      <c r="PZR220" s="2" t="s">
        <v>22</v>
      </c>
      <c r="PZS220" s="53" t="s">
        <v>334</v>
      </c>
      <c r="PZT220" s="2" t="s">
        <v>513</v>
      </c>
      <c r="PZU220" s="2" t="s">
        <v>25</v>
      </c>
      <c r="PZV220" s="2" t="s">
        <v>393</v>
      </c>
      <c r="PZW220" s="7">
        <v>-74.044305502618698</v>
      </c>
      <c r="PZX220" s="7">
        <v>4.6804459478222702</v>
      </c>
      <c r="PZY220" s="2" t="s">
        <v>357</v>
      </c>
      <c r="PZZ220" s="2" t="s">
        <v>63</v>
      </c>
      <c r="QAA220" s="2" t="s">
        <v>83</v>
      </c>
      <c r="QAB220" s="2" t="s">
        <v>63</v>
      </c>
      <c r="QAC220" s="24">
        <v>434</v>
      </c>
      <c r="QAD220" s="5">
        <v>46174</v>
      </c>
      <c r="QAE220" s="5">
        <v>46174</v>
      </c>
      <c r="QAF220" s="30">
        <f t="shared" ref="QAF220" si="746">QAE220-QAD220</f>
        <v>0</v>
      </c>
      <c r="QAG220" s="5" t="s">
        <v>317</v>
      </c>
      <c r="QAH220" s="2" t="s">
        <v>22</v>
      </c>
      <c r="QAI220" s="53" t="s">
        <v>334</v>
      </c>
      <c r="QAJ220" s="2" t="s">
        <v>513</v>
      </c>
      <c r="QAK220" s="2" t="s">
        <v>25</v>
      </c>
      <c r="QAL220" s="2" t="s">
        <v>393</v>
      </c>
      <c r="QAM220" s="7">
        <v>-74.044305502618698</v>
      </c>
      <c r="QAN220" s="7">
        <v>4.6804459478222702</v>
      </c>
      <c r="QAO220" s="2" t="s">
        <v>357</v>
      </c>
      <c r="QAP220" s="2" t="s">
        <v>63</v>
      </c>
      <c r="QAQ220" s="2" t="s">
        <v>83</v>
      </c>
      <c r="QAR220" s="2" t="s">
        <v>63</v>
      </c>
      <c r="QAS220" s="24">
        <v>434</v>
      </c>
      <c r="QAT220" s="5">
        <v>46174</v>
      </c>
      <c r="QAU220" s="5">
        <v>46174</v>
      </c>
      <c r="QAV220" s="30">
        <f t="shared" ref="QAV220" si="747">QAU220-QAT220</f>
        <v>0</v>
      </c>
      <c r="QAW220" s="5" t="s">
        <v>317</v>
      </c>
      <c r="QAX220" s="2" t="s">
        <v>22</v>
      </c>
      <c r="QAY220" s="53" t="s">
        <v>334</v>
      </c>
      <c r="QAZ220" s="2" t="s">
        <v>513</v>
      </c>
      <c r="QBA220" s="2" t="s">
        <v>25</v>
      </c>
      <c r="QBB220" s="2" t="s">
        <v>393</v>
      </c>
      <c r="QBC220" s="7">
        <v>-74.044305502618698</v>
      </c>
      <c r="QBD220" s="7">
        <v>4.6804459478222702</v>
      </c>
      <c r="QBE220" s="2" t="s">
        <v>357</v>
      </c>
      <c r="QBF220" s="2" t="s">
        <v>63</v>
      </c>
      <c r="QBG220" s="2" t="s">
        <v>83</v>
      </c>
      <c r="QBH220" s="2" t="s">
        <v>63</v>
      </c>
      <c r="QBI220" s="24">
        <v>434</v>
      </c>
      <c r="QBJ220" s="5">
        <v>46174</v>
      </c>
      <c r="QBK220" s="5">
        <v>46174</v>
      </c>
      <c r="QBL220" s="30">
        <f t="shared" ref="QBL220" si="748">QBK220-QBJ220</f>
        <v>0</v>
      </c>
      <c r="QBM220" s="5" t="s">
        <v>317</v>
      </c>
      <c r="QBN220" s="2" t="s">
        <v>22</v>
      </c>
      <c r="QBO220" s="53" t="s">
        <v>334</v>
      </c>
      <c r="QBP220" s="2" t="s">
        <v>513</v>
      </c>
      <c r="QBQ220" s="2" t="s">
        <v>25</v>
      </c>
      <c r="QBR220" s="2" t="s">
        <v>393</v>
      </c>
      <c r="QBS220" s="7">
        <v>-74.044305502618698</v>
      </c>
      <c r="QBT220" s="7">
        <v>4.6804459478222702</v>
      </c>
      <c r="QBU220" s="2" t="s">
        <v>357</v>
      </c>
      <c r="QBV220" s="2" t="s">
        <v>63</v>
      </c>
      <c r="QBW220" s="2" t="s">
        <v>83</v>
      </c>
      <c r="QBX220" s="2" t="s">
        <v>63</v>
      </c>
      <c r="QBY220" s="24">
        <v>434</v>
      </c>
      <c r="QBZ220" s="5">
        <v>46174</v>
      </c>
      <c r="QCA220" s="5">
        <v>46174</v>
      </c>
      <c r="QCB220" s="30">
        <f t="shared" ref="QCB220" si="749">QCA220-QBZ220</f>
        <v>0</v>
      </c>
      <c r="QCC220" s="5" t="s">
        <v>317</v>
      </c>
      <c r="QCD220" s="2" t="s">
        <v>22</v>
      </c>
      <c r="QCE220" s="53" t="s">
        <v>334</v>
      </c>
      <c r="QCF220" s="2" t="s">
        <v>513</v>
      </c>
      <c r="QCG220" s="2" t="s">
        <v>25</v>
      </c>
      <c r="QCH220" s="2" t="s">
        <v>393</v>
      </c>
      <c r="QCI220" s="7">
        <v>-74.044305502618698</v>
      </c>
      <c r="QCJ220" s="7">
        <v>4.6804459478222702</v>
      </c>
      <c r="QCK220" s="2" t="s">
        <v>357</v>
      </c>
      <c r="QCL220" s="2" t="s">
        <v>63</v>
      </c>
      <c r="QCM220" s="2" t="s">
        <v>83</v>
      </c>
      <c r="QCN220" s="2" t="s">
        <v>63</v>
      </c>
      <c r="QCO220" s="24">
        <v>434</v>
      </c>
      <c r="QCP220" s="5">
        <v>46174</v>
      </c>
      <c r="QCQ220" s="5">
        <v>46174</v>
      </c>
      <c r="QCR220" s="30">
        <f t="shared" ref="QCR220" si="750">QCQ220-QCP220</f>
        <v>0</v>
      </c>
      <c r="QCS220" s="5" t="s">
        <v>317</v>
      </c>
      <c r="QCT220" s="2" t="s">
        <v>22</v>
      </c>
      <c r="QCU220" s="53" t="s">
        <v>334</v>
      </c>
      <c r="QCV220" s="2" t="s">
        <v>513</v>
      </c>
      <c r="QCW220" s="2" t="s">
        <v>25</v>
      </c>
      <c r="QCX220" s="2" t="s">
        <v>393</v>
      </c>
      <c r="QCY220" s="7">
        <v>-74.044305502618698</v>
      </c>
      <c r="QCZ220" s="7">
        <v>4.6804459478222702</v>
      </c>
      <c r="QDA220" s="2" t="s">
        <v>357</v>
      </c>
      <c r="QDB220" s="2" t="s">
        <v>63</v>
      </c>
      <c r="QDC220" s="2" t="s">
        <v>83</v>
      </c>
      <c r="QDD220" s="2" t="s">
        <v>63</v>
      </c>
      <c r="QDE220" s="24">
        <v>434</v>
      </c>
      <c r="QDF220" s="5">
        <v>46174</v>
      </c>
      <c r="QDG220" s="5">
        <v>46174</v>
      </c>
      <c r="QDH220" s="30">
        <f t="shared" ref="QDH220" si="751">QDG220-QDF220</f>
        <v>0</v>
      </c>
      <c r="QDI220" s="5" t="s">
        <v>317</v>
      </c>
      <c r="QDJ220" s="2" t="s">
        <v>22</v>
      </c>
      <c r="QDK220" s="53" t="s">
        <v>334</v>
      </c>
      <c r="QDL220" s="2" t="s">
        <v>513</v>
      </c>
      <c r="QDM220" s="2" t="s">
        <v>25</v>
      </c>
      <c r="QDN220" s="2" t="s">
        <v>393</v>
      </c>
      <c r="QDO220" s="7">
        <v>-74.044305502618698</v>
      </c>
      <c r="QDP220" s="7">
        <v>4.6804459478222702</v>
      </c>
      <c r="QDQ220" s="2" t="s">
        <v>357</v>
      </c>
      <c r="QDR220" s="2" t="s">
        <v>63</v>
      </c>
      <c r="QDS220" s="2" t="s">
        <v>83</v>
      </c>
      <c r="QDT220" s="2" t="s">
        <v>63</v>
      </c>
      <c r="QDU220" s="24">
        <v>434</v>
      </c>
      <c r="QDV220" s="5">
        <v>46174</v>
      </c>
      <c r="QDW220" s="5">
        <v>46174</v>
      </c>
      <c r="QDX220" s="30">
        <f t="shared" ref="QDX220" si="752">QDW220-QDV220</f>
        <v>0</v>
      </c>
      <c r="QDY220" s="5" t="s">
        <v>317</v>
      </c>
      <c r="QDZ220" s="2" t="s">
        <v>22</v>
      </c>
      <c r="QEA220" s="53" t="s">
        <v>334</v>
      </c>
      <c r="QEB220" s="2" t="s">
        <v>513</v>
      </c>
      <c r="QEC220" s="2" t="s">
        <v>25</v>
      </c>
      <c r="QED220" s="2" t="s">
        <v>393</v>
      </c>
      <c r="QEE220" s="7">
        <v>-74.044305502618698</v>
      </c>
      <c r="QEF220" s="7">
        <v>4.6804459478222702</v>
      </c>
      <c r="QEG220" s="2" t="s">
        <v>357</v>
      </c>
      <c r="QEH220" s="2" t="s">
        <v>63</v>
      </c>
      <c r="QEI220" s="2" t="s">
        <v>83</v>
      </c>
      <c r="QEJ220" s="2" t="s">
        <v>63</v>
      </c>
      <c r="QEK220" s="24">
        <v>434</v>
      </c>
      <c r="QEL220" s="5">
        <v>46174</v>
      </c>
      <c r="QEM220" s="5">
        <v>46174</v>
      </c>
      <c r="QEN220" s="30">
        <f t="shared" ref="QEN220" si="753">QEM220-QEL220</f>
        <v>0</v>
      </c>
      <c r="QEO220" s="5" t="s">
        <v>317</v>
      </c>
      <c r="QEP220" s="2" t="s">
        <v>22</v>
      </c>
      <c r="QEQ220" s="53" t="s">
        <v>334</v>
      </c>
      <c r="QER220" s="2" t="s">
        <v>513</v>
      </c>
      <c r="QES220" s="2" t="s">
        <v>25</v>
      </c>
      <c r="QET220" s="2" t="s">
        <v>393</v>
      </c>
      <c r="QEU220" s="7">
        <v>-74.044305502618698</v>
      </c>
      <c r="QEV220" s="7">
        <v>4.6804459478222702</v>
      </c>
      <c r="QEW220" s="2" t="s">
        <v>357</v>
      </c>
      <c r="QEX220" s="2" t="s">
        <v>63</v>
      </c>
      <c r="QEY220" s="2" t="s">
        <v>83</v>
      </c>
      <c r="QEZ220" s="2" t="s">
        <v>63</v>
      </c>
      <c r="QFA220" s="24">
        <v>434</v>
      </c>
      <c r="QFB220" s="5">
        <v>46174</v>
      </c>
      <c r="QFC220" s="5">
        <v>46174</v>
      </c>
      <c r="QFD220" s="30">
        <f t="shared" ref="QFD220" si="754">QFC220-QFB220</f>
        <v>0</v>
      </c>
      <c r="QFE220" s="5" t="s">
        <v>317</v>
      </c>
      <c r="QFF220" s="2" t="s">
        <v>22</v>
      </c>
      <c r="QFG220" s="53" t="s">
        <v>334</v>
      </c>
      <c r="QFH220" s="2" t="s">
        <v>513</v>
      </c>
      <c r="QFI220" s="2" t="s">
        <v>25</v>
      </c>
      <c r="QFJ220" s="2" t="s">
        <v>393</v>
      </c>
      <c r="QFK220" s="7">
        <v>-74.044305502618698</v>
      </c>
      <c r="QFL220" s="7">
        <v>4.6804459478222702</v>
      </c>
      <c r="QFM220" s="2" t="s">
        <v>357</v>
      </c>
      <c r="QFN220" s="2" t="s">
        <v>63</v>
      </c>
      <c r="QFO220" s="2" t="s">
        <v>83</v>
      </c>
      <c r="QFP220" s="2" t="s">
        <v>63</v>
      </c>
      <c r="QFQ220" s="24">
        <v>434</v>
      </c>
      <c r="QFR220" s="5">
        <v>46174</v>
      </c>
      <c r="QFS220" s="5">
        <v>46174</v>
      </c>
      <c r="QFT220" s="30">
        <f t="shared" ref="QFT220" si="755">QFS220-QFR220</f>
        <v>0</v>
      </c>
      <c r="QFU220" s="5" t="s">
        <v>317</v>
      </c>
      <c r="QFV220" s="2" t="s">
        <v>22</v>
      </c>
      <c r="QFW220" s="53" t="s">
        <v>334</v>
      </c>
      <c r="QFX220" s="2" t="s">
        <v>513</v>
      </c>
      <c r="QFY220" s="2" t="s">
        <v>25</v>
      </c>
      <c r="QFZ220" s="2" t="s">
        <v>393</v>
      </c>
      <c r="QGA220" s="7">
        <v>-74.044305502618698</v>
      </c>
      <c r="QGB220" s="7">
        <v>4.6804459478222702</v>
      </c>
      <c r="QGC220" s="2" t="s">
        <v>357</v>
      </c>
      <c r="QGD220" s="2" t="s">
        <v>63</v>
      </c>
      <c r="QGE220" s="2" t="s">
        <v>83</v>
      </c>
      <c r="QGF220" s="2" t="s">
        <v>63</v>
      </c>
      <c r="QGG220" s="24">
        <v>434</v>
      </c>
      <c r="QGH220" s="5">
        <v>46174</v>
      </c>
      <c r="QGI220" s="5">
        <v>46174</v>
      </c>
      <c r="QGJ220" s="30">
        <f t="shared" ref="QGJ220" si="756">QGI220-QGH220</f>
        <v>0</v>
      </c>
      <c r="QGK220" s="5" t="s">
        <v>317</v>
      </c>
      <c r="QGL220" s="2" t="s">
        <v>22</v>
      </c>
      <c r="QGM220" s="53" t="s">
        <v>334</v>
      </c>
      <c r="QGN220" s="2" t="s">
        <v>513</v>
      </c>
      <c r="QGO220" s="2" t="s">
        <v>25</v>
      </c>
      <c r="QGP220" s="2" t="s">
        <v>393</v>
      </c>
      <c r="QGQ220" s="7">
        <v>-74.044305502618698</v>
      </c>
      <c r="QGR220" s="7">
        <v>4.6804459478222702</v>
      </c>
      <c r="QGS220" s="2" t="s">
        <v>357</v>
      </c>
      <c r="QGT220" s="2" t="s">
        <v>63</v>
      </c>
      <c r="QGU220" s="2" t="s">
        <v>83</v>
      </c>
      <c r="QGV220" s="2" t="s">
        <v>63</v>
      </c>
      <c r="QGW220" s="24">
        <v>434</v>
      </c>
      <c r="QGX220" s="5">
        <v>46174</v>
      </c>
      <c r="QGY220" s="5">
        <v>46174</v>
      </c>
      <c r="QGZ220" s="30">
        <f t="shared" ref="QGZ220" si="757">QGY220-QGX220</f>
        <v>0</v>
      </c>
      <c r="QHA220" s="5" t="s">
        <v>317</v>
      </c>
      <c r="QHB220" s="2" t="s">
        <v>22</v>
      </c>
      <c r="QHC220" s="53" t="s">
        <v>334</v>
      </c>
      <c r="QHD220" s="2" t="s">
        <v>513</v>
      </c>
      <c r="QHE220" s="2" t="s">
        <v>25</v>
      </c>
      <c r="QHF220" s="2" t="s">
        <v>393</v>
      </c>
      <c r="QHG220" s="7">
        <v>-74.044305502618698</v>
      </c>
      <c r="QHH220" s="7">
        <v>4.6804459478222702</v>
      </c>
      <c r="QHI220" s="2" t="s">
        <v>357</v>
      </c>
      <c r="QHJ220" s="2" t="s">
        <v>63</v>
      </c>
      <c r="QHK220" s="2" t="s">
        <v>83</v>
      </c>
      <c r="QHL220" s="2" t="s">
        <v>63</v>
      </c>
      <c r="QHM220" s="24">
        <v>434</v>
      </c>
      <c r="QHN220" s="5">
        <v>46174</v>
      </c>
      <c r="QHO220" s="5">
        <v>46174</v>
      </c>
      <c r="QHP220" s="30">
        <f t="shared" ref="QHP220" si="758">QHO220-QHN220</f>
        <v>0</v>
      </c>
      <c r="QHQ220" s="5" t="s">
        <v>317</v>
      </c>
      <c r="QHR220" s="2" t="s">
        <v>22</v>
      </c>
      <c r="QHS220" s="53" t="s">
        <v>334</v>
      </c>
      <c r="QHT220" s="2" t="s">
        <v>513</v>
      </c>
      <c r="QHU220" s="2" t="s">
        <v>25</v>
      </c>
      <c r="QHV220" s="2" t="s">
        <v>393</v>
      </c>
      <c r="QHW220" s="7">
        <v>-74.044305502618698</v>
      </c>
      <c r="QHX220" s="7">
        <v>4.6804459478222702</v>
      </c>
      <c r="QHY220" s="2" t="s">
        <v>357</v>
      </c>
      <c r="QHZ220" s="2" t="s">
        <v>63</v>
      </c>
      <c r="QIA220" s="2" t="s">
        <v>83</v>
      </c>
      <c r="QIB220" s="2" t="s">
        <v>63</v>
      </c>
      <c r="QIC220" s="24">
        <v>434</v>
      </c>
      <c r="QID220" s="5">
        <v>46174</v>
      </c>
      <c r="QIE220" s="5">
        <v>46174</v>
      </c>
      <c r="QIF220" s="30">
        <f t="shared" ref="QIF220" si="759">QIE220-QID220</f>
        <v>0</v>
      </c>
      <c r="QIG220" s="5" t="s">
        <v>317</v>
      </c>
      <c r="QIH220" s="2" t="s">
        <v>22</v>
      </c>
      <c r="QII220" s="53" t="s">
        <v>334</v>
      </c>
      <c r="QIJ220" s="2" t="s">
        <v>513</v>
      </c>
      <c r="QIK220" s="2" t="s">
        <v>25</v>
      </c>
      <c r="QIL220" s="2" t="s">
        <v>393</v>
      </c>
      <c r="QIM220" s="7">
        <v>-74.044305502618698</v>
      </c>
      <c r="QIN220" s="7">
        <v>4.6804459478222702</v>
      </c>
      <c r="QIO220" s="2" t="s">
        <v>357</v>
      </c>
      <c r="QIP220" s="2" t="s">
        <v>63</v>
      </c>
      <c r="QIQ220" s="2" t="s">
        <v>83</v>
      </c>
      <c r="QIR220" s="2" t="s">
        <v>63</v>
      </c>
      <c r="QIS220" s="24">
        <v>434</v>
      </c>
      <c r="QIT220" s="5">
        <v>46174</v>
      </c>
      <c r="QIU220" s="5">
        <v>46174</v>
      </c>
      <c r="QIV220" s="30">
        <f t="shared" ref="QIV220" si="760">QIU220-QIT220</f>
        <v>0</v>
      </c>
      <c r="QIW220" s="5" t="s">
        <v>317</v>
      </c>
      <c r="QIX220" s="2" t="s">
        <v>22</v>
      </c>
      <c r="QIY220" s="53" t="s">
        <v>334</v>
      </c>
      <c r="QIZ220" s="2" t="s">
        <v>513</v>
      </c>
      <c r="QJA220" s="2" t="s">
        <v>25</v>
      </c>
      <c r="QJB220" s="2" t="s">
        <v>393</v>
      </c>
      <c r="QJC220" s="7">
        <v>-74.044305502618698</v>
      </c>
      <c r="QJD220" s="7">
        <v>4.6804459478222702</v>
      </c>
      <c r="QJE220" s="2" t="s">
        <v>357</v>
      </c>
      <c r="QJF220" s="2" t="s">
        <v>63</v>
      </c>
      <c r="QJG220" s="2" t="s">
        <v>83</v>
      </c>
      <c r="QJH220" s="2" t="s">
        <v>63</v>
      </c>
      <c r="QJI220" s="24">
        <v>434</v>
      </c>
      <c r="QJJ220" s="5">
        <v>46174</v>
      </c>
      <c r="QJK220" s="5">
        <v>46174</v>
      </c>
      <c r="QJL220" s="30">
        <f t="shared" ref="QJL220" si="761">QJK220-QJJ220</f>
        <v>0</v>
      </c>
      <c r="QJM220" s="5" t="s">
        <v>317</v>
      </c>
      <c r="QJN220" s="2" t="s">
        <v>22</v>
      </c>
      <c r="QJO220" s="53" t="s">
        <v>334</v>
      </c>
      <c r="QJP220" s="2" t="s">
        <v>513</v>
      </c>
      <c r="QJQ220" s="2" t="s">
        <v>25</v>
      </c>
      <c r="QJR220" s="2" t="s">
        <v>393</v>
      </c>
      <c r="QJS220" s="7">
        <v>-74.044305502618698</v>
      </c>
      <c r="QJT220" s="7">
        <v>4.6804459478222702</v>
      </c>
      <c r="QJU220" s="2" t="s">
        <v>357</v>
      </c>
      <c r="QJV220" s="2" t="s">
        <v>63</v>
      </c>
      <c r="QJW220" s="2" t="s">
        <v>83</v>
      </c>
      <c r="QJX220" s="2" t="s">
        <v>63</v>
      </c>
      <c r="QJY220" s="24">
        <v>434</v>
      </c>
      <c r="QJZ220" s="5">
        <v>46174</v>
      </c>
      <c r="QKA220" s="5">
        <v>46174</v>
      </c>
      <c r="QKB220" s="30">
        <f t="shared" ref="QKB220" si="762">QKA220-QJZ220</f>
        <v>0</v>
      </c>
      <c r="QKC220" s="5" t="s">
        <v>317</v>
      </c>
      <c r="QKD220" s="2" t="s">
        <v>22</v>
      </c>
      <c r="QKE220" s="53" t="s">
        <v>334</v>
      </c>
      <c r="QKF220" s="2" t="s">
        <v>513</v>
      </c>
      <c r="QKG220" s="2" t="s">
        <v>25</v>
      </c>
      <c r="QKH220" s="2" t="s">
        <v>393</v>
      </c>
      <c r="QKI220" s="7">
        <v>-74.044305502618698</v>
      </c>
      <c r="QKJ220" s="7">
        <v>4.6804459478222702</v>
      </c>
      <c r="QKK220" s="2" t="s">
        <v>357</v>
      </c>
      <c r="QKL220" s="2" t="s">
        <v>63</v>
      </c>
      <c r="QKM220" s="2" t="s">
        <v>83</v>
      </c>
      <c r="QKN220" s="2" t="s">
        <v>63</v>
      </c>
      <c r="QKO220" s="24">
        <v>434</v>
      </c>
      <c r="QKP220" s="5">
        <v>46174</v>
      </c>
      <c r="QKQ220" s="5">
        <v>46174</v>
      </c>
      <c r="QKR220" s="30">
        <f t="shared" ref="QKR220" si="763">QKQ220-QKP220</f>
        <v>0</v>
      </c>
      <c r="QKS220" s="5" t="s">
        <v>317</v>
      </c>
      <c r="QKT220" s="2" t="s">
        <v>22</v>
      </c>
      <c r="QKU220" s="53" t="s">
        <v>334</v>
      </c>
      <c r="QKV220" s="2" t="s">
        <v>513</v>
      </c>
      <c r="QKW220" s="2" t="s">
        <v>25</v>
      </c>
      <c r="QKX220" s="2" t="s">
        <v>393</v>
      </c>
      <c r="QKY220" s="7">
        <v>-74.044305502618698</v>
      </c>
      <c r="QKZ220" s="7">
        <v>4.6804459478222702</v>
      </c>
      <c r="QLA220" s="2" t="s">
        <v>357</v>
      </c>
      <c r="QLB220" s="2" t="s">
        <v>63</v>
      </c>
      <c r="QLC220" s="2" t="s">
        <v>83</v>
      </c>
      <c r="QLD220" s="2" t="s">
        <v>63</v>
      </c>
      <c r="QLE220" s="24">
        <v>434</v>
      </c>
      <c r="QLF220" s="5">
        <v>46174</v>
      </c>
      <c r="QLG220" s="5">
        <v>46174</v>
      </c>
      <c r="QLH220" s="30">
        <f t="shared" ref="QLH220" si="764">QLG220-QLF220</f>
        <v>0</v>
      </c>
      <c r="QLI220" s="5" t="s">
        <v>317</v>
      </c>
      <c r="QLJ220" s="2" t="s">
        <v>22</v>
      </c>
      <c r="QLK220" s="53" t="s">
        <v>334</v>
      </c>
      <c r="QLL220" s="2" t="s">
        <v>513</v>
      </c>
      <c r="QLM220" s="2" t="s">
        <v>25</v>
      </c>
      <c r="QLN220" s="2" t="s">
        <v>393</v>
      </c>
      <c r="QLO220" s="7">
        <v>-74.044305502618698</v>
      </c>
      <c r="QLP220" s="7">
        <v>4.6804459478222702</v>
      </c>
      <c r="QLQ220" s="2" t="s">
        <v>357</v>
      </c>
      <c r="QLR220" s="2" t="s">
        <v>63</v>
      </c>
      <c r="QLS220" s="2" t="s">
        <v>83</v>
      </c>
      <c r="QLT220" s="2" t="s">
        <v>63</v>
      </c>
      <c r="QLU220" s="24">
        <v>434</v>
      </c>
      <c r="QLV220" s="5">
        <v>46174</v>
      </c>
      <c r="QLW220" s="5">
        <v>46174</v>
      </c>
      <c r="QLX220" s="30">
        <f t="shared" ref="QLX220" si="765">QLW220-QLV220</f>
        <v>0</v>
      </c>
      <c r="QLY220" s="5" t="s">
        <v>317</v>
      </c>
      <c r="QLZ220" s="2" t="s">
        <v>22</v>
      </c>
      <c r="QMA220" s="53" t="s">
        <v>334</v>
      </c>
      <c r="QMB220" s="2" t="s">
        <v>513</v>
      </c>
      <c r="QMC220" s="2" t="s">
        <v>25</v>
      </c>
      <c r="QMD220" s="2" t="s">
        <v>393</v>
      </c>
      <c r="QME220" s="7">
        <v>-74.044305502618698</v>
      </c>
      <c r="QMF220" s="7">
        <v>4.6804459478222702</v>
      </c>
      <c r="QMG220" s="2" t="s">
        <v>357</v>
      </c>
      <c r="QMH220" s="2" t="s">
        <v>63</v>
      </c>
      <c r="QMI220" s="2" t="s">
        <v>83</v>
      </c>
      <c r="QMJ220" s="2" t="s">
        <v>63</v>
      </c>
      <c r="QMK220" s="24">
        <v>434</v>
      </c>
      <c r="QML220" s="5">
        <v>46174</v>
      </c>
      <c r="QMM220" s="5">
        <v>46174</v>
      </c>
      <c r="QMN220" s="30">
        <f t="shared" ref="QMN220" si="766">QMM220-QML220</f>
        <v>0</v>
      </c>
      <c r="QMO220" s="5" t="s">
        <v>317</v>
      </c>
      <c r="QMP220" s="2" t="s">
        <v>22</v>
      </c>
      <c r="QMQ220" s="53" t="s">
        <v>334</v>
      </c>
      <c r="QMR220" s="2" t="s">
        <v>513</v>
      </c>
      <c r="QMS220" s="2" t="s">
        <v>25</v>
      </c>
      <c r="QMT220" s="2" t="s">
        <v>393</v>
      </c>
      <c r="QMU220" s="7">
        <v>-74.044305502618698</v>
      </c>
      <c r="QMV220" s="7">
        <v>4.6804459478222702</v>
      </c>
      <c r="QMW220" s="2" t="s">
        <v>357</v>
      </c>
      <c r="QMX220" s="2" t="s">
        <v>63</v>
      </c>
      <c r="QMY220" s="2" t="s">
        <v>83</v>
      </c>
      <c r="QMZ220" s="2" t="s">
        <v>63</v>
      </c>
      <c r="QNA220" s="24">
        <v>434</v>
      </c>
      <c r="QNB220" s="5">
        <v>46174</v>
      </c>
      <c r="QNC220" s="5">
        <v>46174</v>
      </c>
      <c r="QND220" s="30">
        <f t="shared" ref="QND220" si="767">QNC220-QNB220</f>
        <v>0</v>
      </c>
      <c r="QNE220" s="5" t="s">
        <v>317</v>
      </c>
      <c r="QNF220" s="2" t="s">
        <v>22</v>
      </c>
      <c r="QNG220" s="53" t="s">
        <v>334</v>
      </c>
      <c r="QNH220" s="2" t="s">
        <v>513</v>
      </c>
      <c r="QNI220" s="2" t="s">
        <v>25</v>
      </c>
      <c r="QNJ220" s="2" t="s">
        <v>393</v>
      </c>
      <c r="QNK220" s="7">
        <v>-74.044305502618698</v>
      </c>
      <c r="QNL220" s="7">
        <v>4.6804459478222702</v>
      </c>
      <c r="QNM220" s="2" t="s">
        <v>357</v>
      </c>
      <c r="QNN220" s="2" t="s">
        <v>63</v>
      </c>
      <c r="QNO220" s="2" t="s">
        <v>83</v>
      </c>
      <c r="QNP220" s="2" t="s">
        <v>63</v>
      </c>
      <c r="QNQ220" s="24">
        <v>434</v>
      </c>
      <c r="QNR220" s="5">
        <v>46174</v>
      </c>
      <c r="QNS220" s="5">
        <v>46174</v>
      </c>
      <c r="QNT220" s="30">
        <f t="shared" ref="QNT220" si="768">QNS220-QNR220</f>
        <v>0</v>
      </c>
      <c r="QNU220" s="5" t="s">
        <v>317</v>
      </c>
      <c r="QNV220" s="2" t="s">
        <v>22</v>
      </c>
      <c r="QNW220" s="53" t="s">
        <v>334</v>
      </c>
      <c r="QNX220" s="2" t="s">
        <v>513</v>
      </c>
      <c r="QNY220" s="2" t="s">
        <v>25</v>
      </c>
      <c r="QNZ220" s="2" t="s">
        <v>393</v>
      </c>
      <c r="QOA220" s="7">
        <v>-74.044305502618698</v>
      </c>
      <c r="QOB220" s="7">
        <v>4.6804459478222702</v>
      </c>
      <c r="QOC220" s="2" t="s">
        <v>357</v>
      </c>
      <c r="QOD220" s="2" t="s">
        <v>63</v>
      </c>
      <c r="QOE220" s="2" t="s">
        <v>83</v>
      </c>
      <c r="QOF220" s="2" t="s">
        <v>63</v>
      </c>
      <c r="QOG220" s="24">
        <v>434</v>
      </c>
      <c r="QOH220" s="5">
        <v>46174</v>
      </c>
      <c r="QOI220" s="5">
        <v>46174</v>
      </c>
      <c r="QOJ220" s="30">
        <f t="shared" ref="QOJ220" si="769">QOI220-QOH220</f>
        <v>0</v>
      </c>
      <c r="QOK220" s="5" t="s">
        <v>317</v>
      </c>
      <c r="QOL220" s="2" t="s">
        <v>22</v>
      </c>
      <c r="QOM220" s="53" t="s">
        <v>334</v>
      </c>
      <c r="QON220" s="2" t="s">
        <v>513</v>
      </c>
      <c r="QOO220" s="2" t="s">
        <v>25</v>
      </c>
      <c r="QOP220" s="2" t="s">
        <v>393</v>
      </c>
      <c r="QOQ220" s="7">
        <v>-74.044305502618698</v>
      </c>
      <c r="QOR220" s="7">
        <v>4.6804459478222702</v>
      </c>
      <c r="QOS220" s="2" t="s">
        <v>357</v>
      </c>
      <c r="QOT220" s="2" t="s">
        <v>63</v>
      </c>
      <c r="QOU220" s="2" t="s">
        <v>83</v>
      </c>
      <c r="QOV220" s="2" t="s">
        <v>63</v>
      </c>
      <c r="QOW220" s="24">
        <v>434</v>
      </c>
      <c r="QOX220" s="5">
        <v>46174</v>
      </c>
      <c r="QOY220" s="5">
        <v>46174</v>
      </c>
      <c r="QOZ220" s="30">
        <f t="shared" ref="QOZ220" si="770">QOY220-QOX220</f>
        <v>0</v>
      </c>
      <c r="QPA220" s="5" t="s">
        <v>317</v>
      </c>
      <c r="QPB220" s="2" t="s">
        <v>22</v>
      </c>
      <c r="QPC220" s="53" t="s">
        <v>334</v>
      </c>
      <c r="QPD220" s="2" t="s">
        <v>513</v>
      </c>
      <c r="QPE220" s="2" t="s">
        <v>25</v>
      </c>
      <c r="QPF220" s="2" t="s">
        <v>393</v>
      </c>
      <c r="QPG220" s="7">
        <v>-74.044305502618698</v>
      </c>
      <c r="QPH220" s="7">
        <v>4.6804459478222702</v>
      </c>
      <c r="QPI220" s="2" t="s">
        <v>357</v>
      </c>
      <c r="QPJ220" s="2" t="s">
        <v>63</v>
      </c>
      <c r="QPK220" s="2" t="s">
        <v>83</v>
      </c>
      <c r="QPL220" s="2" t="s">
        <v>63</v>
      </c>
      <c r="QPM220" s="24">
        <v>434</v>
      </c>
      <c r="QPN220" s="5">
        <v>46174</v>
      </c>
      <c r="QPO220" s="5">
        <v>46174</v>
      </c>
      <c r="QPP220" s="30">
        <f t="shared" ref="QPP220" si="771">QPO220-QPN220</f>
        <v>0</v>
      </c>
      <c r="QPQ220" s="5" t="s">
        <v>317</v>
      </c>
      <c r="QPR220" s="2" t="s">
        <v>22</v>
      </c>
      <c r="QPS220" s="53" t="s">
        <v>334</v>
      </c>
      <c r="QPT220" s="2" t="s">
        <v>513</v>
      </c>
      <c r="QPU220" s="2" t="s">
        <v>25</v>
      </c>
      <c r="QPV220" s="2" t="s">
        <v>393</v>
      </c>
      <c r="QPW220" s="7">
        <v>-74.044305502618698</v>
      </c>
      <c r="QPX220" s="7">
        <v>4.6804459478222702</v>
      </c>
      <c r="QPY220" s="2" t="s">
        <v>357</v>
      </c>
      <c r="QPZ220" s="2" t="s">
        <v>63</v>
      </c>
      <c r="QQA220" s="2" t="s">
        <v>83</v>
      </c>
      <c r="QQB220" s="2" t="s">
        <v>63</v>
      </c>
      <c r="QQC220" s="24">
        <v>434</v>
      </c>
      <c r="QQD220" s="5">
        <v>46174</v>
      </c>
      <c r="QQE220" s="5">
        <v>46174</v>
      </c>
      <c r="QQF220" s="30">
        <f t="shared" ref="QQF220" si="772">QQE220-QQD220</f>
        <v>0</v>
      </c>
      <c r="QQG220" s="5" t="s">
        <v>317</v>
      </c>
      <c r="QQH220" s="2" t="s">
        <v>22</v>
      </c>
      <c r="QQI220" s="53" t="s">
        <v>334</v>
      </c>
      <c r="QQJ220" s="2" t="s">
        <v>513</v>
      </c>
      <c r="QQK220" s="2" t="s">
        <v>25</v>
      </c>
      <c r="QQL220" s="2" t="s">
        <v>393</v>
      </c>
      <c r="QQM220" s="7">
        <v>-74.044305502618698</v>
      </c>
      <c r="QQN220" s="7">
        <v>4.6804459478222702</v>
      </c>
      <c r="QQO220" s="2" t="s">
        <v>357</v>
      </c>
      <c r="QQP220" s="2" t="s">
        <v>63</v>
      </c>
      <c r="QQQ220" s="2" t="s">
        <v>83</v>
      </c>
      <c r="QQR220" s="2" t="s">
        <v>63</v>
      </c>
      <c r="QQS220" s="24">
        <v>434</v>
      </c>
      <c r="QQT220" s="5">
        <v>46174</v>
      </c>
      <c r="QQU220" s="5">
        <v>46174</v>
      </c>
      <c r="QQV220" s="30">
        <f t="shared" ref="QQV220" si="773">QQU220-QQT220</f>
        <v>0</v>
      </c>
      <c r="QQW220" s="5" t="s">
        <v>317</v>
      </c>
      <c r="QQX220" s="2" t="s">
        <v>22</v>
      </c>
      <c r="QQY220" s="53" t="s">
        <v>334</v>
      </c>
      <c r="QQZ220" s="2" t="s">
        <v>513</v>
      </c>
      <c r="QRA220" s="2" t="s">
        <v>25</v>
      </c>
      <c r="QRB220" s="2" t="s">
        <v>393</v>
      </c>
      <c r="QRC220" s="7">
        <v>-74.044305502618698</v>
      </c>
      <c r="QRD220" s="7">
        <v>4.6804459478222702</v>
      </c>
      <c r="QRE220" s="2" t="s">
        <v>357</v>
      </c>
      <c r="QRF220" s="2" t="s">
        <v>63</v>
      </c>
      <c r="QRG220" s="2" t="s">
        <v>83</v>
      </c>
      <c r="QRH220" s="2" t="s">
        <v>63</v>
      </c>
      <c r="QRI220" s="24">
        <v>434</v>
      </c>
      <c r="QRJ220" s="5">
        <v>46174</v>
      </c>
      <c r="QRK220" s="5">
        <v>46174</v>
      </c>
      <c r="QRL220" s="30">
        <f t="shared" ref="QRL220" si="774">QRK220-QRJ220</f>
        <v>0</v>
      </c>
      <c r="QRM220" s="5" t="s">
        <v>317</v>
      </c>
      <c r="QRN220" s="2" t="s">
        <v>22</v>
      </c>
      <c r="QRO220" s="53" t="s">
        <v>334</v>
      </c>
      <c r="QRP220" s="2" t="s">
        <v>513</v>
      </c>
      <c r="QRQ220" s="2" t="s">
        <v>25</v>
      </c>
      <c r="QRR220" s="2" t="s">
        <v>393</v>
      </c>
      <c r="QRS220" s="7">
        <v>-74.044305502618698</v>
      </c>
      <c r="QRT220" s="7">
        <v>4.6804459478222702</v>
      </c>
      <c r="QRU220" s="2" t="s">
        <v>357</v>
      </c>
      <c r="QRV220" s="2" t="s">
        <v>63</v>
      </c>
      <c r="QRW220" s="2" t="s">
        <v>83</v>
      </c>
      <c r="QRX220" s="2" t="s">
        <v>63</v>
      </c>
      <c r="QRY220" s="24">
        <v>434</v>
      </c>
      <c r="QRZ220" s="5">
        <v>46174</v>
      </c>
      <c r="QSA220" s="5">
        <v>46174</v>
      </c>
      <c r="QSB220" s="30">
        <f t="shared" ref="QSB220" si="775">QSA220-QRZ220</f>
        <v>0</v>
      </c>
      <c r="QSC220" s="5" t="s">
        <v>317</v>
      </c>
      <c r="QSD220" s="2" t="s">
        <v>22</v>
      </c>
      <c r="QSE220" s="53" t="s">
        <v>334</v>
      </c>
      <c r="QSF220" s="2" t="s">
        <v>513</v>
      </c>
      <c r="QSG220" s="2" t="s">
        <v>25</v>
      </c>
      <c r="QSH220" s="2" t="s">
        <v>393</v>
      </c>
      <c r="QSI220" s="7">
        <v>-74.044305502618698</v>
      </c>
      <c r="QSJ220" s="7">
        <v>4.6804459478222702</v>
      </c>
      <c r="QSK220" s="2" t="s">
        <v>357</v>
      </c>
      <c r="QSL220" s="2" t="s">
        <v>63</v>
      </c>
      <c r="QSM220" s="2" t="s">
        <v>83</v>
      </c>
      <c r="QSN220" s="2" t="s">
        <v>63</v>
      </c>
      <c r="QSO220" s="24">
        <v>434</v>
      </c>
      <c r="QSP220" s="5">
        <v>46174</v>
      </c>
      <c r="QSQ220" s="5">
        <v>46174</v>
      </c>
      <c r="QSR220" s="30">
        <f t="shared" ref="QSR220" si="776">QSQ220-QSP220</f>
        <v>0</v>
      </c>
      <c r="QSS220" s="5" t="s">
        <v>317</v>
      </c>
      <c r="QST220" s="2" t="s">
        <v>22</v>
      </c>
      <c r="QSU220" s="53" t="s">
        <v>334</v>
      </c>
      <c r="QSV220" s="2" t="s">
        <v>513</v>
      </c>
      <c r="QSW220" s="2" t="s">
        <v>25</v>
      </c>
      <c r="QSX220" s="2" t="s">
        <v>393</v>
      </c>
      <c r="QSY220" s="7">
        <v>-74.044305502618698</v>
      </c>
      <c r="QSZ220" s="7">
        <v>4.6804459478222702</v>
      </c>
      <c r="QTA220" s="2" t="s">
        <v>357</v>
      </c>
      <c r="QTB220" s="2" t="s">
        <v>63</v>
      </c>
      <c r="QTC220" s="2" t="s">
        <v>83</v>
      </c>
      <c r="QTD220" s="2" t="s">
        <v>63</v>
      </c>
      <c r="QTE220" s="24">
        <v>434</v>
      </c>
      <c r="QTF220" s="5">
        <v>46174</v>
      </c>
      <c r="QTG220" s="5">
        <v>46174</v>
      </c>
      <c r="QTH220" s="30">
        <f t="shared" ref="QTH220" si="777">QTG220-QTF220</f>
        <v>0</v>
      </c>
      <c r="QTI220" s="5" t="s">
        <v>317</v>
      </c>
      <c r="QTJ220" s="2" t="s">
        <v>22</v>
      </c>
      <c r="QTK220" s="53" t="s">
        <v>334</v>
      </c>
      <c r="QTL220" s="2" t="s">
        <v>513</v>
      </c>
      <c r="QTM220" s="2" t="s">
        <v>25</v>
      </c>
      <c r="QTN220" s="2" t="s">
        <v>393</v>
      </c>
      <c r="QTO220" s="7">
        <v>-74.044305502618698</v>
      </c>
      <c r="QTP220" s="7">
        <v>4.6804459478222702</v>
      </c>
      <c r="QTQ220" s="2" t="s">
        <v>357</v>
      </c>
      <c r="QTR220" s="2" t="s">
        <v>63</v>
      </c>
      <c r="QTS220" s="2" t="s">
        <v>83</v>
      </c>
      <c r="QTT220" s="2" t="s">
        <v>63</v>
      </c>
      <c r="QTU220" s="24">
        <v>434</v>
      </c>
      <c r="QTV220" s="5">
        <v>46174</v>
      </c>
      <c r="QTW220" s="5">
        <v>46174</v>
      </c>
      <c r="QTX220" s="30">
        <f t="shared" ref="QTX220" si="778">QTW220-QTV220</f>
        <v>0</v>
      </c>
      <c r="QTY220" s="5" t="s">
        <v>317</v>
      </c>
      <c r="QTZ220" s="2" t="s">
        <v>22</v>
      </c>
      <c r="QUA220" s="53" t="s">
        <v>334</v>
      </c>
      <c r="QUB220" s="2" t="s">
        <v>513</v>
      </c>
      <c r="QUC220" s="2" t="s">
        <v>25</v>
      </c>
      <c r="QUD220" s="2" t="s">
        <v>393</v>
      </c>
      <c r="QUE220" s="7">
        <v>-74.044305502618698</v>
      </c>
      <c r="QUF220" s="7">
        <v>4.6804459478222702</v>
      </c>
      <c r="QUG220" s="2" t="s">
        <v>357</v>
      </c>
      <c r="QUH220" s="2" t="s">
        <v>63</v>
      </c>
      <c r="QUI220" s="2" t="s">
        <v>83</v>
      </c>
      <c r="QUJ220" s="2" t="s">
        <v>63</v>
      </c>
      <c r="QUK220" s="24">
        <v>434</v>
      </c>
      <c r="QUL220" s="5">
        <v>46174</v>
      </c>
      <c r="QUM220" s="5">
        <v>46174</v>
      </c>
      <c r="QUN220" s="30">
        <f t="shared" ref="QUN220" si="779">QUM220-QUL220</f>
        <v>0</v>
      </c>
      <c r="QUO220" s="5" t="s">
        <v>317</v>
      </c>
      <c r="QUP220" s="2" t="s">
        <v>22</v>
      </c>
      <c r="QUQ220" s="53" t="s">
        <v>334</v>
      </c>
      <c r="QUR220" s="2" t="s">
        <v>513</v>
      </c>
      <c r="QUS220" s="2" t="s">
        <v>25</v>
      </c>
      <c r="QUT220" s="2" t="s">
        <v>393</v>
      </c>
      <c r="QUU220" s="7">
        <v>-74.044305502618698</v>
      </c>
      <c r="QUV220" s="7">
        <v>4.6804459478222702</v>
      </c>
      <c r="QUW220" s="2" t="s">
        <v>357</v>
      </c>
      <c r="QUX220" s="2" t="s">
        <v>63</v>
      </c>
      <c r="QUY220" s="2" t="s">
        <v>83</v>
      </c>
      <c r="QUZ220" s="2" t="s">
        <v>63</v>
      </c>
      <c r="QVA220" s="24">
        <v>434</v>
      </c>
      <c r="QVB220" s="5">
        <v>46174</v>
      </c>
      <c r="QVC220" s="5">
        <v>46174</v>
      </c>
      <c r="QVD220" s="30">
        <f t="shared" ref="QVD220" si="780">QVC220-QVB220</f>
        <v>0</v>
      </c>
      <c r="QVE220" s="5" t="s">
        <v>317</v>
      </c>
      <c r="QVF220" s="2" t="s">
        <v>22</v>
      </c>
      <c r="QVG220" s="53" t="s">
        <v>334</v>
      </c>
      <c r="QVH220" s="2" t="s">
        <v>513</v>
      </c>
      <c r="QVI220" s="2" t="s">
        <v>25</v>
      </c>
      <c r="QVJ220" s="2" t="s">
        <v>393</v>
      </c>
      <c r="QVK220" s="7">
        <v>-74.044305502618698</v>
      </c>
      <c r="QVL220" s="7">
        <v>4.6804459478222702</v>
      </c>
      <c r="QVM220" s="2" t="s">
        <v>357</v>
      </c>
      <c r="QVN220" s="2" t="s">
        <v>63</v>
      </c>
      <c r="QVO220" s="2" t="s">
        <v>83</v>
      </c>
      <c r="QVP220" s="2" t="s">
        <v>63</v>
      </c>
      <c r="QVQ220" s="24">
        <v>434</v>
      </c>
      <c r="QVR220" s="5">
        <v>46174</v>
      </c>
      <c r="QVS220" s="5">
        <v>46174</v>
      </c>
      <c r="QVT220" s="30">
        <f t="shared" ref="QVT220" si="781">QVS220-QVR220</f>
        <v>0</v>
      </c>
      <c r="QVU220" s="5" t="s">
        <v>317</v>
      </c>
      <c r="QVV220" s="2" t="s">
        <v>22</v>
      </c>
      <c r="QVW220" s="53" t="s">
        <v>334</v>
      </c>
      <c r="QVX220" s="2" t="s">
        <v>513</v>
      </c>
      <c r="QVY220" s="2" t="s">
        <v>25</v>
      </c>
      <c r="QVZ220" s="2" t="s">
        <v>393</v>
      </c>
      <c r="QWA220" s="7">
        <v>-74.044305502618698</v>
      </c>
      <c r="QWB220" s="7">
        <v>4.6804459478222702</v>
      </c>
      <c r="QWC220" s="2" t="s">
        <v>357</v>
      </c>
      <c r="QWD220" s="2" t="s">
        <v>63</v>
      </c>
      <c r="QWE220" s="2" t="s">
        <v>83</v>
      </c>
      <c r="QWF220" s="2" t="s">
        <v>63</v>
      </c>
      <c r="QWG220" s="24">
        <v>434</v>
      </c>
      <c r="QWH220" s="5">
        <v>46174</v>
      </c>
      <c r="QWI220" s="5">
        <v>46174</v>
      </c>
      <c r="QWJ220" s="30">
        <f t="shared" ref="QWJ220" si="782">QWI220-QWH220</f>
        <v>0</v>
      </c>
      <c r="QWK220" s="5" t="s">
        <v>317</v>
      </c>
      <c r="QWL220" s="2" t="s">
        <v>22</v>
      </c>
      <c r="QWM220" s="53" t="s">
        <v>334</v>
      </c>
      <c r="QWN220" s="2" t="s">
        <v>513</v>
      </c>
      <c r="QWO220" s="2" t="s">
        <v>25</v>
      </c>
      <c r="QWP220" s="2" t="s">
        <v>393</v>
      </c>
      <c r="QWQ220" s="7">
        <v>-74.044305502618698</v>
      </c>
      <c r="QWR220" s="7">
        <v>4.6804459478222702</v>
      </c>
      <c r="QWS220" s="2" t="s">
        <v>357</v>
      </c>
      <c r="QWT220" s="2" t="s">
        <v>63</v>
      </c>
      <c r="QWU220" s="2" t="s">
        <v>83</v>
      </c>
      <c r="QWV220" s="2" t="s">
        <v>63</v>
      </c>
      <c r="QWW220" s="24">
        <v>434</v>
      </c>
      <c r="QWX220" s="5">
        <v>46174</v>
      </c>
      <c r="QWY220" s="5">
        <v>46174</v>
      </c>
      <c r="QWZ220" s="30">
        <f t="shared" ref="QWZ220" si="783">QWY220-QWX220</f>
        <v>0</v>
      </c>
      <c r="QXA220" s="5" t="s">
        <v>317</v>
      </c>
      <c r="QXB220" s="2" t="s">
        <v>22</v>
      </c>
      <c r="QXC220" s="53" t="s">
        <v>334</v>
      </c>
      <c r="QXD220" s="2" t="s">
        <v>513</v>
      </c>
      <c r="QXE220" s="2" t="s">
        <v>25</v>
      </c>
      <c r="QXF220" s="2" t="s">
        <v>393</v>
      </c>
      <c r="QXG220" s="7">
        <v>-74.044305502618698</v>
      </c>
      <c r="QXH220" s="7">
        <v>4.6804459478222702</v>
      </c>
      <c r="QXI220" s="2" t="s">
        <v>357</v>
      </c>
      <c r="QXJ220" s="2" t="s">
        <v>63</v>
      </c>
      <c r="QXK220" s="2" t="s">
        <v>83</v>
      </c>
      <c r="QXL220" s="2" t="s">
        <v>63</v>
      </c>
      <c r="QXM220" s="24">
        <v>434</v>
      </c>
      <c r="QXN220" s="5">
        <v>46174</v>
      </c>
      <c r="QXO220" s="5">
        <v>46174</v>
      </c>
      <c r="QXP220" s="30">
        <f t="shared" ref="QXP220" si="784">QXO220-QXN220</f>
        <v>0</v>
      </c>
      <c r="QXQ220" s="5" t="s">
        <v>317</v>
      </c>
      <c r="QXR220" s="2" t="s">
        <v>22</v>
      </c>
      <c r="QXS220" s="53" t="s">
        <v>334</v>
      </c>
      <c r="QXT220" s="2" t="s">
        <v>513</v>
      </c>
      <c r="QXU220" s="2" t="s">
        <v>25</v>
      </c>
      <c r="QXV220" s="2" t="s">
        <v>393</v>
      </c>
      <c r="QXW220" s="7">
        <v>-74.044305502618698</v>
      </c>
      <c r="QXX220" s="7">
        <v>4.6804459478222702</v>
      </c>
      <c r="QXY220" s="2" t="s">
        <v>357</v>
      </c>
      <c r="QXZ220" s="2" t="s">
        <v>63</v>
      </c>
      <c r="QYA220" s="2" t="s">
        <v>83</v>
      </c>
      <c r="QYB220" s="2" t="s">
        <v>63</v>
      </c>
      <c r="QYC220" s="24">
        <v>434</v>
      </c>
      <c r="QYD220" s="5">
        <v>46174</v>
      </c>
      <c r="QYE220" s="5">
        <v>46174</v>
      </c>
      <c r="QYF220" s="30">
        <f t="shared" ref="QYF220" si="785">QYE220-QYD220</f>
        <v>0</v>
      </c>
      <c r="QYG220" s="5" t="s">
        <v>317</v>
      </c>
      <c r="QYH220" s="2" t="s">
        <v>22</v>
      </c>
      <c r="QYI220" s="53" t="s">
        <v>334</v>
      </c>
      <c r="QYJ220" s="2" t="s">
        <v>513</v>
      </c>
      <c r="QYK220" s="2" t="s">
        <v>25</v>
      </c>
      <c r="QYL220" s="2" t="s">
        <v>393</v>
      </c>
      <c r="QYM220" s="7">
        <v>-74.044305502618698</v>
      </c>
      <c r="QYN220" s="7">
        <v>4.6804459478222702</v>
      </c>
      <c r="QYO220" s="2" t="s">
        <v>357</v>
      </c>
      <c r="QYP220" s="2" t="s">
        <v>63</v>
      </c>
      <c r="QYQ220" s="2" t="s">
        <v>83</v>
      </c>
      <c r="QYR220" s="2" t="s">
        <v>63</v>
      </c>
      <c r="QYS220" s="24">
        <v>434</v>
      </c>
      <c r="QYT220" s="5">
        <v>46174</v>
      </c>
      <c r="QYU220" s="5">
        <v>46174</v>
      </c>
      <c r="QYV220" s="30">
        <f t="shared" ref="QYV220" si="786">QYU220-QYT220</f>
        <v>0</v>
      </c>
      <c r="QYW220" s="5" t="s">
        <v>317</v>
      </c>
      <c r="QYX220" s="2" t="s">
        <v>22</v>
      </c>
      <c r="QYY220" s="53" t="s">
        <v>334</v>
      </c>
      <c r="QYZ220" s="2" t="s">
        <v>513</v>
      </c>
      <c r="QZA220" s="2" t="s">
        <v>25</v>
      </c>
      <c r="QZB220" s="2" t="s">
        <v>393</v>
      </c>
      <c r="QZC220" s="7">
        <v>-74.044305502618698</v>
      </c>
      <c r="QZD220" s="7">
        <v>4.6804459478222702</v>
      </c>
      <c r="QZE220" s="2" t="s">
        <v>357</v>
      </c>
      <c r="QZF220" s="2" t="s">
        <v>63</v>
      </c>
      <c r="QZG220" s="2" t="s">
        <v>83</v>
      </c>
      <c r="QZH220" s="2" t="s">
        <v>63</v>
      </c>
      <c r="QZI220" s="24">
        <v>434</v>
      </c>
      <c r="QZJ220" s="5">
        <v>46174</v>
      </c>
      <c r="QZK220" s="5">
        <v>46174</v>
      </c>
      <c r="QZL220" s="30">
        <f t="shared" ref="QZL220" si="787">QZK220-QZJ220</f>
        <v>0</v>
      </c>
      <c r="QZM220" s="5" t="s">
        <v>317</v>
      </c>
      <c r="QZN220" s="2" t="s">
        <v>22</v>
      </c>
      <c r="QZO220" s="53" t="s">
        <v>334</v>
      </c>
      <c r="QZP220" s="2" t="s">
        <v>513</v>
      </c>
      <c r="QZQ220" s="2" t="s">
        <v>25</v>
      </c>
      <c r="QZR220" s="2" t="s">
        <v>393</v>
      </c>
      <c r="QZS220" s="7">
        <v>-74.044305502618698</v>
      </c>
      <c r="QZT220" s="7">
        <v>4.6804459478222702</v>
      </c>
      <c r="QZU220" s="2" t="s">
        <v>357</v>
      </c>
      <c r="QZV220" s="2" t="s">
        <v>63</v>
      </c>
      <c r="QZW220" s="2" t="s">
        <v>83</v>
      </c>
      <c r="QZX220" s="2" t="s">
        <v>63</v>
      </c>
      <c r="QZY220" s="24">
        <v>434</v>
      </c>
      <c r="QZZ220" s="5">
        <v>46174</v>
      </c>
      <c r="RAA220" s="5">
        <v>46174</v>
      </c>
      <c r="RAB220" s="30">
        <f t="shared" ref="RAB220" si="788">RAA220-QZZ220</f>
        <v>0</v>
      </c>
      <c r="RAC220" s="5" t="s">
        <v>317</v>
      </c>
      <c r="RAD220" s="2" t="s">
        <v>22</v>
      </c>
      <c r="RAE220" s="53" t="s">
        <v>334</v>
      </c>
      <c r="RAF220" s="2" t="s">
        <v>513</v>
      </c>
      <c r="RAG220" s="2" t="s">
        <v>25</v>
      </c>
      <c r="RAH220" s="2" t="s">
        <v>393</v>
      </c>
      <c r="RAI220" s="7">
        <v>-74.044305502618698</v>
      </c>
      <c r="RAJ220" s="7">
        <v>4.6804459478222702</v>
      </c>
      <c r="RAK220" s="2" t="s">
        <v>357</v>
      </c>
      <c r="RAL220" s="2" t="s">
        <v>63</v>
      </c>
      <c r="RAM220" s="2" t="s">
        <v>83</v>
      </c>
      <c r="RAN220" s="2" t="s">
        <v>63</v>
      </c>
      <c r="RAO220" s="24">
        <v>434</v>
      </c>
      <c r="RAP220" s="5">
        <v>46174</v>
      </c>
      <c r="RAQ220" s="5">
        <v>46174</v>
      </c>
      <c r="RAR220" s="30">
        <f t="shared" ref="RAR220" si="789">RAQ220-RAP220</f>
        <v>0</v>
      </c>
      <c r="RAS220" s="5" t="s">
        <v>317</v>
      </c>
      <c r="RAT220" s="2" t="s">
        <v>22</v>
      </c>
      <c r="RAU220" s="53" t="s">
        <v>334</v>
      </c>
      <c r="RAV220" s="2" t="s">
        <v>513</v>
      </c>
      <c r="RAW220" s="2" t="s">
        <v>25</v>
      </c>
      <c r="RAX220" s="2" t="s">
        <v>393</v>
      </c>
      <c r="RAY220" s="7">
        <v>-74.044305502618698</v>
      </c>
      <c r="RAZ220" s="7">
        <v>4.6804459478222702</v>
      </c>
      <c r="RBA220" s="2" t="s">
        <v>357</v>
      </c>
      <c r="RBB220" s="2" t="s">
        <v>63</v>
      </c>
      <c r="RBC220" s="2" t="s">
        <v>83</v>
      </c>
      <c r="RBD220" s="2" t="s">
        <v>63</v>
      </c>
      <c r="RBE220" s="24">
        <v>434</v>
      </c>
      <c r="RBF220" s="5">
        <v>46174</v>
      </c>
      <c r="RBG220" s="5">
        <v>46174</v>
      </c>
      <c r="RBH220" s="30">
        <f t="shared" ref="RBH220" si="790">RBG220-RBF220</f>
        <v>0</v>
      </c>
      <c r="RBI220" s="5" t="s">
        <v>317</v>
      </c>
      <c r="RBJ220" s="2" t="s">
        <v>22</v>
      </c>
      <c r="RBK220" s="53" t="s">
        <v>334</v>
      </c>
      <c r="RBL220" s="2" t="s">
        <v>513</v>
      </c>
      <c r="RBM220" s="2" t="s">
        <v>25</v>
      </c>
      <c r="RBN220" s="2" t="s">
        <v>393</v>
      </c>
      <c r="RBO220" s="7">
        <v>-74.044305502618698</v>
      </c>
      <c r="RBP220" s="7">
        <v>4.6804459478222702</v>
      </c>
      <c r="RBQ220" s="2" t="s">
        <v>357</v>
      </c>
      <c r="RBR220" s="2" t="s">
        <v>63</v>
      </c>
      <c r="RBS220" s="2" t="s">
        <v>83</v>
      </c>
      <c r="RBT220" s="2" t="s">
        <v>63</v>
      </c>
      <c r="RBU220" s="24">
        <v>434</v>
      </c>
      <c r="RBV220" s="5">
        <v>46174</v>
      </c>
      <c r="RBW220" s="5">
        <v>46174</v>
      </c>
      <c r="RBX220" s="30">
        <f t="shared" ref="RBX220" si="791">RBW220-RBV220</f>
        <v>0</v>
      </c>
      <c r="RBY220" s="5" t="s">
        <v>317</v>
      </c>
      <c r="RBZ220" s="2" t="s">
        <v>22</v>
      </c>
      <c r="RCA220" s="53" t="s">
        <v>334</v>
      </c>
      <c r="RCB220" s="2" t="s">
        <v>513</v>
      </c>
      <c r="RCC220" s="2" t="s">
        <v>25</v>
      </c>
      <c r="RCD220" s="2" t="s">
        <v>393</v>
      </c>
      <c r="RCE220" s="7">
        <v>-74.044305502618698</v>
      </c>
      <c r="RCF220" s="7">
        <v>4.6804459478222702</v>
      </c>
      <c r="RCG220" s="2" t="s">
        <v>357</v>
      </c>
      <c r="RCH220" s="2" t="s">
        <v>63</v>
      </c>
      <c r="RCI220" s="2" t="s">
        <v>83</v>
      </c>
      <c r="RCJ220" s="2" t="s">
        <v>63</v>
      </c>
      <c r="RCK220" s="24">
        <v>434</v>
      </c>
      <c r="RCL220" s="5">
        <v>46174</v>
      </c>
      <c r="RCM220" s="5">
        <v>46174</v>
      </c>
      <c r="RCN220" s="30">
        <f t="shared" ref="RCN220" si="792">RCM220-RCL220</f>
        <v>0</v>
      </c>
      <c r="RCO220" s="5" t="s">
        <v>317</v>
      </c>
      <c r="RCP220" s="2" t="s">
        <v>22</v>
      </c>
      <c r="RCQ220" s="53" t="s">
        <v>334</v>
      </c>
      <c r="RCR220" s="2" t="s">
        <v>513</v>
      </c>
      <c r="RCS220" s="2" t="s">
        <v>25</v>
      </c>
      <c r="RCT220" s="2" t="s">
        <v>393</v>
      </c>
      <c r="RCU220" s="7">
        <v>-74.044305502618698</v>
      </c>
      <c r="RCV220" s="7">
        <v>4.6804459478222702</v>
      </c>
      <c r="RCW220" s="2" t="s">
        <v>357</v>
      </c>
      <c r="RCX220" s="2" t="s">
        <v>63</v>
      </c>
      <c r="RCY220" s="2" t="s">
        <v>83</v>
      </c>
      <c r="RCZ220" s="2" t="s">
        <v>63</v>
      </c>
      <c r="RDA220" s="24">
        <v>434</v>
      </c>
      <c r="RDB220" s="5">
        <v>46174</v>
      </c>
      <c r="RDC220" s="5">
        <v>46174</v>
      </c>
      <c r="RDD220" s="30">
        <f t="shared" ref="RDD220" si="793">RDC220-RDB220</f>
        <v>0</v>
      </c>
      <c r="RDE220" s="5" t="s">
        <v>317</v>
      </c>
      <c r="RDF220" s="2" t="s">
        <v>22</v>
      </c>
      <c r="RDG220" s="53" t="s">
        <v>334</v>
      </c>
      <c r="RDH220" s="2" t="s">
        <v>513</v>
      </c>
      <c r="RDI220" s="2" t="s">
        <v>25</v>
      </c>
      <c r="RDJ220" s="2" t="s">
        <v>393</v>
      </c>
      <c r="RDK220" s="7">
        <v>-74.044305502618698</v>
      </c>
      <c r="RDL220" s="7">
        <v>4.6804459478222702</v>
      </c>
      <c r="RDM220" s="2" t="s">
        <v>357</v>
      </c>
      <c r="RDN220" s="2" t="s">
        <v>63</v>
      </c>
      <c r="RDO220" s="2" t="s">
        <v>83</v>
      </c>
      <c r="RDP220" s="2" t="s">
        <v>63</v>
      </c>
      <c r="RDQ220" s="24">
        <v>434</v>
      </c>
      <c r="RDR220" s="5">
        <v>46174</v>
      </c>
      <c r="RDS220" s="5">
        <v>46174</v>
      </c>
      <c r="RDT220" s="30">
        <f t="shared" ref="RDT220" si="794">RDS220-RDR220</f>
        <v>0</v>
      </c>
      <c r="RDU220" s="5" t="s">
        <v>317</v>
      </c>
      <c r="RDV220" s="2" t="s">
        <v>22</v>
      </c>
      <c r="RDW220" s="53" t="s">
        <v>334</v>
      </c>
      <c r="RDX220" s="2" t="s">
        <v>513</v>
      </c>
      <c r="RDY220" s="2" t="s">
        <v>25</v>
      </c>
      <c r="RDZ220" s="2" t="s">
        <v>393</v>
      </c>
      <c r="REA220" s="7">
        <v>-74.044305502618698</v>
      </c>
      <c r="REB220" s="7">
        <v>4.6804459478222702</v>
      </c>
      <c r="REC220" s="2" t="s">
        <v>357</v>
      </c>
      <c r="RED220" s="2" t="s">
        <v>63</v>
      </c>
      <c r="REE220" s="2" t="s">
        <v>83</v>
      </c>
      <c r="REF220" s="2" t="s">
        <v>63</v>
      </c>
      <c r="REG220" s="24">
        <v>434</v>
      </c>
      <c r="REH220" s="5">
        <v>46174</v>
      </c>
      <c r="REI220" s="5">
        <v>46174</v>
      </c>
      <c r="REJ220" s="30">
        <f t="shared" ref="REJ220" si="795">REI220-REH220</f>
        <v>0</v>
      </c>
      <c r="REK220" s="5" t="s">
        <v>317</v>
      </c>
      <c r="REL220" s="2" t="s">
        <v>22</v>
      </c>
      <c r="REM220" s="53" t="s">
        <v>334</v>
      </c>
      <c r="REN220" s="2" t="s">
        <v>513</v>
      </c>
      <c r="REO220" s="2" t="s">
        <v>25</v>
      </c>
      <c r="REP220" s="2" t="s">
        <v>393</v>
      </c>
      <c r="REQ220" s="7">
        <v>-74.044305502618698</v>
      </c>
      <c r="RER220" s="7">
        <v>4.6804459478222702</v>
      </c>
      <c r="RES220" s="2" t="s">
        <v>357</v>
      </c>
      <c r="RET220" s="2" t="s">
        <v>63</v>
      </c>
      <c r="REU220" s="2" t="s">
        <v>83</v>
      </c>
      <c r="REV220" s="2" t="s">
        <v>63</v>
      </c>
      <c r="REW220" s="24">
        <v>434</v>
      </c>
      <c r="REX220" s="5">
        <v>46174</v>
      </c>
      <c r="REY220" s="5">
        <v>46174</v>
      </c>
      <c r="REZ220" s="30">
        <f t="shared" ref="REZ220" si="796">REY220-REX220</f>
        <v>0</v>
      </c>
      <c r="RFA220" s="5" t="s">
        <v>317</v>
      </c>
      <c r="RFB220" s="2" t="s">
        <v>22</v>
      </c>
      <c r="RFC220" s="53" t="s">
        <v>334</v>
      </c>
      <c r="RFD220" s="2" t="s">
        <v>513</v>
      </c>
      <c r="RFE220" s="2" t="s">
        <v>25</v>
      </c>
      <c r="RFF220" s="2" t="s">
        <v>393</v>
      </c>
      <c r="RFG220" s="7">
        <v>-74.044305502618698</v>
      </c>
      <c r="RFH220" s="7">
        <v>4.6804459478222702</v>
      </c>
      <c r="RFI220" s="2" t="s">
        <v>357</v>
      </c>
      <c r="RFJ220" s="2" t="s">
        <v>63</v>
      </c>
      <c r="RFK220" s="2" t="s">
        <v>83</v>
      </c>
      <c r="RFL220" s="2" t="s">
        <v>63</v>
      </c>
      <c r="RFM220" s="24">
        <v>434</v>
      </c>
      <c r="RFN220" s="5">
        <v>46174</v>
      </c>
      <c r="RFO220" s="5">
        <v>46174</v>
      </c>
      <c r="RFP220" s="30">
        <f t="shared" ref="RFP220" si="797">RFO220-RFN220</f>
        <v>0</v>
      </c>
      <c r="RFQ220" s="5" t="s">
        <v>317</v>
      </c>
      <c r="RFR220" s="2" t="s">
        <v>22</v>
      </c>
      <c r="RFS220" s="53" t="s">
        <v>334</v>
      </c>
      <c r="RFT220" s="2" t="s">
        <v>513</v>
      </c>
      <c r="RFU220" s="2" t="s">
        <v>25</v>
      </c>
      <c r="RFV220" s="2" t="s">
        <v>393</v>
      </c>
      <c r="RFW220" s="7">
        <v>-74.044305502618698</v>
      </c>
      <c r="RFX220" s="7">
        <v>4.6804459478222702</v>
      </c>
      <c r="RFY220" s="2" t="s">
        <v>357</v>
      </c>
      <c r="RFZ220" s="2" t="s">
        <v>63</v>
      </c>
      <c r="RGA220" s="2" t="s">
        <v>83</v>
      </c>
      <c r="RGB220" s="2" t="s">
        <v>63</v>
      </c>
      <c r="RGC220" s="24">
        <v>434</v>
      </c>
      <c r="RGD220" s="5">
        <v>46174</v>
      </c>
      <c r="RGE220" s="5">
        <v>46174</v>
      </c>
      <c r="RGF220" s="30">
        <f t="shared" ref="RGF220" si="798">RGE220-RGD220</f>
        <v>0</v>
      </c>
      <c r="RGG220" s="5" t="s">
        <v>317</v>
      </c>
      <c r="RGH220" s="2" t="s">
        <v>22</v>
      </c>
      <c r="RGI220" s="53" t="s">
        <v>334</v>
      </c>
      <c r="RGJ220" s="2" t="s">
        <v>513</v>
      </c>
      <c r="RGK220" s="2" t="s">
        <v>25</v>
      </c>
      <c r="RGL220" s="2" t="s">
        <v>393</v>
      </c>
      <c r="RGM220" s="7">
        <v>-74.044305502618698</v>
      </c>
      <c r="RGN220" s="7">
        <v>4.6804459478222702</v>
      </c>
      <c r="RGO220" s="2" t="s">
        <v>357</v>
      </c>
      <c r="RGP220" s="2" t="s">
        <v>63</v>
      </c>
      <c r="RGQ220" s="2" t="s">
        <v>83</v>
      </c>
      <c r="RGR220" s="2" t="s">
        <v>63</v>
      </c>
      <c r="RGS220" s="24">
        <v>434</v>
      </c>
      <c r="RGT220" s="5">
        <v>46174</v>
      </c>
      <c r="RGU220" s="5">
        <v>46174</v>
      </c>
      <c r="RGV220" s="30">
        <f t="shared" ref="RGV220" si="799">RGU220-RGT220</f>
        <v>0</v>
      </c>
      <c r="RGW220" s="5" t="s">
        <v>317</v>
      </c>
      <c r="RGX220" s="2" t="s">
        <v>22</v>
      </c>
      <c r="RGY220" s="53" t="s">
        <v>334</v>
      </c>
      <c r="RGZ220" s="2" t="s">
        <v>513</v>
      </c>
      <c r="RHA220" s="2" t="s">
        <v>25</v>
      </c>
      <c r="RHB220" s="2" t="s">
        <v>393</v>
      </c>
      <c r="RHC220" s="7">
        <v>-74.044305502618698</v>
      </c>
      <c r="RHD220" s="7">
        <v>4.6804459478222702</v>
      </c>
      <c r="RHE220" s="2" t="s">
        <v>357</v>
      </c>
      <c r="RHF220" s="2" t="s">
        <v>63</v>
      </c>
      <c r="RHG220" s="2" t="s">
        <v>83</v>
      </c>
      <c r="RHH220" s="2" t="s">
        <v>63</v>
      </c>
      <c r="RHI220" s="24">
        <v>434</v>
      </c>
      <c r="RHJ220" s="5">
        <v>46174</v>
      </c>
      <c r="RHK220" s="5">
        <v>46174</v>
      </c>
      <c r="RHL220" s="30">
        <f t="shared" ref="RHL220" si="800">RHK220-RHJ220</f>
        <v>0</v>
      </c>
      <c r="RHM220" s="5" t="s">
        <v>317</v>
      </c>
      <c r="RHN220" s="2" t="s">
        <v>22</v>
      </c>
      <c r="RHO220" s="53" t="s">
        <v>334</v>
      </c>
      <c r="RHP220" s="2" t="s">
        <v>513</v>
      </c>
      <c r="RHQ220" s="2" t="s">
        <v>25</v>
      </c>
      <c r="RHR220" s="2" t="s">
        <v>393</v>
      </c>
      <c r="RHS220" s="7">
        <v>-74.044305502618698</v>
      </c>
      <c r="RHT220" s="7">
        <v>4.6804459478222702</v>
      </c>
      <c r="RHU220" s="2" t="s">
        <v>357</v>
      </c>
      <c r="RHV220" s="2" t="s">
        <v>63</v>
      </c>
      <c r="RHW220" s="2" t="s">
        <v>83</v>
      </c>
      <c r="RHX220" s="2" t="s">
        <v>63</v>
      </c>
      <c r="RHY220" s="24">
        <v>434</v>
      </c>
      <c r="RHZ220" s="5">
        <v>46174</v>
      </c>
      <c r="RIA220" s="5">
        <v>46174</v>
      </c>
      <c r="RIB220" s="30">
        <f t="shared" ref="RIB220" si="801">RIA220-RHZ220</f>
        <v>0</v>
      </c>
      <c r="RIC220" s="5" t="s">
        <v>317</v>
      </c>
      <c r="RID220" s="2" t="s">
        <v>22</v>
      </c>
      <c r="RIE220" s="53" t="s">
        <v>334</v>
      </c>
      <c r="RIF220" s="2" t="s">
        <v>513</v>
      </c>
      <c r="RIG220" s="2" t="s">
        <v>25</v>
      </c>
      <c r="RIH220" s="2" t="s">
        <v>393</v>
      </c>
      <c r="RII220" s="7">
        <v>-74.044305502618698</v>
      </c>
      <c r="RIJ220" s="7">
        <v>4.6804459478222702</v>
      </c>
      <c r="RIK220" s="2" t="s">
        <v>357</v>
      </c>
      <c r="RIL220" s="2" t="s">
        <v>63</v>
      </c>
      <c r="RIM220" s="2" t="s">
        <v>83</v>
      </c>
      <c r="RIN220" s="2" t="s">
        <v>63</v>
      </c>
      <c r="RIO220" s="24">
        <v>434</v>
      </c>
      <c r="RIP220" s="5">
        <v>46174</v>
      </c>
      <c r="RIQ220" s="5">
        <v>46174</v>
      </c>
      <c r="RIR220" s="30">
        <f t="shared" ref="RIR220" si="802">RIQ220-RIP220</f>
        <v>0</v>
      </c>
      <c r="RIS220" s="5" t="s">
        <v>317</v>
      </c>
      <c r="RIT220" s="2" t="s">
        <v>22</v>
      </c>
      <c r="RIU220" s="53" t="s">
        <v>334</v>
      </c>
      <c r="RIV220" s="2" t="s">
        <v>513</v>
      </c>
      <c r="RIW220" s="2" t="s">
        <v>25</v>
      </c>
      <c r="RIX220" s="2" t="s">
        <v>393</v>
      </c>
      <c r="RIY220" s="7">
        <v>-74.044305502618698</v>
      </c>
      <c r="RIZ220" s="7">
        <v>4.6804459478222702</v>
      </c>
      <c r="RJA220" s="2" t="s">
        <v>357</v>
      </c>
      <c r="RJB220" s="2" t="s">
        <v>63</v>
      </c>
      <c r="RJC220" s="2" t="s">
        <v>83</v>
      </c>
      <c r="RJD220" s="2" t="s">
        <v>63</v>
      </c>
      <c r="RJE220" s="24">
        <v>434</v>
      </c>
      <c r="RJF220" s="5">
        <v>46174</v>
      </c>
      <c r="RJG220" s="5">
        <v>46174</v>
      </c>
      <c r="RJH220" s="30">
        <f t="shared" ref="RJH220" si="803">RJG220-RJF220</f>
        <v>0</v>
      </c>
      <c r="RJI220" s="5" t="s">
        <v>317</v>
      </c>
      <c r="RJJ220" s="2" t="s">
        <v>22</v>
      </c>
      <c r="RJK220" s="53" t="s">
        <v>334</v>
      </c>
      <c r="RJL220" s="2" t="s">
        <v>513</v>
      </c>
      <c r="RJM220" s="2" t="s">
        <v>25</v>
      </c>
      <c r="RJN220" s="2" t="s">
        <v>393</v>
      </c>
      <c r="RJO220" s="7">
        <v>-74.044305502618698</v>
      </c>
      <c r="RJP220" s="7">
        <v>4.6804459478222702</v>
      </c>
      <c r="RJQ220" s="2" t="s">
        <v>357</v>
      </c>
      <c r="RJR220" s="2" t="s">
        <v>63</v>
      </c>
      <c r="RJS220" s="2" t="s">
        <v>83</v>
      </c>
      <c r="RJT220" s="2" t="s">
        <v>63</v>
      </c>
      <c r="RJU220" s="24">
        <v>434</v>
      </c>
      <c r="RJV220" s="5">
        <v>46174</v>
      </c>
      <c r="RJW220" s="5">
        <v>46174</v>
      </c>
      <c r="RJX220" s="30">
        <f t="shared" ref="RJX220" si="804">RJW220-RJV220</f>
        <v>0</v>
      </c>
      <c r="RJY220" s="5" t="s">
        <v>317</v>
      </c>
      <c r="RJZ220" s="2" t="s">
        <v>22</v>
      </c>
      <c r="RKA220" s="53" t="s">
        <v>334</v>
      </c>
      <c r="RKB220" s="2" t="s">
        <v>513</v>
      </c>
      <c r="RKC220" s="2" t="s">
        <v>25</v>
      </c>
      <c r="RKD220" s="2" t="s">
        <v>393</v>
      </c>
      <c r="RKE220" s="7">
        <v>-74.044305502618698</v>
      </c>
      <c r="RKF220" s="7">
        <v>4.6804459478222702</v>
      </c>
      <c r="RKG220" s="2" t="s">
        <v>357</v>
      </c>
      <c r="RKH220" s="2" t="s">
        <v>63</v>
      </c>
      <c r="RKI220" s="2" t="s">
        <v>83</v>
      </c>
      <c r="RKJ220" s="2" t="s">
        <v>63</v>
      </c>
      <c r="RKK220" s="24">
        <v>434</v>
      </c>
      <c r="RKL220" s="5">
        <v>46174</v>
      </c>
      <c r="RKM220" s="5">
        <v>46174</v>
      </c>
      <c r="RKN220" s="30">
        <f t="shared" ref="RKN220" si="805">RKM220-RKL220</f>
        <v>0</v>
      </c>
      <c r="RKO220" s="5" t="s">
        <v>317</v>
      </c>
      <c r="RKP220" s="2" t="s">
        <v>22</v>
      </c>
      <c r="RKQ220" s="53" t="s">
        <v>334</v>
      </c>
      <c r="RKR220" s="2" t="s">
        <v>513</v>
      </c>
      <c r="RKS220" s="2" t="s">
        <v>25</v>
      </c>
      <c r="RKT220" s="2" t="s">
        <v>393</v>
      </c>
      <c r="RKU220" s="7">
        <v>-74.044305502618698</v>
      </c>
      <c r="RKV220" s="7">
        <v>4.6804459478222702</v>
      </c>
      <c r="RKW220" s="2" t="s">
        <v>357</v>
      </c>
      <c r="RKX220" s="2" t="s">
        <v>63</v>
      </c>
      <c r="RKY220" s="2" t="s">
        <v>83</v>
      </c>
      <c r="RKZ220" s="2" t="s">
        <v>63</v>
      </c>
      <c r="RLA220" s="24">
        <v>434</v>
      </c>
      <c r="RLB220" s="5">
        <v>46174</v>
      </c>
      <c r="RLC220" s="5">
        <v>46174</v>
      </c>
      <c r="RLD220" s="30">
        <f t="shared" ref="RLD220" si="806">RLC220-RLB220</f>
        <v>0</v>
      </c>
      <c r="RLE220" s="5" t="s">
        <v>317</v>
      </c>
      <c r="RLF220" s="2" t="s">
        <v>22</v>
      </c>
      <c r="RLG220" s="53" t="s">
        <v>334</v>
      </c>
      <c r="RLH220" s="2" t="s">
        <v>513</v>
      </c>
      <c r="RLI220" s="2" t="s">
        <v>25</v>
      </c>
      <c r="RLJ220" s="2" t="s">
        <v>393</v>
      </c>
      <c r="RLK220" s="7">
        <v>-74.044305502618698</v>
      </c>
      <c r="RLL220" s="7">
        <v>4.6804459478222702</v>
      </c>
      <c r="RLM220" s="2" t="s">
        <v>357</v>
      </c>
      <c r="RLN220" s="2" t="s">
        <v>63</v>
      </c>
      <c r="RLO220" s="2" t="s">
        <v>83</v>
      </c>
      <c r="RLP220" s="2" t="s">
        <v>63</v>
      </c>
      <c r="RLQ220" s="24">
        <v>434</v>
      </c>
      <c r="RLR220" s="5">
        <v>46174</v>
      </c>
      <c r="RLS220" s="5">
        <v>46174</v>
      </c>
      <c r="RLT220" s="30">
        <f t="shared" ref="RLT220" si="807">RLS220-RLR220</f>
        <v>0</v>
      </c>
      <c r="RLU220" s="5" t="s">
        <v>317</v>
      </c>
      <c r="RLV220" s="2" t="s">
        <v>22</v>
      </c>
      <c r="RLW220" s="53" t="s">
        <v>334</v>
      </c>
      <c r="RLX220" s="2" t="s">
        <v>513</v>
      </c>
      <c r="RLY220" s="2" t="s">
        <v>25</v>
      </c>
      <c r="RLZ220" s="2" t="s">
        <v>393</v>
      </c>
      <c r="RMA220" s="7">
        <v>-74.044305502618698</v>
      </c>
      <c r="RMB220" s="7">
        <v>4.6804459478222702</v>
      </c>
      <c r="RMC220" s="2" t="s">
        <v>357</v>
      </c>
      <c r="RMD220" s="2" t="s">
        <v>63</v>
      </c>
      <c r="RME220" s="2" t="s">
        <v>83</v>
      </c>
      <c r="RMF220" s="2" t="s">
        <v>63</v>
      </c>
      <c r="RMG220" s="24">
        <v>434</v>
      </c>
      <c r="RMH220" s="5">
        <v>46174</v>
      </c>
      <c r="RMI220" s="5">
        <v>46174</v>
      </c>
      <c r="RMJ220" s="30">
        <f t="shared" ref="RMJ220" si="808">RMI220-RMH220</f>
        <v>0</v>
      </c>
      <c r="RMK220" s="5" t="s">
        <v>317</v>
      </c>
      <c r="RML220" s="2" t="s">
        <v>22</v>
      </c>
      <c r="RMM220" s="53" t="s">
        <v>334</v>
      </c>
      <c r="RMN220" s="2" t="s">
        <v>513</v>
      </c>
      <c r="RMO220" s="2" t="s">
        <v>25</v>
      </c>
      <c r="RMP220" s="2" t="s">
        <v>393</v>
      </c>
      <c r="RMQ220" s="7">
        <v>-74.044305502618698</v>
      </c>
      <c r="RMR220" s="7">
        <v>4.6804459478222702</v>
      </c>
      <c r="RMS220" s="2" t="s">
        <v>357</v>
      </c>
      <c r="RMT220" s="2" t="s">
        <v>63</v>
      </c>
      <c r="RMU220" s="2" t="s">
        <v>83</v>
      </c>
      <c r="RMV220" s="2" t="s">
        <v>63</v>
      </c>
      <c r="RMW220" s="24">
        <v>434</v>
      </c>
      <c r="RMX220" s="5">
        <v>46174</v>
      </c>
      <c r="RMY220" s="5">
        <v>46174</v>
      </c>
      <c r="RMZ220" s="30">
        <f t="shared" ref="RMZ220" si="809">RMY220-RMX220</f>
        <v>0</v>
      </c>
      <c r="RNA220" s="5" t="s">
        <v>317</v>
      </c>
      <c r="RNB220" s="2" t="s">
        <v>22</v>
      </c>
      <c r="RNC220" s="53" t="s">
        <v>334</v>
      </c>
      <c r="RND220" s="2" t="s">
        <v>513</v>
      </c>
      <c r="RNE220" s="2" t="s">
        <v>25</v>
      </c>
      <c r="RNF220" s="2" t="s">
        <v>393</v>
      </c>
      <c r="RNG220" s="7">
        <v>-74.044305502618698</v>
      </c>
      <c r="RNH220" s="7">
        <v>4.6804459478222702</v>
      </c>
      <c r="RNI220" s="2" t="s">
        <v>357</v>
      </c>
      <c r="RNJ220" s="2" t="s">
        <v>63</v>
      </c>
      <c r="RNK220" s="2" t="s">
        <v>83</v>
      </c>
      <c r="RNL220" s="2" t="s">
        <v>63</v>
      </c>
      <c r="RNM220" s="24">
        <v>434</v>
      </c>
      <c r="RNN220" s="5">
        <v>46174</v>
      </c>
      <c r="RNO220" s="5">
        <v>46174</v>
      </c>
      <c r="RNP220" s="30">
        <f t="shared" ref="RNP220" si="810">RNO220-RNN220</f>
        <v>0</v>
      </c>
      <c r="RNQ220" s="5" t="s">
        <v>317</v>
      </c>
      <c r="RNR220" s="2" t="s">
        <v>22</v>
      </c>
      <c r="RNS220" s="53" t="s">
        <v>334</v>
      </c>
      <c r="RNT220" s="2" t="s">
        <v>513</v>
      </c>
      <c r="RNU220" s="2" t="s">
        <v>25</v>
      </c>
      <c r="RNV220" s="2" t="s">
        <v>393</v>
      </c>
      <c r="RNW220" s="7">
        <v>-74.044305502618698</v>
      </c>
      <c r="RNX220" s="7">
        <v>4.6804459478222702</v>
      </c>
      <c r="RNY220" s="2" t="s">
        <v>357</v>
      </c>
      <c r="RNZ220" s="2" t="s">
        <v>63</v>
      </c>
      <c r="ROA220" s="2" t="s">
        <v>83</v>
      </c>
      <c r="ROB220" s="2" t="s">
        <v>63</v>
      </c>
      <c r="ROC220" s="24">
        <v>434</v>
      </c>
      <c r="ROD220" s="5">
        <v>46174</v>
      </c>
      <c r="ROE220" s="5">
        <v>46174</v>
      </c>
      <c r="ROF220" s="30">
        <f t="shared" ref="ROF220" si="811">ROE220-ROD220</f>
        <v>0</v>
      </c>
      <c r="ROG220" s="5" t="s">
        <v>317</v>
      </c>
      <c r="ROH220" s="2" t="s">
        <v>22</v>
      </c>
      <c r="ROI220" s="53" t="s">
        <v>334</v>
      </c>
      <c r="ROJ220" s="2" t="s">
        <v>513</v>
      </c>
      <c r="ROK220" s="2" t="s">
        <v>25</v>
      </c>
      <c r="ROL220" s="2" t="s">
        <v>393</v>
      </c>
      <c r="ROM220" s="7">
        <v>-74.044305502618698</v>
      </c>
      <c r="RON220" s="7">
        <v>4.6804459478222702</v>
      </c>
      <c r="ROO220" s="2" t="s">
        <v>357</v>
      </c>
      <c r="ROP220" s="2" t="s">
        <v>63</v>
      </c>
      <c r="ROQ220" s="2" t="s">
        <v>83</v>
      </c>
      <c r="ROR220" s="2" t="s">
        <v>63</v>
      </c>
      <c r="ROS220" s="24">
        <v>434</v>
      </c>
      <c r="ROT220" s="5">
        <v>46174</v>
      </c>
      <c r="ROU220" s="5">
        <v>46174</v>
      </c>
      <c r="ROV220" s="30">
        <f t="shared" ref="ROV220" si="812">ROU220-ROT220</f>
        <v>0</v>
      </c>
      <c r="ROW220" s="5" t="s">
        <v>317</v>
      </c>
      <c r="ROX220" s="2" t="s">
        <v>22</v>
      </c>
      <c r="ROY220" s="53" t="s">
        <v>334</v>
      </c>
      <c r="ROZ220" s="2" t="s">
        <v>513</v>
      </c>
      <c r="RPA220" s="2" t="s">
        <v>25</v>
      </c>
      <c r="RPB220" s="2" t="s">
        <v>393</v>
      </c>
      <c r="RPC220" s="7">
        <v>-74.044305502618698</v>
      </c>
      <c r="RPD220" s="7">
        <v>4.6804459478222702</v>
      </c>
      <c r="RPE220" s="2" t="s">
        <v>357</v>
      </c>
      <c r="RPF220" s="2" t="s">
        <v>63</v>
      </c>
      <c r="RPG220" s="2" t="s">
        <v>83</v>
      </c>
      <c r="RPH220" s="2" t="s">
        <v>63</v>
      </c>
      <c r="RPI220" s="24">
        <v>434</v>
      </c>
      <c r="RPJ220" s="5">
        <v>46174</v>
      </c>
      <c r="RPK220" s="5">
        <v>46174</v>
      </c>
      <c r="RPL220" s="30">
        <f t="shared" ref="RPL220" si="813">RPK220-RPJ220</f>
        <v>0</v>
      </c>
      <c r="RPM220" s="5" t="s">
        <v>317</v>
      </c>
      <c r="RPN220" s="2" t="s">
        <v>22</v>
      </c>
      <c r="RPO220" s="53" t="s">
        <v>334</v>
      </c>
      <c r="RPP220" s="2" t="s">
        <v>513</v>
      </c>
      <c r="RPQ220" s="2" t="s">
        <v>25</v>
      </c>
      <c r="RPR220" s="2" t="s">
        <v>393</v>
      </c>
      <c r="RPS220" s="7">
        <v>-74.044305502618698</v>
      </c>
      <c r="RPT220" s="7">
        <v>4.6804459478222702</v>
      </c>
      <c r="RPU220" s="2" t="s">
        <v>357</v>
      </c>
      <c r="RPV220" s="2" t="s">
        <v>63</v>
      </c>
      <c r="RPW220" s="2" t="s">
        <v>83</v>
      </c>
      <c r="RPX220" s="2" t="s">
        <v>63</v>
      </c>
      <c r="RPY220" s="24">
        <v>434</v>
      </c>
      <c r="RPZ220" s="5">
        <v>46174</v>
      </c>
      <c r="RQA220" s="5">
        <v>46174</v>
      </c>
      <c r="RQB220" s="30">
        <f t="shared" ref="RQB220" si="814">RQA220-RPZ220</f>
        <v>0</v>
      </c>
      <c r="RQC220" s="5" t="s">
        <v>317</v>
      </c>
      <c r="RQD220" s="2" t="s">
        <v>22</v>
      </c>
      <c r="RQE220" s="53" t="s">
        <v>334</v>
      </c>
      <c r="RQF220" s="2" t="s">
        <v>513</v>
      </c>
      <c r="RQG220" s="2" t="s">
        <v>25</v>
      </c>
      <c r="RQH220" s="2" t="s">
        <v>393</v>
      </c>
      <c r="RQI220" s="7">
        <v>-74.044305502618698</v>
      </c>
      <c r="RQJ220" s="7">
        <v>4.6804459478222702</v>
      </c>
      <c r="RQK220" s="2" t="s">
        <v>357</v>
      </c>
      <c r="RQL220" s="2" t="s">
        <v>63</v>
      </c>
      <c r="RQM220" s="2" t="s">
        <v>83</v>
      </c>
      <c r="RQN220" s="2" t="s">
        <v>63</v>
      </c>
      <c r="RQO220" s="24">
        <v>434</v>
      </c>
      <c r="RQP220" s="5">
        <v>46174</v>
      </c>
      <c r="RQQ220" s="5">
        <v>46174</v>
      </c>
      <c r="RQR220" s="30">
        <f t="shared" ref="RQR220" si="815">RQQ220-RQP220</f>
        <v>0</v>
      </c>
      <c r="RQS220" s="5" t="s">
        <v>317</v>
      </c>
      <c r="RQT220" s="2" t="s">
        <v>22</v>
      </c>
      <c r="RQU220" s="53" t="s">
        <v>334</v>
      </c>
      <c r="RQV220" s="2" t="s">
        <v>513</v>
      </c>
      <c r="RQW220" s="2" t="s">
        <v>25</v>
      </c>
      <c r="RQX220" s="2" t="s">
        <v>393</v>
      </c>
      <c r="RQY220" s="7">
        <v>-74.044305502618698</v>
      </c>
      <c r="RQZ220" s="7">
        <v>4.6804459478222702</v>
      </c>
      <c r="RRA220" s="2" t="s">
        <v>357</v>
      </c>
      <c r="RRB220" s="2" t="s">
        <v>63</v>
      </c>
      <c r="RRC220" s="2" t="s">
        <v>83</v>
      </c>
      <c r="RRD220" s="2" t="s">
        <v>63</v>
      </c>
      <c r="RRE220" s="24">
        <v>434</v>
      </c>
      <c r="RRF220" s="5">
        <v>46174</v>
      </c>
      <c r="RRG220" s="5">
        <v>46174</v>
      </c>
      <c r="RRH220" s="30">
        <f t="shared" ref="RRH220" si="816">RRG220-RRF220</f>
        <v>0</v>
      </c>
      <c r="RRI220" s="5" t="s">
        <v>317</v>
      </c>
      <c r="RRJ220" s="2" t="s">
        <v>22</v>
      </c>
      <c r="RRK220" s="53" t="s">
        <v>334</v>
      </c>
      <c r="RRL220" s="2" t="s">
        <v>513</v>
      </c>
      <c r="RRM220" s="2" t="s">
        <v>25</v>
      </c>
      <c r="RRN220" s="2" t="s">
        <v>393</v>
      </c>
      <c r="RRO220" s="7">
        <v>-74.044305502618698</v>
      </c>
      <c r="RRP220" s="7">
        <v>4.6804459478222702</v>
      </c>
      <c r="RRQ220" s="2" t="s">
        <v>357</v>
      </c>
      <c r="RRR220" s="2" t="s">
        <v>63</v>
      </c>
      <c r="RRS220" s="2" t="s">
        <v>83</v>
      </c>
      <c r="RRT220" s="2" t="s">
        <v>63</v>
      </c>
      <c r="RRU220" s="24">
        <v>434</v>
      </c>
      <c r="RRV220" s="5">
        <v>46174</v>
      </c>
      <c r="RRW220" s="5">
        <v>46174</v>
      </c>
      <c r="RRX220" s="30">
        <f t="shared" ref="RRX220" si="817">RRW220-RRV220</f>
        <v>0</v>
      </c>
      <c r="RRY220" s="5" t="s">
        <v>317</v>
      </c>
      <c r="RRZ220" s="2" t="s">
        <v>22</v>
      </c>
      <c r="RSA220" s="53" t="s">
        <v>334</v>
      </c>
      <c r="RSB220" s="2" t="s">
        <v>513</v>
      </c>
      <c r="RSC220" s="2" t="s">
        <v>25</v>
      </c>
      <c r="RSD220" s="2" t="s">
        <v>393</v>
      </c>
      <c r="RSE220" s="7">
        <v>-74.044305502618698</v>
      </c>
      <c r="RSF220" s="7">
        <v>4.6804459478222702</v>
      </c>
      <c r="RSG220" s="2" t="s">
        <v>357</v>
      </c>
      <c r="RSH220" s="2" t="s">
        <v>63</v>
      </c>
      <c r="RSI220" s="2" t="s">
        <v>83</v>
      </c>
      <c r="RSJ220" s="2" t="s">
        <v>63</v>
      </c>
      <c r="RSK220" s="24">
        <v>434</v>
      </c>
      <c r="RSL220" s="5">
        <v>46174</v>
      </c>
      <c r="RSM220" s="5">
        <v>46174</v>
      </c>
      <c r="RSN220" s="30">
        <f t="shared" ref="RSN220" si="818">RSM220-RSL220</f>
        <v>0</v>
      </c>
      <c r="RSO220" s="5" t="s">
        <v>317</v>
      </c>
      <c r="RSP220" s="2" t="s">
        <v>22</v>
      </c>
      <c r="RSQ220" s="53" t="s">
        <v>334</v>
      </c>
      <c r="RSR220" s="2" t="s">
        <v>513</v>
      </c>
      <c r="RSS220" s="2" t="s">
        <v>25</v>
      </c>
      <c r="RST220" s="2" t="s">
        <v>393</v>
      </c>
      <c r="RSU220" s="7">
        <v>-74.044305502618698</v>
      </c>
      <c r="RSV220" s="7">
        <v>4.6804459478222702</v>
      </c>
      <c r="RSW220" s="2" t="s">
        <v>357</v>
      </c>
      <c r="RSX220" s="2" t="s">
        <v>63</v>
      </c>
      <c r="RSY220" s="2" t="s">
        <v>83</v>
      </c>
      <c r="RSZ220" s="2" t="s">
        <v>63</v>
      </c>
      <c r="RTA220" s="24">
        <v>434</v>
      </c>
      <c r="RTB220" s="5">
        <v>46174</v>
      </c>
      <c r="RTC220" s="5">
        <v>46174</v>
      </c>
      <c r="RTD220" s="30">
        <f t="shared" ref="RTD220" si="819">RTC220-RTB220</f>
        <v>0</v>
      </c>
      <c r="RTE220" s="5" t="s">
        <v>317</v>
      </c>
      <c r="RTF220" s="2" t="s">
        <v>22</v>
      </c>
      <c r="RTG220" s="53" t="s">
        <v>334</v>
      </c>
      <c r="RTH220" s="2" t="s">
        <v>513</v>
      </c>
      <c r="RTI220" s="2" t="s">
        <v>25</v>
      </c>
      <c r="RTJ220" s="2" t="s">
        <v>393</v>
      </c>
      <c r="RTK220" s="7">
        <v>-74.044305502618698</v>
      </c>
      <c r="RTL220" s="7">
        <v>4.6804459478222702</v>
      </c>
      <c r="RTM220" s="2" t="s">
        <v>357</v>
      </c>
      <c r="RTN220" s="2" t="s">
        <v>63</v>
      </c>
      <c r="RTO220" s="2" t="s">
        <v>83</v>
      </c>
      <c r="RTP220" s="2" t="s">
        <v>63</v>
      </c>
      <c r="RTQ220" s="24">
        <v>434</v>
      </c>
      <c r="RTR220" s="5">
        <v>46174</v>
      </c>
      <c r="RTS220" s="5">
        <v>46174</v>
      </c>
      <c r="RTT220" s="30">
        <f t="shared" ref="RTT220" si="820">RTS220-RTR220</f>
        <v>0</v>
      </c>
      <c r="RTU220" s="5" t="s">
        <v>317</v>
      </c>
      <c r="RTV220" s="2" t="s">
        <v>22</v>
      </c>
      <c r="RTW220" s="53" t="s">
        <v>334</v>
      </c>
      <c r="RTX220" s="2" t="s">
        <v>513</v>
      </c>
      <c r="RTY220" s="2" t="s">
        <v>25</v>
      </c>
      <c r="RTZ220" s="2" t="s">
        <v>393</v>
      </c>
      <c r="RUA220" s="7">
        <v>-74.044305502618698</v>
      </c>
      <c r="RUB220" s="7">
        <v>4.6804459478222702</v>
      </c>
      <c r="RUC220" s="2" t="s">
        <v>357</v>
      </c>
      <c r="RUD220" s="2" t="s">
        <v>63</v>
      </c>
      <c r="RUE220" s="2" t="s">
        <v>83</v>
      </c>
      <c r="RUF220" s="2" t="s">
        <v>63</v>
      </c>
      <c r="RUG220" s="24">
        <v>434</v>
      </c>
      <c r="RUH220" s="5">
        <v>46174</v>
      </c>
      <c r="RUI220" s="5">
        <v>46174</v>
      </c>
      <c r="RUJ220" s="30">
        <f t="shared" ref="RUJ220" si="821">RUI220-RUH220</f>
        <v>0</v>
      </c>
      <c r="RUK220" s="5" t="s">
        <v>317</v>
      </c>
      <c r="RUL220" s="2" t="s">
        <v>22</v>
      </c>
      <c r="RUM220" s="53" t="s">
        <v>334</v>
      </c>
      <c r="RUN220" s="2" t="s">
        <v>513</v>
      </c>
      <c r="RUO220" s="2" t="s">
        <v>25</v>
      </c>
      <c r="RUP220" s="2" t="s">
        <v>393</v>
      </c>
      <c r="RUQ220" s="7">
        <v>-74.044305502618698</v>
      </c>
      <c r="RUR220" s="7">
        <v>4.6804459478222702</v>
      </c>
      <c r="RUS220" s="2" t="s">
        <v>357</v>
      </c>
      <c r="RUT220" s="2" t="s">
        <v>63</v>
      </c>
      <c r="RUU220" s="2" t="s">
        <v>83</v>
      </c>
      <c r="RUV220" s="2" t="s">
        <v>63</v>
      </c>
      <c r="RUW220" s="24">
        <v>434</v>
      </c>
      <c r="RUX220" s="5">
        <v>46174</v>
      </c>
      <c r="RUY220" s="5">
        <v>46174</v>
      </c>
      <c r="RUZ220" s="30">
        <f t="shared" ref="RUZ220" si="822">RUY220-RUX220</f>
        <v>0</v>
      </c>
      <c r="RVA220" s="5" t="s">
        <v>317</v>
      </c>
      <c r="RVB220" s="2" t="s">
        <v>22</v>
      </c>
      <c r="RVC220" s="53" t="s">
        <v>334</v>
      </c>
      <c r="RVD220" s="2" t="s">
        <v>513</v>
      </c>
      <c r="RVE220" s="2" t="s">
        <v>25</v>
      </c>
      <c r="RVF220" s="2" t="s">
        <v>393</v>
      </c>
      <c r="RVG220" s="7">
        <v>-74.044305502618698</v>
      </c>
      <c r="RVH220" s="7">
        <v>4.6804459478222702</v>
      </c>
      <c r="RVI220" s="2" t="s">
        <v>357</v>
      </c>
      <c r="RVJ220" s="2" t="s">
        <v>63</v>
      </c>
      <c r="RVK220" s="2" t="s">
        <v>83</v>
      </c>
      <c r="RVL220" s="2" t="s">
        <v>63</v>
      </c>
      <c r="RVM220" s="24">
        <v>434</v>
      </c>
      <c r="RVN220" s="5">
        <v>46174</v>
      </c>
      <c r="RVO220" s="5">
        <v>46174</v>
      </c>
      <c r="RVP220" s="30">
        <f t="shared" ref="RVP220" si="823">RVO220-RVN220</f>
        <v>0</v>
      </c>
      <c r="RVQ220" s="5" t="s">
        <v>317</v>
      </c>
      <c r="RVR220" s="2" t="s">
        <v>22</v>
      </c>
      <c r="RVS220" s="53" t="s">
        <v>334</v>
      </c>
      <c r="RVT220" s="2" t="s">
        <v>513</v>
      </c>
      <c r="RVU220" s="2" t="s">
        <v>25</v>
      </c>
      <c r="RVV220" s="2" t="s">
        <v>393</v>
      </c>
      <c r="RVW220" s="7">
        <v>-74.044305502618698</v>
      </c>
      <c r="RVX220" s="7">
        <v>4.6804459478222702</v>
      </c>
      <c r="RVY220" s="2" t="s">
        <v>357</v>
      </c>
      <c r="RVZ220" s="2" t="s">
        <v>63</v>
      </c>
      <c r="RWA220" s="2" t="s">
        <v>83</v>
      </c>
      <c r="RWB220" s="2" t="s">
        <v>63</v>
      </c>
      <c r="RWC220" s="24">
        <v>434</v>
      </c>
      <c r="RWD220" s="5">
        <v>46174</v>
      </c>
      <c r="RWE220" s="5">
        <v>46174</v>
      </c>
      <c r="RWF220" s="30">
        <f t="shared" ref="RWF220" si="824">RWE220-RWD220</f>
        <v>0</v>
      </c>
      <c r="RWG220" s="5" t="s">
        <v>317</v>
      </c>
      <c r="RWH220" s="2" t="s">
        <v>22</v>
      </c>
      <c r="RWI220" s="53" t="s">
        <v>334</v>
      </c>
      <c r="RWJ220" s="2" t="s">
        <v>513</v>
      </c>
      <c r="RWK220" s="2" t="s">
        <v>25</v>
      </c>
      <c r="RWL220" s="2" t="s">
        <v>393</v>
      </c>
      <c r="RWM220" s="7">
        <v>-74.044305502618698</v>
      </c>
      <c r="RWN220" s="7">
        <v>4.6804459478222702</v>
      </c>
      <c r="RWO220" s="2" t="s">
        <v>357</v>
      </c>
      <c r="RWP220" s="2" t="s">
        <v>63</v>
      </c>
      <c r="RWQ220" s="2" t="s">
        <v>83</v>
      </c>
      <c r="RWR220" s="2" t="s">
        <v>63</v>
      </c>
      <c r="RWS220" s="24">
        <v>434</v>
      </c>
      <c r="RWT220" s="5">
        <v>46174</v>
      </c>
      <c r="RWU220" s="5">
        <v>46174</v>
      </c>
      <c r="RWV220" s="30">
        <f t="shared" ref="RWV220" si="825">RWU220-RWT220</f>
        <v>0</v>
      </c>
      <c r="RWW220" s="5" t="s">
        <v>317</v>
      </c>
      <c r="RWX220" s="2" t="s">
        <v>22</v>
      </c>
      <c r="RWY220" s="53" t="s">
        <v>334</v>
      </c>
      <c r="RWZ220" s="2" t="s">
        <v>513</v>
      </c>
      <c r="RXA220" s="2" t="s">
        <v>25</v>
      </c>
      <c r="RXB220" s="2" t="s">
        <v>393</v>
      </c>
      <c r="RXC220" s="7">
        <v>-74.044305502618698</v>
      </c>
      <c r="RXD220" s="7">
        <v>4.6804459478222702</v>
      </c>
      <c r="RXE220" s="2" t="s">
        <v>357</v>
      </c>
      <c r="RXF220" s="2" t="s">
        <v>63</v>
      </c>
      <c r="RXG220" s="2" t="s">
        <v>83</v>
      </c>
      <c r="RXH220" s="2" t="s">
        <v>63</v>
      </c>
      <c r="RXI220" s="24">
        <v>434</v>
      </c>
      <c r="RXJ220" s="5">
        <v>46174</v>
      </c>
      <c r="RXK220" s="5">
        <v>46174</v>
      </c>
      <c r="RXL220" s="30">
        <f t="shared" ref="RXL220" si="826">RXK220-RXJ220</f>
        <v>0</v>
      </c>
      <c r="RXM220" s="5" t="s">
        <v>317</v>
      </c>
      <c r="RXN220" s="2" t="s">
        <v>22</v>
      </c>
      <c r="RXO220" s="53" t="s">
        <v>334</v>
      </c>
      <c r="RXP220" s="2" t="s">
        <v>513</v>
      </c>
      <c r="RXQ220" s="2" t="s">
        <v>25</v>
      </c>
      <c r="RXR220" s="2" t="s">
        <v>393</v>
      </c>
      <c r="RXS220" s="7">
        <v>-74.044305502618698</v>
      </c>
      <c r="RXT220" s="7">
        <v>4.6804459478222702</v>
      </c>
      <c r="RXU220" s="2" t="s">
        <v>357</v>
      </c>
      <c r="RXV220" s="2" t="s">
        <v>63</v>
      </c>
      <c r="RXW220" s="2" t="s">
        <v>83</v>
      </c>
      <c r="RXX220" s="2" t="s">
        <v>63</v>
      </c>
      <c r="RXY220" s="24">
        <v>434</v>
      </c>
      <c r="RXZ220" s="5">
        <v>46174</v>
      </c>
      <c r="RYA220" s="5">
        <v>46174</v>
      </c>
      <c r="RYB220" s="30">
        <f t="shared" ref="RYB220" si="827">RYA220-RXZ220</f>
        <v>0</v>
      </c>
      <c r="RYC220" s="5" t="s">
        <v>317</v>
      </c>
      <c r="RYD220" s="2" t="s">
        <v>22</v>
      </c>
      <c r="RYE220" s="53" t="s">
        <v>334</v>
      </c>
      <c r="RYF220" s="2" t="s">
        <v>513</v>
      </c>
      <c r="RYG220" s="2" t="s">
        <v>25</v>
      </c>
      <c r="RYH220" s="2" t="s">
        <v>393</v>
      </c>
      <c r="RYI220" s="7">
        <v>-74.044305502618698</v>
      </c>
      <c r="RYJ220" s="7">
        <v>4.6804459478222702</v>
      </c>
      <c r="RYK220" s="2" t="s">
        <v>357</v>
      </c>
      <c r="RYL220" s="2" t="s">
        <v>63</v>
      </c>
      <c r="RYM220" s="2" t="s">
        <v>83</v>
      </c>
      <c r="RYN220" s="2" t="s">
        <v>63</v>
      </c>
      <c r="RYO220" s="24">
        <v>434</v>
      </c>
      <c r="RYP220" s="5">
        <v>46174</v>
      </c>
      <c r="RYQ220" s="5">
        <v>46174</v>
      </c>
      <c r="RYR220" s="30">
        <f t="shared" ref="RYR220" si="828">RYQ220-RYP220</f>
        <v>0</v>
      </c>
      <c r="RYS220" s="5" t="s">
        <v>317</v>
      </c>
      <c r="RYT220" s="2" t="s">
        <v>22</v>
      </c>
      <c r="RYU220" s="53" t="s">
        <v>334</v>
      </c>
      <c r="RYV220" s="2" t="s">
        <v>513</v>
      </c>
      <c r="RYW220" s="2" t="s">
        <v>25</v>
      </c>
      <c r="RYX220" s="2" t="s">
        <v>393</v>
      </c>
      <c r="RYY220" s="7">
        <v>-74.044305502618698</v>
      </c>
      <c r="RYZ220" s="7">
        <v>4.6804459478222702</v>
      </c>
      <c r="RZA220" s="2" t="s">
        <v>357</v>
      </c>
      <c r="RZB220" s="2" t="s">
        <v>63</v>
      </c>
      <c r="RZC220" s="2" t="s">
        <v>83</v>
      </c>
      <c r="RZD220" s="2" t="s">
        <v>63</v>
      </c>
      <c r="RZE220" s="24">
        <v>434</v>
      </c>
      <c r="RZF220" s="5">
        <v>46174</v>
      </c>
      <c r="RZG220" s="5">
        <v>46174</v>
      </c>
      <c r="RZH220" s="30">
        <f t="shared" ref="RZH220" si="829">RZG220-RZF220</f>
        <v>0</v>
      </c>
      <c r="RZI220" s="5" t="s">
        <v>317</v>
      </c>
      <c r="RZJ220" s="2" t="s">
        <v>22</v>
      </c>
      <c r="RZK220" s="53" t="s">
        <v>334</v>
      </c>
      <c r="RZL220" s="2" t="s">
        <v>513</v>
      </c>
      <c r="RZM220" s="2" t="s">
        <v>25</v>
      </c>
      <c r="RZN220" s="2" t="s">
        <v>393</v>
      </c>
      <c r="RZO220" s="7">
        <v>-74.044305502618698</v>
      </c>
      <c r="RZP220" s="7">
        <v>4.6804459478222702</v>
      </c>
      <c r="RZQ220" s="2" t="s">
        <v>357</v>
      </c>
      <c r="RZR220" s="2" t="s">
        <v>63</v>
      </c>
      <c r="RZS220" s="2" t="s">
        <v>83</v>
      </c>
      <c r="RZT220" s="2" t="s">
        <v>63</v>
      </c>
      <c r="RZU220" s="24">
        <v>434</v>
      </c>
      <c r="RZV220" s="5">
        <v>46174</v>
      </c>
      <c r="RZW220" s="5">
        <v>46174</v>
      </c>
      <c r="RZX220" s="30">
        <f t="shared" ref="RZX220" si="830">RZW220-RZV220</f>
        <v>0</v>
      </c>
      <c r="RZY220" s="5" t="s">
        <v>317</v>
      </c>
      <c r="RZZ220" s="2" t="s">
        <v>22</v>
      </c>
      <c r="SAA220" s="53" t="s">
        <v>334</v>
      </c>
      <c r="SAB220" s="2" t="s">
        <v>513</v>
      </c>
      <c r="SAC220" s="2" t="s">
        <v>25</v>
      </c>
      <c r="SAD220" s="2" t="s">
        <v>393</v>
      </c>
      <c r="SAE220" s="7">
        <v>-74.044305502618698</v>
      </c>
      <c r="SAF220" s="7">
        <v>4.6804459478222702</v>
      </c>
      <c r="SAG220" s="2" t="s">
        <v>357</v>
      </c>
      <c r="SAH220" s="2" t="s">
        <v>63</v>
      </c>
      <c r="SAI220" s="2" t="s">
        <v>83</v>
      </c>
      <c r="SAJ220" s="2" t="s">
        <v>63</v>
      </c>
      <c r="SAK220" s="24">
        <v>434</v>
      </c>
      <c r="SAL220" s="5">
        <v>46174</v>
      </c>
      <c r="SAM220" s="5">
        <v>46174</v>
      </c>
      <c r="SAN220" s="30">
        <f t="shared" ref="SAN220" si="831">SAM220-SAL220</f>
        <v>0</v>
      </c>
      <c r="SAO220" s="5" t="s">
        <v>317</v>
      </c>
      <c r="SAP220" s="2" t="s">
        <v>22</v>
      </c>
      <c r="SAQ220" s="53" t="s">
        <v>334</v>
      </c>
      <c r="SAR220" s="2" t="s">
        <v>513</v>
      </c>
      <c r="SAS220" s="2" t="s">
        <v>25</v>
      </c>
      <c r="SAT220" s="2" t="s">
        <v>393</v>
      </c>
      <c r="SAU220" s="7">
        <v>-74.044305502618698</v>
      </c>
      <c r="SAV220" s="7">
        <v>4.6804459478222702</v>
      </c>
      <c r="SAW220" s="2" t="s">
        <v>357</v>
      </c>
      <c r="SAX220" s="2" t="s">
        <v>63</v>
      </c>
      <c r="SAY220" s="2" t="s">
        <v>83</v>
      </c>
      <c r="SAZ220" s="2" t="s">
        <v>63</v>
      </c>
      <c r="SBA220" s="24">
        <v>434</v>
      </c>
      <c r="SBB220" s="5">
        <v>46174</v>
      </c>
      <c r="SBC220" s="5">
        <v>46174</v>
      </c>
      <c r="SBD220" s="30">
        <f t="shared" ref="SBD220" si="832">SBC220-SBB220</f>
        <v>0</v>
      </c>
      <c r="SBE220" s="5" t="s">
        <v>317</v>
      </c>
      <c r="SBF220" s="2" t="s">
        <v>22</v>
      </c>
      <c r="SBG220" s="53" t="s">
        <v>334</v>
      </c>
      <c r="SBH220" s="2" t="s">
        <v>513</v>
      </c>
      <c r="SBI220" s="2" t="s">
        <v>25</v>
      </c>
      <c r="SBJ220" s="2" t="s">
        <v>393</v>
      </c>
      <c r="SBK220" s="7">
        <v>-74.044305502618698</v>
      </c>
      <c r="SBL220" s="7">
        <v>4.6804459478222702</v>
      </c>
      <c r="SBM220" s="2" t="s">
        <v>357</v>
      </c>
      <c r="SBN220" s="2" t="s">
        <v>63</v>
      </c>
      <c r="SBO220" s="2" t="s">
        <v>83</v>
      </c>
      <c r="SBP220" s="2" t="s">
        <v>63</v>
      </c>
      <c r="SBQ220" s="24">
        <v>434</v>
      </c>
      <c r="SBR220" s="5">
        <v>46174</v>
      </c>
      <c r="SBS220" s="5">
        <v>46174</v>
      </c>
      <c r="SBT220" s="30">
        <f t="shared" ref="SBT220" si="833">SBS220-SBR220</f>
        <v>0</v>
      </c>
      <c r="SBU220" s="5" t="s">
        <v>317</v>
      </c>
      <c r="SBV220" s="2" t="s">
        <v>22</v>
      </c>
      <c r="SBW220" s="53" t="s">
        <v>334</v>
      </c>
      <c r="SBX220" s="2" t="s">
        <v>513</v>
      </c>
      <c r="SBY220" s="2" t="s">
        <v>25</v>
      </c>
      <c r="SBZ220" s="2" t="s">
        <v>393</v>
      </c>
      <c r="SCA220" s="7">
        <v>-74.044305502618698</v>
      </c>
      <c r="SCB220" s="7">
        <v>4.6804459478222702</v>
      </c>
      <c r="SCC220" s="2" t="s">
        <v>357</v>
      </c>
      <c r="SCD220" s="2" t="s">
        <v>63</v>
      </c>
      <c r="SCE220" s="2" t="s">
        <v>83</v>
      </c>
      <c r="SCF220" s="2" t="s">
        <v>63</v>
      </c>
      <c r="SCG220" s="24">
        <v>434</v>
      </c>
      <c r="SCH220" s="5">
        <v>46174</v>
      </c>
      <c r="SCI220" s="5">
        <v>46174</v>
      </c>
      <c r="SCJ220" s="30">
        <f t="shared" ref="SCJ220" si="834">SCI220-SCH220</f>
        <v>0</v>
      </c>
      <c r="SCK220" s="5" t="s">
        <v>317</v>
      </c>
      <c r="SCL220" s="2" t="s">
        <v>22</v>
      </c>
      <c r="SCM220" s="53" t="s">
        <v>334</v>
      </c>
      <c r="SCN220" s="2" t="s">
        <v>513</v>
      </c>
      <c r="SCO220" s="2" t="s">
        <v>25</v>
      </c>
      <c r="SCP220" s="2" t="s">
        <v>393</v>
      </c>
      <c r="SCQ220" s="7">
        <v>-74.044305502618698</v>
      </c>
      <c r="SCR220" s="7">
        <v>4.6804459478222702</v>
      </c>
      <c r="SCS220" s="2" t="s">
        <v>357</v>
      </c>
      <c r="SCT220" s="2" t="s">
        <v>63</v>
      </c>
      <c r="SCU220" s="2" t="s">
        <v>83</v>
      </c>
      <c r="SCV220" s="2" t="s">
        <v>63</v>
      </c>
      <c r="SCW220" s="24">
        <v>434</v>
      </c>
      <c r="SCX220" s="5">
        <v>46174</v>
      </c>
      <c r="SCY220" s="5">
        <v>46174</v>
      </c>
      <c r="SCZ220" s="30">
        <f t="shared" ref="SCZ220" si="835">SCY220-SCX220</f>
        <v>0</v>
      </c>
      <c r="SDA220" s="5" t="s">
        <v>317</v>
      </c>
      <c r="SDB220" s="2" t="s">
        <v>22</v>
      </c>
      <c r="SDC220" s="53" t="s">
        <v>334</v>
      </c>
      <c r="SDD220" s="2" t="s">
        <v>513</v>
      </c>
      <c r="SDE220" s="2" t="s">
        <v>25</v>
      </c>
      <c r="SDF220" s="2" t="s">
        <v>393</v>
      </c>
      <c r="SDG220" s="7">
        <v>-74.044305502618698</v>
      </c>
      <c r="SDH220" s="7">
        <v>4.6804459478222702</v>
      </c>
      <c r="SDI220" s="2" t="s">
        <v>357</v>
      </c>
      <c r="SDJ220" s="2" t="s">
        <v>63</v>
      </c>
      <c r="SDK220" s="2" t="s">
        <v>83</v>
      </c>
      <c r="SDL220" s="2" t="s">
        <v>63</v>
      </c>
      <c r="SDM220" s="24">
        <v>434</v>
      </c>
      <c r="SDN220" s="5">
        <v>46174</v>
      </c>
      <c r="SDO220" s="5">
        <v>46174</v>
      </c>
      <c r="SDP220" s="30">
        <f t="shared" ref="SDP220" si="836">SDO220-SDN220</f>
        <v>0</v>
      </c>
      <c r="SDQ220" s="5" t="s">
        <v>317</v>
      </c>
      <c r="SDR220" s="2" t="s">
        <v>22</v>
      </c>
      <c r="SDS220" s="53" t="s">
        <v>334</v>
      </c>
      <c r="SDT220" s="2" t="s">
        <v>513</v>
      </c>
      <c r="SDU220" s="2" t="s">
        <v>25</v>
      </c>
      <c r="SDV220" s="2" t="s">
        <v>393</v>
      </c>
      <c r="SDW220" s="7">
        <v>-74.044305502618698</v>
      </c>
      <c r="SDX220" s="7">
        <v>4.6804459478222702</v>
      </c>
      <c r="SDY220" s="2" t="s">
        <v>357</v>
      </c>
      <c r="SDZ220" s="2" t="s">
        <v>63</v>
      </c>
      <c r="SEA220" s="2" t="s">
        <v>83</v>
      </c>
      <c r="SEB220" s="2" t="s">
        <v>63</v>
      </c>
      <c r="SEC220" s="24">
        <v>434</v>
      </c>
      <c r="SED220" s="5">
        <v>46174</v>
      </c>
      <c r="SEE220" s="5">
        <v>46174</v>
      </c>
      <c r="SEF220" s="30">
        <f t="shared" ref="SEF220" si="837">SEE220-SED220</f>
        <v>0</v>
      </c>
      <c r="SEG220" s="5" t="s">
        <v>317</v>
      </c>
      <c r="SEH220" s="2" t="s">
        <v>22</v>
      </c>
      <c r="SEI220" s="53" t="s">
        <v>334</v>
      </c>
      <c r="SEJ220" s="2" t="s">
        <v>513</v>
      </c>
      <c r="SEK220" s="2" t="s">
        <v>25</v>
      </c>
      <c r="SEL220" s="2" t="s">
        <v>393</v>
      </c>
      <c r="SEM220" s="7">
        <v>-74.044305502618698</v>
      </c>
      <c r="SEN220" s="7">
        <v>4.6804459478222702</v>
      </c>
      <c r="SEO220" s="2" t="s">
        <v>357</v>
      </c>
      <c r="SEP220" s="2" t="s">
        <v>63</v>
      </c>
      <c r="SEQ220" s="2" t="s">
        <v>83</v>
      </c>
      <c r="SER220" s="2" t="s">
        <v>63</v>
      </c>
      <c r="SES220" s="24">
        <v>434</v>
      </c>
      <c r="SET220" s="5">
        <v>46174</v>
      </c>
      <c r="SEU220" s="5">
        <v>46174</v>
      </c>
      <c r="SEV220" s="30">
        <f t="shared" ref="SEV220" si="838">SEU220-SET220</f>
        <v>0</v>
      </c>
      <c r="SEW220" s="5" t="s">
        <v>317</v>
      </c>
      <c r="SEX220" s="2" t="s">
        <v>22</v>
      </c>
      <c r="SEY220" s="53" t="s">
        <v>334</v>
      </c>
      <c r="SEZ220" s="2" t="s">
        <v>513</v>
      </c>
      <c r="SFA220" s="2" t="s">
        <v>25</v>
      </c>
      <c r="SFB220" s="2" t="s">
        <v>393</v>
      </c>
      <c r="SFC220" s="7">
        <v>-74.044305502618698</v>
      </c>
      <c r="SFD220" s="7">
        <v>4.6804459478222702</v>
      </c>
      <c r="SFE220" s="2" t="s">
        <v>357</v>
      </c>
      <c r="SFF220" s="2" t="s">
        <v>63</v>
      </c>
      <c r="SFG220" s="2" t="s">
        <v>83</v>
      </c>
      <c r="SFH220" s="2" t="s">
        <v>63</v>
      </c>
      <c r="SFI220" s="24">
        <v>434</v>
      </c>
      <c r="SFJ220" s="5">
        <v>46174</v>
      </c>
      <c r="SFK220" s="5">
        <v>46174</v>
      </c>
      <c r="SFL220" s="30">
        <f t="shared" ref="SFL220" si="839">SFK220-SFJ220</f>
        <v>0</v>
      </c>
      <c r="SFM220" s="5" t="s">
        <v>317</v>
      </c>
      <c r="SFN220" s="2" t="s">
        <v>22</v>
      </c>
      <c r="SFO220" s="53" t="s">
        <v>334</v>
      </c>
      <c r="SFP220" s="2" t="s">
        <v>513</v>
      </c>
      <c r="SFQ220" s="2" t="s">
        <v>25</v>
      </c>
      <c r="SFR220" s="2" t="s">
        <v>393</v>
      </c>
      <c r="SFS220" s="7">
        <v>-74.044305502618698</v>
      </c>
      <c r="SFT220" s="7">
        <v>4.6804459478222702</v>
      </c>
      <c r="SFU220" s="2" t="s">
        <v>357</v>
      </c>
      <c r="SFV220" s="2" t="s">
        <v>63</v>
      </c>
      <c r="SFW220" s="2" t="s">
        <v>83</v>
      </c>
      <c r="SFX220" s="2" t="s">
        <v>63</v>
      </c>
      <c r="SFY220" s="24">
        <v>434</v>
      </c>
      <c r="SFZ220" s="5">
        <v>46174</v>
      </c>
      <c r="SGA220" s="5">
        <v>46174</v>
      </c>
      <c r="SGB220" s="30">
        <f t="shared" ref="SGB220" si="840">SGA220-SFZ220</f>
        <v>0</v>
      </c>
      <c r="SGC220" s="5" t="s">
        <v>317</v>
      </c>
      <c r="SGD220" s="2" t="s">
        <v>22</v>
      </c>
      <c r="SGE220" s="53" t="s">
        <v>334</v>
      </c>
      <c r="SGF220" s="2" t="s">
        <v>513</v>
      </c>
      <c r="SGG220" s="2" t="s">
        <v>25</v>
      </c>
      <c r="SGH220" s="2" t="s">
        <v>393</v>
      </c>
      <c r="SGI220" s="7">
        <v>-74.044305502618698</v>
      </c>
      <c r="SGJ220" s="7">
        <v>4.6804459478222702</v>
      </c>
      <c r="SGK220" s="2" t="s">
        <v>357</v>
      </c>
      <c r="SGL220" s="2" t="s">
        <v>63</v>
      </c>
      <c r="SGM220" s="2" t="s">
        <v>83</v>
      </c>
      <c r="SGN220" s="2" t="s">
        <v>63</v>
      </c>
      <c r="SGO220" s="24">
        <v>434</v>
      </c>
      <c r="SGP220" s="5">
        <v>46174</v>
      </c>
      <c r="SGQ220" s="5">
        <v>46174</v>
      </c>
      <c r="SGR220" s="30">
        <f t="shared" ref="SGR220" si="841">SGQ220-SGP220</f>
        <v>0</v>
      </c>
      <c r="SGS220" s="5" t="s">
        <v>317</v>
      </c>
      <c r="SGT220" s="2" t="s">
        <v>22</v>
      </c>
      <c r="SGU220" s="53" t="s">
        <v>334</v>
      </c>
      <c r="SGV220" s="2" t="s">
        <v>513</v>
      </c>
      <c r="SGW220" s="2" t="s">
        <v>25</v>
      </c>
      <c r="SGX220" s="2" t="s">
        <v>393</v>
      </c>
      <c r="SGY220" s="7">
        <v>-74.044305502618698</v>
      </c>
      <c r="SGZ220" s="7">
        <v>4.6804459478222702</v>
      </c>
      <c r="SHA220" s="2" t="s">
        <v>357</v>
      </c>
      <c r="SHB220" s="2" t="s">
        <v>63</v>
      </c>
      <c r="SHC220" s="2" t="s">
        <v>83</v>
      </c>
      <c r="SHD220" s="2" t="s">
        <v>63</v>
      </c>
      <c r="SHE220" s="24">
        <v>434</v>
      </c>
      <c r="SHF220" s="5">
        <v>46174</v>
      </c>
      <c r="SHG220" s="5">
        <v>46174</v>
      </c>
      <c r="SHH220" s="30">
        <f t="shared" ref="SHH220" si="842">SHG220-SHF220</f>
        <v>0</v>
      </c>
      <c r="SHI220" s="5" t="s">
        <v>317</v>
      </c>
      <c r="SHJ220" s="2" t="s">
        <v>22</v>
      </c>
      <c r="SHK220" s="53" t="s">
        <v>334</v>
      </c>
      <c r="SHL220" s="2" t="s">
        <v>513</v>
      </c>
      <c r="SHM220" s="2" t="s">
        <v>25</v>
      </c>
      <c r="SHN220" s="2" t="s">
        <v>393</v>
      </c>
      <c r="SHO220" s="7">
        <v>-74.044305502618698</v>
      </c>
      <c r="SHP220" s="7">
        <v>4.6804459478222702</v>
      </c>
      <c r="SHQ220" s="2" t="s">
        <v>357</v>
      </c>
      <c r="SHR220" s="2" t="s">
        <v>63</v>
      </c>
      <c r="SHS220" s="2" t="s">
        <v>83</v>
      </c>
      <c r="SHT220" s="2" t="s">
        <v>63</v>
      </c>
      <c r="SHU220" s="24">
        <v>434</v>
      </c>
      <c r="SHV220" s="5">
        <v>46174</v>
      </c>
      <c r="SHW220" s="5">
        <v>46174</v>
      </c>
      <c r="SHX220" s="30">
        <f t="shared" ref="SHX220" si="843">SHW220-SHV220</f>
        <v>0</v>
      </c>
      <c r="SHY220" s="5" t="s">
        <v>317</v>
      </c>
      <c r="SHZ220" s="2" t="s">
        <v>22</v>
      </c>
      <c r="SIA220" s="53" t="s">
        <v>334</v>
      </c>
      <c r="SIB220" s="2" t="s">
        <v>513</v>
      </c>
      <c r="SIC220" s="2" t="s">
        <v>25</v>
      </c>
      <c r="SID220" s="2" t="s">
        <v>393</v>
      </c>
      <c r="SIE220" s="7">
        <v>-74.044305502618698</v>
      </c>
      <c r="SIF220" s="7">
        <v>4.6804459478222702</v>
      </c>
      <c r="SIG220" s="2" t="s">
        <v>357</v>
      </c>
      <c r="SIH220" s="2" t="s">
        <v>63</v>
      </c>
      <c r="SII220" s="2" t="s">
        <v>83</v>
      </c>
      <c r="SIJ220" s="2" t="s">
        <v>63</v>
      </c>
      <c r="SIK220" s="24">
        <v>434</v>
      </c>
      <c r="SIL220" s="5">
        <v>46174</v>
      </c>
      <c r="SIM220" s="5">
        <v>46174</v>
      </c>
      <c r="SIN220" s="30">
        <f t="shared" ref="SIN220" si="844">SIM220-SIL220</f>
        <v>0</v>
      </c>
      <c r="SIO220" s="5" t="s">
        <v>317</v>
      </c>
      <c r="SIP220" s="2" t="s">
        <v>22</v>
      </c>
      <c r="SIQ220" s="53" t="s">
        <v>334</v>
      </c>
      <c r="SIR220" s="2" t="s">
        <v>513</v>
      </c>
      <c r="SIS220" s="2" t="s">
        <v>25</v>
      </c>
      <c r="SIT220" s="2" t="s">
        <v>393</v>
      </c>
      <c r="SIU220" s="7">
        <v>-74.044305502618698</v>
      </c>
      <c r="SIV220" s="7">
        <v>4.6804459478222702</v>
      </c>
      <c r="SIW220" s="2" t="s">
        <v>357</v>
      </c>
      <c r="SIX220" s="2" t="s">
        <v>63</v>
      </c>
      <c r="SIY220" s="2" t="s">
        <v>83</v>
      </c>
      <c r="SIZ220" s="2" t="s">
        <v>63</v>
      </c>
      <c r="SJA220" s="24">
        <v>434</v>
      </c>
      <c r="SJB220" s="5">
        <v>46174</v>
      </c>
      <c r="SJC220" s="5">
        <v>46174</v>
      </c>
      <c r="SJD220" s="30">
        <f t="shared" ref="SJD220" si="845">SJC220-SJB220</f>
        <v>0</v>
      </c>
      <c r="SJE220" s="5" t="s">
        <v>317</v>
      </c>
      <c r="SJF220" s="2" t="s">
        <v>22</v>
      </c>
      <c r="SJG220" s="53" t="s">
        <v>334</v>
      </c>
      <c r="SJH220" s="2" t="s">
        <v>513</v>
      </c>
      <c r="SJI220" s="2" t="s">
        <v>25</v>
      </c>
      <c r="SJJ220" s="2" t="s">
        <v>393</v>
      </c>
      <c r="SJK220" s="7">
        <v>-74.044305502618698</v>
      </c>
      <c r="SJL220" s="7">
        <v>4.6804459478222702</v>
      </c>
      <c r="SJM220" s="2" t="s">
        <v>357</v>
      </c>
      <c r="SJN220" s="2" t="s">
        <v>63</v>
      </c>
      <c r="SJO220" s="2" t="s">
        <v>83</v>
      </c>
      <c r="SJP220" s="2" t="s">
        <v>63</v>
      </c>
      <c r="SJQ220" s="24">
        <v>434</v>
      </c>
      <c r="SJR220" s="5">
        <v>46174</v>
      </c>
      <c r="SJS220" s="5">
        <v>46174</v>
      </c>
      <c r="SJT220" s="30">
        <f t="shared" ref="SJT220" si="846">SJS220-SJR220</f>
        <v>0</v>
      </c>
      <c r="SJU220" s="5" t="s">
        <v>317</v>
      </c>
      <c r="SJV220" s="2" t="s">
        <v>22</v>
      </c>
      <c r="SJW220" s="53" t="s">
        <v>334</v>
      </c>
      <c r="SJX220" s="2" t="s">
        <v>513</v>
      </c>
      <c r="SJY220" s="2" t="s">
        <v>25</v>
      </c>
      <c r="SJZ220" s="2" t="s">
        <v>393</v>
      </c>
      <c r="SKA220" s="7">
        <v>-74.044305502618698</v>
      </c>
      <c r="SKB220" s="7">
        <v>4.6804459478222702</v>
      </c>
      <c r="SKC220" s="2" t="s">
        <v>357</v>
      </c>
      <c r="SKD220" s="2" t="s">
        <v>63</v>
      </c>
      <c r="SKE220" s="2" t="s">
        <v>83</v>
      </c>
      <c r="SKF220" s="2" t="s">
        <v>63</v>
      </c>
      <c r="SKG220" s="24">
        <v>434</v>
      </c>
      <c r="SKH220" s="5">
        <v>46174</v>
      </c>
      <c r="SKI220" s="5">
        <v>46174</v>
      </c>
      <c r="SKJ220" s="30">
        <f t="shared" ref="SKJ220" si="847">SKI220-SKH220</f>
        <v>0</v>
      </c>
      <c r="SKK220" s="5" t="s">
        <v>317</v>
      </c>
      <c r="SKL220" s="2" t="s">
        <v>22</v>
      </c>
      <c r="SKM220" s="53" t="s">
        <v>334</v>
      </c>
      <c r="SKN220" s="2" t="s">
        <v>513</v>
      </c>
      <c r="SKO220" s="2" t="s">
        <v>25</v>
      </c>
      <c r="SKP220" s="2" t="s">
        <v>393</v>
      </c>
      <c r="SKQ220" s="7">
        <v>-74.044305502618698</v>
      </c>
      <c r="SKR220" s="7">
        <v>4.6804459478222702</v>
      </c>
      <c r="SKS220" s="2" t="s">
        <v>357</v>
      </c>
      <c r="SKT220" s="2" t="s">
        <v>63</v>
      </c>
      <c r="SKU220" s="2" t="s">
        <v>83</v>
      </c>
      <c r="SKV220" s="2" t="s">
        <v>63</v>
      </c>
      <c r="SKW220" s="24">
        <v>434</v>
      </c>
      <c r="SKX220" s="5">
        <v>46174</v>
      </c>
      <c r="SKY220" s="5">
        <v>46174</v>
      </c>
      <c r="SKZ220" s="30">
        <f t="shared" ref="SKZ220" si="848">SKY220-SKX220</f>
        <v>0</v>
      </c>
      <c r="SLA220" s="5" t="s">
        <v>317</v>
      </c>
      <c r="SLB220" s="2" t="s">
        <v>22</v>
      </c>
      <c r="SLC220" s="53" t="s">
        <v>334</v>
      </c>
      <c r="SLD220" s="2" t="s">
        <v>513</v>
      </c>
      <c r="SLE220" s="2" t="s">
        <v>25</v>
      </c>
      <c r="SLF220" s="2" t="s">
        <v>393</v>
      </c>
      <c r="SLG220" s="7">
        <v>-74.044305502618698</v>
      </c>
      <c r="SLH220" s="7">
        <v>4.6804459478222702</v>
      </c>
      <c r="SLI220" s="2" t="s">
        <v>357</v>
      </c>
      <c r="SLJ220" s="2" t="s">
        <v>63</v>
      </c>
      <c r="SLK220" s="2" t="s">
        <v>83</v>
      </c>
      <c r="SLL220" s="2" t="s">
        <v>63</v>
      </c>
      <c r="SLM220" s="24">
        <v>434</v>
      </c>
      <c r="SLN220" s="5">
        <v>46174</v>
      </c>
      <c r="SLO220" s="5">
        <v>46174</v>
      </c>
      <c r="SLP220" s="30">
        <f t="shared" ref="SLP220" si="849">SLO220-SLN220</f>
        <v>0</v>
      </c>
      <c r="SLQ220" s="5" t="s">
        <v>317</v>
      </c>
      <c r="SLR220" s="2" t="s">
        <v>22</v>
      </c>
      <c r="SLS220" s="53" t="s">
        <v>334</v>
      </c>
      <c r="SLT220" s="2" t="s">
        <v>513</v>
      </c>
      <c r="SLU220" s="2" t="s">
        <v>25</v>
      </c>
      <c r="SLV220" s="2" t="s">
        <v>393</v>
      </c>
      <c r="SLW220" s="7">
        <v>-74.044305502618698</v>
      </c>
      <c r="SLX220" s="7">
        <v>4.6804459478222702</v>
      </c>
      <c r="SLY220" s="2" t="s">
        <v>357</v>
      </c>
      <c r="SLZ220" s="2" t="s">
        <v>63</v>
      </c>
      <c r="SMA220" s="2" t="s">
        <v>83</v>
      </c>
      <c r="SMB220" s="2" t="s">
        <v>63</v>
      </c>
      <c r="SMC220" s="24">
        <v>434</v>
      </c>
      <c r="SMD220" s="5">
        <v>46174</v>
      </c>
      <c r="SME220" s="5">
        <v>46174</v>
      </c>
      <c r="SMF220" s="30">
        <f t="shared" ref="SMF220" si="850">SME220-SMD220</f>
        <v>0</v>
      </c>
      <c r="SMG220" s="5" t="s">
        <v>317</v>
      </c>
      <c r="SMH220" s="2" t="s">
        <v>22</v>
      </c>
      <c r="SMI220" s="53" t="s">
        <v>334</v>
      </c>
      <c r="SMJ220" s="2" t="s">
        <v>513</v>
      </c>
      <c r="SMK220" s="2" t="s">
        <v>25</v>
      </c>
      <c r="SML220" s="2" t="s">
        <v>393</v>
      </c>
      <c r="SMM220" s="7">
        <v>-74.044305502618698</v>
      </c>
      <c r="SMN220" s="7">
        <v>4.6804459478222702</v>
      </c>
      <c r="SMO220" s="2" t="s">
        <v>357</v>
      </c>
      <c r="SMP220" s="2" t="s">
        <v>63</v>
      </c>
      <c r="SMQ220" s="2" t="s">
        <v>83</v>
      </c>
      <c r="SMR220" s="2" t="s">
        <v>63</v>
      </c>
      <c r="SMS220" s="24">
        <v>434</v>
      </c>
      <c r="SMT220" s="5">
        <v>46174</v>
      </c>
      <c r="SMU220" s="5">
        <v>46174</v>
      </c>
      <c r="SMV220" s="30">
        <f t="shared" ref="SMV220" si="851">SMU220-SMT220</f>
        <v>0</v>
      </c>
      <c r="SMW220" s="5" t="s">
        <v>317</v>
      </c>
      <c r="SMX220" s="2" t="s">
        <v>22</v>
      </c>
      <c r="SMY220" s="53" t="s">
        <v>334</v>
      </c>
      <c r="SMZ220" s="2" t="s">
        <v>513</v>
      </c>
      <c r="SNA220" s="2" t="s">
        <v>25</v>
      </c>
      <c r="SNB220" s="2" t="s">
        <v>393</v>
      </c>
      <c r="SNC220" s="7">
        <v>-74.044305502618698</v>
      </c>
      <c r="SND220" s="7">
        <v>4.6804459478222702</v>
      </c>
      <c r="SNE220" s="2" t="s">
        <v>357</v>
      </c>
      <c r="SNF220" s="2" t="s">
        <v>63</v>
      </c>
      <c r="SNG220" s="2" t="s">
        <v>83</v>
      </c>
      <c r="SNH220" s="2" t="s">
        <v>63</v>
      </c>
      <c r="SNI220" s="24">
        <v>434</v>
      </c>
      <c r="SNJ220" s="5">
        <v>46174</v>
      </c>
      <c r="SNK220" s="5">
        <v>46174</v>
      </c>
      <c r="SNL220" s="30">
        <f t="shared" ref="SNL220" si="852">SNK220-SNJ220</f>
        <v>0</v>
      </c>
      <c r="SNM220" s="5" t="s">
        <v>317</v>
      </c>
      <c r="SNN220" s="2" t="s">
        <v>22</v>
      </c>
      <c r="SNO220" s="53" t="s">
        <v>334</v>
      </c>
      <c r="SNP220" s="2" t="s">
        <v>513</v>
      </c>
      <c r="SNQ220" s="2" t="s">
        <v>25</v>
      </c>
      <c r="SNR220" s="2" t="s">
        <v>393</v>
      </c>
      <c r="SNS220" s="7">
        <v>-74.044305502618698</v>
      </c>
      <c r="SNT220" s="7">
        <v>4.6804459478222702</v>
      </c>
      <c r="SNU220" s="2" t="s">
        <v>357</v>
      </c>
      <c r="SNV220" s="2" t="s">
        <v>63</v>
      </c>
      <c r="SNW220" s="2" t="s">
        <v>83</v>
      </c>
      <c r="SNX220" s="2" t="s">
        <v>63</v>
      </c>
      <c r="SNY220" s="24">
        <v>434</v>
      </c>
      <c r="SNZ220" s="5">
        <v>46174</v>
      </c>
      <c r="SOA220" s="5">
        <v>46174</v>
      </c>
      <c r="SOB220" s="30">
        <f t="shared" ref="SOB220" si="853">SOA220-SNZ220</f>
        <v>0</v>
      </c>
      <c r="SOC220" s="5" t="s">
        <v>317</v>
      </c>
      <c r="SOD220" s="2" t="s">
        <v>22</v>
      </c>
      <c r="SOE220" s="53" t="s">
        <v>334</v>
      </c>
      <c r="SOF220" s="2" t="s">
        <v>513</v>
      </c>
      <c r="SOG220" s="2" t="s">
        <v>25</v>
      </c>
      <c r="SOH220" s="2" t="s">
        <v>393</v>
      </c>
      <c r="SOI220" s="7">
        <v>-74.044305502618698</v>
      </c>
      <c r="SOJ220" s="7">
        <v>4.6804459478222702</v>
      </c>
      <c r="SOK220" s="2" t="s">
        <v>357</v>
      </c>
      <c r="SOL220" s="2" t="s">
        <v>63</v>
      </c>
      <c r="SOM220" s="2" t="s">
        <v>83</v>
      </c>
      <c r="SON220" s="2" t="s">
        <v>63</v>
      </c>
      <c r="SOO220" s="24">
        <v>434</v>
      </c>
      <c r="SOP220" s="5">
        <v>46174</v>
      </c>
      <c r="SOQ220" s="5">
        <v>46174</v>
      </c>
      <c r="SOR220" s="30">
        <f t="shared" ref="SOR220" si="854">SOQ220-SOP220</f>
        <v>0</v>
      </c>
      <c r="SOS220" s="5" t="s">
        <v>317</v>
      </c>
      <c r="SOT220" s="2" t="s">
        <v>22</v>
      </c>
      <c r="SOU220" s="53" t="s">
        <v>334</v>
      </c>
      <c r="SOV220" s="2" t="s">
        <v>513</v>
      </c>
      <c r="SOW220" s="2" t="s">
        <v>25</v>
      </c>
      <c r="SOX220" s="2" t="s">
        <v>393</v>
      </c>
      <c r="SOY220" s="7">
        <v>-74.044305502618698</v>
      </c>
      <c r="SOZ220" s="7">
        <v>4.6804459478222702</v>
      </c>
      <c r="SPA220" s="2" t="s">
        <v>357</v>
      </c>
      <c r="SPB220" s="2" t="s">
        <v>63</v>
      </c>
      <c r="SPC220" s="2" t="s">
        <v>83</v>
      </c>
      <c r="SPD220" s="2" t="s">
        <v>63</v>
      </c>
      <c r="SPE220" s="24">
        <v>434</v>
      </c>
      <c r="SPF220" s="5">
        <v>46174</v>
      </c>
      <c r="SPG220" s="5">
        <v>46174</v>
      </c>
      <c r="SPH220" s="30">
        <f t="shared" ref="SPH220" si="855">SPG220-SPF220</f>
        <v>0</v>
      </c>
      <c r="SPI220" s="5" t="s">
        <v>317</v>
      </c>
      <c r="SPJ220" s="2" t="s">
        <v>22</v>
      </c>
      <c r="SPK220" s="53" t="s">
        <v>334</v>
      </c>
      <c r="SPL220" s="2" t="s">
        <v>513</v>
      </c>
      <c r="SPM220" s="2" t="s">
        <v>25</v>
      </c>
      <c r="SPN220" s="2" t="s">
        <v>393</v>
      </c>
      <c r="SPO220" s="7">
        <v>-74.044305502618698</v>
      </c>
      <c r="SPP220" s="7">
        <v>4.6804459478222702</v>
      </c>
      <c r="SPQ220" s="2" t="s">
        <v>357</v>
      </c>
      <c r="SPR220" s="2" t="s">
        <v>63</v>
      </c>
      <c r="SPS220" s="2" t="s">
        <v>83</v>
      </c>
      <c r="SPT220" s="2" t="s">
        <v>63</v>
      </c>
      <c r="SPU220" s="24">
        <v>434</v>
      </c>
      <c r="SPV220" s="5">
        <v>46174</v>
      </c>
      <c r="SPW220" s="5">
        <v>46174</v>
      </c>
      <c r="SPX220" s="30">
        <f t="shared" ref="SPX220" si="856">SPW220-SPV220</f>
        <v>0</v>
      </c>
      <c r="SPY220" s="5" t="s">
        <v>317</v>
      </c>
      <c r="SPZ220" s="2" t="s">
        <v>22</v>
      </c>
      <c r="SQA220" s="53" t="s">
        <v>334</v>
      </c>
      <c r="SQB220" s="2" t="s">
        <v>513</v>
      </c>
      <c r="SQC220" s="2" t="s">
        <v>25</v>
      </c>
      <c r="SQD220" s="2" t="s">
        <v>393</v>
      </c>
      <c r="SQE220" s="7">
        <v>-74.044305502618698</v>
      </c>
      <c r="SQF220" s="7">
        <v>4.6804459478222702</v>
      </c>
      <c r="SQG220" s="2" t="s">
        <v>357</v>
      </c>
      <c r="SQH220" s="2" t="s">
        <v>63</v>
      </c>
      <c r="SQI220" s="2" t="s">
        <v>83</v>
      </c>
      <c r="SQJ220" s="2" t="s">
        <v>63</v>
      </c>
      <c r="SQK220" s="24">
        <v>434</v>
      </c>
      <c r="SQL220" s="5">
        <v>46174</v>
      </c>
      <c r="SQM220" s="5">
        <v>46174</v>
      </c>
      <c r="SQN220" s="30">
        <f t="shared" ref="SQN220" si="857">SQM220-SQL220</f>
        <v>0</v>
      </c>
      <c r="SQO220" s="5" t="s">
        <v>317</v>
      </c>
      <c r="SQP220" s="2" t="s">
        <v>22</v>
      </c>
      <c r="SQQ220" s="53" t="s">
        <v>334</v>
      </c>
      <c r="SQR220" s="2" t="s">
        <v>513</v>
      </c>
      <c r="SQS220" s="2" t="s">
        <v>25</v>
      </c>
      <c r="SQT220" s="2" t="s">
        <v>393</v>
      </c>
      <c r="SQU220" s="7">
        <v>-74.044305502618698</v>
      </c>
      <c r="SQV220" s="7">
        <v>4.6804459478222702</v>
      </c>
      <c r="SQW220" s="2" t="s">
        <v>357</v>
      </c>
      <c r="SQX220" s="2" t="s">
        <v>63</v>
      </c>
      <c r="SQY220" s="2" t="s">
        <v>83</v>
      </c>
      <c r="SQZ220" s="2" t="s">
        <v>63</v>
      </c>
      <c r="SRA220" s="24">
        <v>434</v>
      </c>
      <c r="SRB220" s="5">
        <v>46174</v>
      </c>
      <c r="SRC220" s="5">
        <v>46174</v>
      </c>
      <c r="SRD220" s="30">
        <f t="shared" ref="SRD220" si="858">SRC220-SRB220</f>
        <v>0</v>
      </c>
      <c r="SRE220" s="5" t="s">
        <v>317</v>
      </c>
      <c r="SRF220" s="2" t="s">
        <v>22</v>
      </c>
      <c r="SRG220" s="53" t="s">
        <v>334</v>
      </c>
      <c r="SRH220" s="2" t="s">
        <v>513</v>
      </c>
      <c r="SRI220" s="2" t="s">
        <v>25</v>
      </c>
      <c r="SRJ220" s="2" t="s">
        <v>393</v>
      </c>
      <c r="SRK220" s="7">
        <v>-74.044305502618698</v>
      </c>
      <c r="SRL220" s="7">
        <v>4.6804459478222702</v>
      </c>
      <c r="SRM220" s="2" t="s">
        <v>357</v>
      </c>
      <c r="SRN220" s="2" t="s">
        <v>63</v>
      </c>
      <c r="SRO220" s="2" t="s">
        <v>83</v>
      </c>
      <c r="SRP220" s="2" t="s">
        <v>63</v>
      </c>
      <c r="SRQ220" s="24">
        <v>434</v>
      </c>
      <c r="SRR220" s="5">
        <v>46174</v>
      </c>
      <c r="SRS220" s="5">
        <v>46174</v>
      </c>
      <c r="SRT220" s="30">
        <f t="shared" ref="SRT220" si="859">SRS220-SRR220</f>
        <v>0</v>
      </c>
      <c r="SRU220" s="5" t="s">
        <v>317</v>
      </c>
      <c r="SRV220" s="2" t="s">
        <v>22</v>
      </c>
      <c r="SRW220" s="53" t="s">
        <v>334</v>
      </c>
      <c r="SRX220" s="2" t="s">
        <v>513</v>
      </c>
      <c r="SRY220" s="2" t="s">
        <v>25</v>
      </c>
      <c r="SRZ220" s="2" t="s">
        <v>393</v>
      </c>
      <c r="SSA220" s="7">
        <v>-74.044305502618698</v>
      </c>
      <c r="SSB220" s="7">
        <v>4.6804459478222702</v>
      </c>
      <c r="SSC220" s="2" t="s">
        <v>357</v>
      </c>
      <c r="SSD220" s="2" t="s">
        <v>63</v>
      </c>
      <c r="SSE220" s="2" t="s">
        <v>83</v>
      </c>
      <c r="SSF220" s="2" t="s">
        <v>63</v>
      </c>
      <c r="SSG220" s="24">
        <v>434</v>
      </c>
      <c r="SSH220" s="5">
        <v>46174</v>
      </c>
      <c r="SSI220" s="5">
        <v>46174</v>
      </c>
      <c r="SSJ220" s="30">
        <f t="shared" ref="SSJ220" si="860">SSI220-SSH220</f>
        <v>0</v>
      </c>
      <c r="SSK220" s="5" t="s">
        <v>317</v>
      </c>
      <c r="SSL220" s="2" t="s">
        <v>22</v>
      </c>
      <c r="SSM220" s="53" t="s">
        <v>334</v>
      </c>
      <c r="SSN220" s="2" t="s">
        <v>513</v>
      </c>
      <c r="SSO220" s="2" t="s">
        <v>25</v>
      </c>
      <c r="SSP220" s="2" t="s">
        <v>393</v>
      </c>
      <c r="SSQ220" s="7">
        <v>-74.044305502618698</v>
      </c>
      <c r="SSR220" s="7">
        <v>4.6804459478222702</v>
      </c>
      <c r="SSS220" s="2" t="s">
        <v>357</v>
      </c>
      <c r="SST220" s="2" t="s">
        <v>63</v>
      </c>
      <c r="SSU220" s="2" t="s">
        <v>83</v>
      </c>
      <c r="SSV220" s="2" t="s">
        <v>63</v>
      </c>
      <c r="SSW220" s="24">
        <v>434</v>
      </c>
      <c r="SSX220" s="5">
        <v>46174</v>
      </c>
      <c r="SSY220" s="5">
        <v>46174</v>
      </c>
      <c r="SSZ220" s="30">
        <f t="shared" ref="SSZ220" si="861">SSY220-SSX220</f>
        <v>0</v>
      </c>
      <c r="STA220" s="5" t="s">
        <v>317</v>
      </c>
      <c r="STB220" s="2" t="s">
        <v>22</v>
      </c>
      <c r="STC220" s="53" t="s">
        <v>334</v>
      </c>
      <c r="STD220" s="2" t="s">
        <v>513</v>
      </c>
      <c r="STE220" s="2" t="s">
        <v>25</v>
      </c>
      <c r="STF220" s="2" t="s">
        <v>393</v>
      </c>
      <c r="STG220" s="7">
        <v>-74.044305502618698</v>
      </c>
      <c r="STH220" s="7">
        <v>4.6804459478222702</v>
      </c>
      <c r="STI220" s="2" t="s">
        <v>357</v>
      </c>
      <c r="STJ220" s="2" t="s">
        <v>63</v>
      </c>
      <c r="STK220" s="2" t="s">
        <v>83</v>
      </c>
      <c r="STL220" s="2" t="s">
        <v>63</v>
      </c>
      <c r="STM220" s="24">
        <v>434</v>
      </c>
      <c r="STN220" s="5">
        <v>46174</v>
      </c>
      <c r="STO220" s="5">
        <v>46174</v>
      </c>
      <c r="STP220" s="30">
        <f t="shared" ref="STP220" si="862">STO220-STN220</f>
        <v>0</v>
      </c>
      <c r="STQ220" s="5" t="s">
        <v>317</v>
      </c>
      <c r="STR220" s="2" t="s">
        <v>22</v>
      </c>
      <c r="STS220" s="53" t="s">
        <v>334</v>
      </c>
      <c r="STT220" s="2" t="s">
        <v>513</v>
      </c>
      <c r="STU220" s="2" t="s">
        <v>25</v>
      </c>
      <c r="STV220" s="2" t="s">
        <v>393</v>
      </c>
      <c r="STW220" s="7">
        <v>-74.044305502618698</v>
      </c>
      <c r="STX220" s="7">
        <v>4.6804459478222702</v>
      </c>
      <c r="STY220" s="2" t="s">
        <v>357</v>
      </c>
      <c r="STZ220" s="2" t="s">
        <v>63</v>
      </c>
      <c r="SUA220" s="2" t="s">
        <v>83</v>
      </c>
      <c r="SUB220" s="2" t="s">
        <v>63</v>
      </c>
      <c r="SUC220" s="24">
        <v>434</v>
      </c>
      <c r="SUD220" s="5">
        <v>46174</v>
      </c>
      <c r="SUE220" s="5">
        <v>46174</v>
      </c>
      <c r="SUF220" s="30">
        <f t="shared" ref="SUF220" si="863">SUE220-SUD220</f>
        <v>0</v>
      </c>
      <c r="SUG220" s="5" t="s">
        <v>317</v>
      </c>
      <c r="SUH220" s="2" t="s">
        <v>22</v>
      </c>
      <c r="SUI220" s="53" t="s">
        <v>334</v>
      </c>
      <c r="SUJ220" s="2" t="s">
        <v>513</v>
      </c>
      <c r="SUK220" s="2" t="s">
        <v>25</v>
      </c>
      <c r="SUL220" s="2" t="s">
        <v>393</v>
      </c>
      <c r="SUM220" s="7">
        <v>-74.044305502618698</v>
      </c>
      <c r="SUN220" s="7">
        <v>4.6804459478222702</v>
      </c>
      <c r="SUO220" s="2" t="s">
        <v>357</v>
      </c>
      <c r="SUP220" s="2" t="s">
        <v>63</v>
      </c>
      <c r="SUQ220" s="2" t="s">
        <v>83</v>
      </c>
      <c r="SUR220" s="2" t="s">
        <v>63</v>
      </c>
      <c r="SUS220" s="24">
        <v>434</v>
      </c>
      <c r="SUT220" s="5">
        <v>46174</v>
      </c>
      <c r="SUU220" s="5">
        <v>46174</v>
      </c>
      <c r="SUV220" s="30">
        <f t="shared" ref="SUV220" si="864">SUU220-SUT220</f>
        <v>0</v>
      </c>
      <c r="SUW220" s="5" t="s">
        <v>317</v>
      </c>
      <c r="SUX220" s="2" t="s">
        <v>22</v>
      </c>
      <c r="SUY220" s="53" t="s">
        <v>334</v>
      </c>
      <c r="SUZ220" s="2" t="s">
        <v>513</v>
      </c>
      <c r="SVA220" s="2" t="s">
        <v>25</v>
      </c>
      <c r="SVB220" s="2" t="s">
        <v>393</v>
      </c>
      <c r="SVC220" s="7">
        <v>-74.044305502618698</v>
      </c>
      <c r="SVD220" s="7">
        <v>4.6804459478222702</v>
      </c>
      <c r="SVE220" s="2" t="s">
        <v>357</v>
      </c>
      <c r="SVF220" s="2" t="s">
        <v>63</v>
      </c>
      <c r="SVG220" s="2" t="s">
        <v>83</v>
      </c>
      <c r="SVH220" s="2" t="s">
        <v>63</v>
      </c>
      <c r="SVI220" s="24">
        <v>434</v>
      </c>
      <c r="SVJ220" s="5">
        <v>46174</v>
      </c>
      <c r="SVK220" s="5">
        <v>46174</v>
      </c>
      <c r="SVL220" s="30">
        <f t="shared" ref="SVL220" si="865">SVK220-SVJ220</f>
        <v>0</v>
      </c>
      <c r="SVM220" s="5" t="s">
        <v>317</v>
      </c>
      <c r="SVN220" s="2" t="s">
        <v>22</v>
      </c>
      <c r="SVO220" s="53" t="s">
        <v>334</v>
      </c>
      <c r="SVP220" s="2" t="s">
        <v>513</v>
      </c>
      <c r="SVQ220" s="2" t="s">
        <v>25</v>
      </c>
      <c r="SVR220" s="2" t="s">
        <v>393</v>
      </c>
      <c r="SVS220" s="7">
        <v>-74.044305502618698</v>
      </c>
      <c r="SVT220" s="7">
        <v>4.6804459478222702</v>
      </c>
      <c r="SVU220" s="2" t="s">
        <v>357</v>
      </c>
      <c r="SVV220" s="2" t="s">
        <v>63</v>
      </c>
      <c r="SVW220" s="2" t="s">
        <v>83</v>
      </c>
      <c r="SVX220" s="2" t="s">
        <v>63</v>
      </c>
      <c r="SVY220" s="24">
        <v>434</v>
      </c>
      <c r="SVZ220" s="5">
        <v>46174</v>
      </c>
      <c r="SWA220" s="5">
        <v>46174</v>
      </c>
      <c r="SWB220" s="30">
        <f t="shared" ref="SWB220" si="866">SWA220-SVZ220</f>
        <v>0</v>
      </c>
      <c r="SWC220" s="5" t="s">
        <v>317</v>
      </c>
      <c r="SWD220" s="2" t="s">
        <v>22</v>
      </c>
      <c r="SWE220" s="53" t="s">
        <v>334</v>
      </c>
      <c r="SWF220" s="2" t="s">
        <v>513</v>
      </c>
      <c r="SWG220" s="2" t="s">
        <v>25</v>
      </c>
      <c r="SWH220" s="2" t="s">
        <v>393</v>
      </c>
      <c r="SWI220" s="7">
        <v>-74.044305502618698</v>
      </c>
      <c r="SWJ220" s="7">
        <v>4.6804459478222702</v>
      </c>
      <c r="SWK220" s="2" t="s">
        <v>357</v>
      </c>
      <c r="SWL220" s="2" t="s">
        <v>63</v>
      </c>
      <c r="SWM220" s="2" t="s">
        <v>83</v>
      </c>
      <c r="SWN220" s="2" t="s">
        <v>63</v>
      </c>
      <c r="SWO220" s="24">
        <v>434</v>
      </c>
      <c r="SWP220" s="5">
        <v>46174</v>
      </c>
      <c r="SWQ220" s="5">
        <v>46174</v>
      </c>
      <c r="SWR220" s="30">
        <f t="shared" ref="SWR220" si="867">SWQ220-SWP220</f>
        <v>0</v>
      </c>
      <c r="SWS220" s="5" t="s">
        <v>317</v>
      </c>
      <c r="SWT220" s="2" t="s">
        <v>22</v>
      </c>
      <c r="SWU220" s="53" t="s">
        <v>334</v>
      </c>
      <c r="SWV220" s="2" t="s">
        <v>513</v>
      </c>
      <c r="SWW220" s="2" t="s">
        <v>25</v>
      </c>
      <c r="SWX220" s="2" t="s">
        <v>393</v>
      </c>
      <c r="SWY220" s="7">
        <v>-74.044305502618698</v>
      </c>
      <c r="SWZ220" s="7">
        <v>4.6804459478222702</v>
      </c>
      <c r="SXA220" s="2" t="s">
        <v>357</v>
      </c>
      <c r="SXB220" s="2" t="s">
        <v>63</v>
      </c>
      <c r="SXC220" s="2" t="s">
        <v>83</v>
      </c>
      <c r="SXD220" s="2" t="s">
        <v>63</v>
      </c>
      <c r="SXE220" s="24">
        <v>434</v>
      </c>
      <c r="SXF220" s="5">
        <v>46174</v>
      </c>
      <c r="SXG220" s="5">
        <v>46174</v>
      </c>
      <c r="SXH220" s="30">
        <f t="shared" ref="SXH220" si="868">SXG220-SXF220</f>
        <v>0</v>
      </c>
      <c r="SXI220" s="5" t="s">
        <v>317</v>
      </c>
      <c r="SXJ220" s="2" t="s">
        <v>22</v>
      </c>
      <c r="SXK220" s="53" t="s">
        <v>334</v>
      </c>
      <c r="SXL220" s="2" t="s">
        <v>513</v>
      </c>
      <c r="SXM220" s="2" t="s">
        <v>25</v>
      </c>
      <c r="SXN220" s="2" t="s">
        <v>393</v>
      </c>
      <c r="SXO220" s="7">
        <v>-74.044305502618698</v>
      </c>
      <c r="SXP220" s="7">
        <v>4.6804459478222702</v>
      </c>
      <c r="SXQ220" s="2" t="s">
        <v>357</v>
      </c>
      <c r="SXR220" s="2" t="s">
        <v>63</v>
      </c>
      <c r="SXS220" s="2" t="s">
        <v>83</v>
      </c>
      <c r="SXT220" s="2" t="s">
        <v>63</v>
      </c>
      <c r="SXU220" s="24">
        <v>434</v>
      </c>
      <c r="SXV220" s="5">
        <v>46174</v>
      </c>
      <c r="SXW220" s="5">
        <v>46174</v>
      </c>
      <c r="SXX220" s="30">
        <f t="shared" ref="SXX220" si="869">SXW220-SXV220</f>
        <v>0</v>
      </c>
      <c r="SXY220" s="5" t="s">
        <v>317</v>
      </c>
      <c r="SXZ220" s="2" t="s">
        <v>22</v>
      </c>
      <c r="SYA220" s="53" t="s">
        <v>334</v>
      </c>
      <c r="SYB220" s="2" t="s">
        <v>513</v>
      </c>
      <c r="SYC220" s="2" t="s">
        <v>25</v>
      </c>
      <c r="SYD220" s="2" t="s">
        <v>393</v>
      </c>
      <c r="SYE220" s="7">
        <v>-74.044305502618698</v>
      </c>
      <c r="SYF220" s="7">
        <v>4.6804459478222702</v>
      </c>
      <c r="SYG220" s="2" t="s">
        <v>357</v>
      </c>
      <c r="SYH220" s="2" t="s">
        <v>63</v>
      </c>
      <c r="SYI220" s="2" t="s">
        <v>83</v>
      </c>
      <c r="SYJ220" s="2" t="s">
        <v>63</v>
      </c>
      <c r="SYK220" s="24">
        <v>434</v>
      </c>
      <c r="SYL220" s="5">
        <v>46174</v>
      </c>
      <c r="SYM220" s="5">
        <v>46174</v>
      </c>
      <c r="SYN220" s="30">
        <f t="shared" ref="SYN220" si="870">SYM220-SYL220</f>
        <v>0</v>
      </c>
      <c r="SYO220" s="5" t="s">
        <v>317</v>
      </c>
      <c r="SYP220" s="2" t="s">
        <v>22</v>
      </c>
      <c r="SYQ220" s="53" t="s">
        <v>334</v>
      </c>
      <c r="SYR220" s="2" t="s">
        <v>513</v>
      </c>
      <c r="SYS220" s="2" t="s">
        <v>25</v>
      </c>
      <c r="SYT220" s="2" t="s">
        <v>393</v>
      </c>
      <c r="SYU220" s="7">
        <v>-74.044305502618698</v>
      </c>
      <c r="SYV220" s="7">
        <v>4.6804459478222702</v>
      </c>
      <c r="SYW220" s="2" t="s">
        <v>357</v>
      </c>
      <c r="SYX220" s="2" t="s">
        <v>63</v>
      </c>
      <c r="SYY220" s="2" t="s">
        <v>83</v>
      </c>
      <c r="SYZ220" s="2" t="s">
        <v>63</v>
      </c>
      <c r="SZA220" s="24">
        <v>434</v>
      </c>
      <c r="SZB220" s="5">
        <v>46174</v>
      </c>
      <c r="SZC220" s="5">
        <v>46174</v>
      </c>
      <c r="SZD220" s="30">
        <f t="shared" ref="SZD220" si="871">SZC220-SZB220</f>
        <v>0</v>
      </c>
      <c r="SZE220" s="5" t="s">
        <v>317</v>
      </c>
      <c r="SZF220" s="2" t="s">
        <v>22</v>
      </c>
      <c r="SZG220" s="53" t="s">
        <v>334</v>
      </c>
      <c r="SZH220" s="2" t="s">
        <v>513</v>
      </c>
      <c r="SZI220" s="2" t="s">
        <v>25</v>
      </c>
      <c r="SZJ220" s="2" t="s">
        <v>393</v>
      </c>
      <c r="SZK220" s="7">
        <v>-74.044305502618698</v>
      </c>
      <c r="SZL220" s="7">
        <v>4.6804459478222702</v>
      </c>
      <c r="SZM220" s="2" t="s">
        <v>357</v>
      </c>
      <c r="SZN220" s="2" t="s">
        <v>63</v>
      </c>
      <c r="SZO220" s="2" t="s">
        <v>83</v>
      </c>
      <c r="SZP220" s="2" t="s">
        <v>63</v>
      </c>
      <c r="SZQ220" s="24">
        <v>434</v>
      </c>
      <c r="SZR220" s="5">
        <v>46174</v>
      </c>
      <c r="SZS220" s="5">
        <v>46174</v>
      </c>
      <c r="SZT220" s="30">
        <f t="shared" ref="SZT220" si="872">SZS220-SZR220</f>
        <v>0</v>
      </c>
      <c r="SZU220" s="5" t="s">
        <v>317</v>
      </c>
      <c r="SZV220" s="2" t="s">
        <v>22</v>
      </c>
      <c r="SZW220" s="53" t="s">
        <v>334</v>
      </c>
      <c r="SZX220" s="2" t="s">
        <v>513</v>
      </c>
      <c r="SZY220" s="2" t="s">
        <v>25</v>
      </c>
      <c r="SZZ220" s="2" t="s">
        <v>393</v>
      </c>
      <c r="TAA220" s="7">
        <v>-74.044305502618698</v>
      </c>
      <c r="TAB220" s="7">
        <v>4.6804459478222702</v>
      </c>
      <c r="TAC220" s="2" t="s">
        <v>357</v>
      </c>
      <c r="TAD220" s="2" t="s">
        <v>63</v>
      </c>
      <c r="TAE220" s="2" t="s">
        <v>83</v>
      </c>
      <c r="TAF220" s="2" t="s">
        <v>63</v>
      </c>
      <c r="TAG220" s="24">
        <v>434</v>
      </c>
      <c r="TAH220" s="5">
        <v>46174</v>
      </c>
      <c r="TAI220" s="5">
        <v>46174</v>
      </c>
      <c r="TAJ220" s="30">
        <f t="shared" ref="TAJ220" si="873">TAI220-TAH220</f>
        <v>0</v>
      </c>
      <c r="TAK220" s="5" t="s">
        <v>317</v>
      </c>
      <c r="TAL220" s="2" t="s">
        <v>22</v>
      </c>
      <c r="TAM220" s="53" t="s">
        <v>334</v>
      </c>
      <c r="TAN220" s="2" t="s">
        <v>513</v>
      </c>
      <c r="TAO220" s="2" t="s">
        <v>25</v>
      </c>
      <c r="TAP220" s="2" t="s">
        <v>393</v>
      </c>
      <c r="TAQ220" s="7">
        <v>-74.044305502618698</v>
      </c>
      <c r="TAR220" s="7">
        <v>4.6804459478222702</v>
      </c>
      <c r="TAS220" s="2" t="s">
        <v>357</v>
      </c>
      <c r="TAT220" s="2" t="s">
        <v>63</v>
      </c>
      <c r="TAU220" s="2" t="s">
        <v>83</v>
      </c>
      <c r="TAV220" s="2" t="s">
        <v>63</v>
      </c>
      <c r="TAW220" s="24">
        <v>434</v>
      </c>
      <c r="TAX220" s="5">
        <v>46174</v>
      </c>
      <c r="TAY220" s="5">
        <v>46174</v>
      </c>
      <c r="TAZ220" s="30">
        <f t="shared" ref="TAZ220" si="874">TAY220-TAX220</f>
        <v>0</v>
      </c>
      <c r="TBA220" s="5" t="s">
        <v>317</v>
      </c>
      <c r="TBB220" s="2" t="s">
        <v>22</v>
      </c>
      <c r="TBC220" s="53" t="s">
        <v>334</v>
      </c>
      <c r="TBD220" s="2" t="s">
        <v>513</v>
      </c>
      <c r="TBE220" s="2" t="s">
        <v>25</v>
      </c>
      <c r="TBF220" s="2" t="s">
        <v>393</v>
      </c>
      <c r="TBG220" s="7">
        <v>-74.044305502618698</v>
      </c>
      <c r="TBH220" s="7">
        <v>4.6804459478222702</v>
      </c>
      <c r="TBI220" s="2" t="s">
        <v>357</v>
      </c>
      <c r="TBJ220" s="2" t="s">
        <v>63</v>
      </c>
      <c r="TBK220" s="2" t="s">
        <v>83</v>
      </c>
      <c r="TBL220" s="2" t="s">
        <v>63</v>
      </c>
      <c r="TBM220" s="24">
        <v>434</v>
      </c>
      <c r="TBN220" s="5">
        <v>46174</v>
      </c>
      <c r="TBO220" s="5">
        <v>46174</v>
      </c>
      <c r="TBP220" s="30">
        <f t="shared" ref="TBP220" si="875">TBO220-TBN220</f>
        <v>0</v>
      </c>
      <c r="TBQ220" s="5" t="s">
        <v>317</v>
      </c>
      <c r="TBR220" s="2" t="s">
        <v>22</v>
      </c>
      <c r="TBS220" s="53" t="s">
        <v>334</v>
      </c>
      <c r="TBT220" s="2" t="s">
        <v>513</v>
      </c>
      <c r="TBU220" s="2" t="s">
        <v>25</v>
      </c>
      <c r="TBV220" s="2" t="s">
        <v>393</v>
      </c>
      <c r="TBW220" s="7">
        <v>-74.044305502618698</v>
      </c>
      <c r="TBX220" s="7">
        <v>4.6804459478222702</v>
      </c>
      <c r="TBY220" s="2" t="s">
        <v>357</v>
      </c>
      <c r="TBZ220" s="2" t="s">
        <v>63</v>
      </c>
      <c r="TCA220" s="2" t="s">
        <v>83</v>
      </c>
      <c r="TCB220" s="2" t="s">
        <v>63</v>
      </c>
      <c r="TCC220" s="24">
        <v>434</v>
      </c>
      <c r="TCD220" s="5">
        <v>46174</v>
      </c>
      <c r="TCE220" s="5">
        <v>46174</v>
      </c>
      <c r="TCF220" s="30">
        <f t="shared" ref="TCF220" si="876">TCE220-TCD220</f>
        <v>0</v>
      </c>
      <c r="TCG220" s="5" t="s">
        <v>317</v>
      </c>
      <c r="TCH220" s="2" t="s">
        <v>22</v>
      </c>
      <c r="TCI220" s="53" t="s">
        <v>334</v>
      </c>
      <c r="TCJ220" s="2" t="s">
        <v>513</v>
      </c>
      <c r="TCK220" s="2" t="s">
        <v>25</v>
      </c>
      <c r="TCL220" s="2" t="s">
        <v>393</v>
      </c>
      <c r="TCM220" s="7">
        <v>-74.044305502618698</v>
      </c>
      <c r="TCN220" s="7">
        <v>4.6804459478222702</v>
      </c>
      <c r="TCO220" s="2" t="s">
        <v>357</v>
      </c>
      <c r="TCP220" s="2" t="s">
        <v>63</v>
      </c>
      <c r="TCQ220" s="2" t="s">
        <v>83</v>
      </c>
      <c r="TCR220" s="2" t="s">
        <v>63</v>
      </c>
      <c r="TCS220" s="24">
        <v>434</v>
      </c>
      <c r="TCT220" s="5">
        <v>46174</v>
      </c>
      <c r="TCU220" s="5">
        <v>46174</v>
      </c>
      <c r="TCV220" s="30">
        <f t="shared" ref="TCV220" si="877">TCU220-TCT220</f>
        <v>0</v>
      </c>
      <c r="TCW220" s="5" t="s">
        <v>317</v>
      </c>
      <c r="TCX220" s="2" t="s">
        <v>22</v>
      </c>
      <c r="TCY220" s="53" t="s">
        <v>334</v>
      </c>
      <c r="TCZ220" s="2" t="s">
        <v>513</v>
      </c>
      <c r="TDA220" s="2" t="s">
        <v>25</v>
      </c>
      <c r="TDB220" s="2" t="s">
        <v>393</v>
      </c>
      <c r="TDC220" s="7">
        <v>-74.044305502618698</v>
      </c>
      <c r="TDD220" s="7">
        <v>4.6804459478222702</v>
      </c>
      <c r="TDE220" s="2" t="s">
        <v>357</v>
      </c>
      <c r="TDF220" s="2" t="s">
        <v>63</v>
      </c>
      <c r="TDG220" s="2" t="s">
        <v>83</v>
      </c>
      <c r="TDH220" s="2" t="s">
        <v>63</v>
      </c>
      <c r="TDI220" s="24">
        <v>434</v>
      </c>
      <c r="TDJ220" s="5">
        <v>46174</v>
      </c>
      <c r="TDK220" s="5">
        <v>46174</v>
      </c>
      <c r="TDL220" s="30">
        <f t="shared" ref="TDL220" si="878">TDK220-TDJ220</f>
        <v>0</v>
      </c>
      <c r="TDM220" s="5" t="s">
        <v>317</v>
      </c>
      <c r="TDN220" s="2" t="s">
        <v>22</v>
      </c>
      <c r="TDO220" s="53" t="s">
        <v>334</v>
      </c>
      <c r="TDP220" s="2" t="s">
        <v>513</v>
      </c>
      <c r="TDQ220" s="2" t="s">
        <v>25</v>
      </c>
      <c r="TDR220" s="2" t="s">
        <v>393</v>
      </c>
      <c r="TDS220" s="7">
        <v>-74.044305502618698</v>
      </c>
      <c r="TDT220" s="7">
        <v>4.6804459478222702</v>
      </c>
      <c r="TDU220" s="2" t="s">
        <v>357</v>
      </c>
      <c r="TDV220" s="2" t="s">
        <v>63</v>
      </c>
      <c r="TDW220" s="2" t="s">
        <v>83</v>
      </c>
      <c r="TDX220" s="2" t="s">
        <v>63</v>
      </c>
      <c r="TDY220" s="24">
        <v>434</v>
      </c>
      <c r="TDZ220" s="5">
        <v>46174</v>
      </c>
      <c r="TEA220" s="5">
        <v>46174</v>
      </c>
      <c r="TEB220" s="30">
        <f t="shared" ref="TEB220" si="879">TEA220-TDZ220</f>
        <v>0</v>
      </c>
      <c r="TEC220" s="5" t="s">
        <v>317</v>
      </c>
      <c r="TED220" s="2" t="s">
        <v>22</v>
      </c>
      <c r="TEE220" s="53" t="s">
        <v>334</v>
      </c>
      <c r="TEF220" s="2" t="s">
        <v>513</v>
      </c>
      <c r="TEG220" s="2" t="s">
        <v>25</v>
      </c>
      <c r="TEH220" s="2" t="s">
        <v>393</v>
      </c>
      <c r="TEI220" s="7">
        <v>-74.044305502618698</v>
      </c>
      <c r="TEJ220" s="7">
        <v>4.6804459478222702</v>
      </c>
      <c r="TEK220" s="2" t="s">
        <v>357</v>
      </c>
      <c r="TEL220" s="2" t="s">
        <v>63</v>
      </c>
      <c r="TEM220" s="2" t="s">
        <v>83</v>
      </c>
      <c r="TEN220" s="2" t="s">
        <v>63</v>
      </c>
      <c r="TEO220" s="24">
        <v>434</v>
      </c>
      <c r="TEP220" s="5">
        <v>46174</v>
      </c>
      <c r="TEQ220" s="5">
        <v>46174</v>
      </c>
      <c r="TER220" s="30">
        <f t="shared" ref="TER220" si="880">TEQ220-TEP220</f>
        <v>0</v>
      </c>
      <c r="TES220" s="5" t="s">
        <v>317</v>
      </c>
      <c r="TET220" s="2" t="s">
        <v>22</v>
      </c>
      <c r="TEU220" s="53" t="s">
        <v>334</v>
      </c>
      <c r="TEV220" s="2" t="s">
        <v>513</v>
      </c>
      <c r="TEW220" s="2" t="s">
        <v>25</v>
      </c>
      <c r="TEX220" s="2" t="s">
        <v>393</v>
      </c>
      <c r="TEY220" s="7">
        <v>-74.044305502618698</v>
      </c>
      <c r="TEZ220" s="7">
        <v>4.6804459478222702</v>
      </c>
      <c r="TFA220" s="2" t="s">
        <v>357</v>
      </c>
      <c r="TFB220" s="2" t="s">
        <v>63</v>
      </c>
      <c r="TFC220" s="2" t="s">
        <v>83</v>
      </c>
      <c r="TFD220" s="2" t="s">
        <v>63</v>
      </c>
      <c r="TFE220" s="24">
        <v>434</v>
      </c>
      <c r="TFF220" s="5">
        <v>46174</v>
      </c>
      <c r="TFG220" s="5">
        <v>46174</v>
      </c>
      <c r="TFH220" s="30">
        <f t="shared" ref="TFH220" si="881">TFG220-TFF220</f>
        <v>0</v>
      </c>
      <c r="TFI220" s="5" t="s">
        <v>317</v>
      </c>
      <c r="TFJ220" s="2" t="s">
        <v>22</v>
      </c>
      <c r="TFK220" s="53" t="s">
        <v>334</v>
      </c>
      <c r="TFL220" s="2" t="s">
        <v>513</v>
      </c>
      <c r="TFM220" s="2" t="s">
        <v>25</v>
      </c>
      <c r="TFN220" s="2" t="s">
        <v>393</v>
      </c>
      <c r="TFO220" s="7">
        <v>-74.044305502618698</v>
      </c>
      <c r="TFP220" s="7">
        <v>4.6804459478222702</v>
      </c>
      <c r="TFQ220" s="2" t="s">
        <v>357</v>
      </c>
      <c r="TFR220" s="2" t="s">
        <v>63</v>
      </c>
      <c r="TFS220" s="2" t="s">
        <v>83</v>
      </c>
      <c r="TFT220" s="2" t="s">
        <v>63</v>
      </c>
      <c r="TFU220" s="24">
        <v>434</v>
      </c>
      <c r="TFV220" s="5">
        <v>46174</v>
      </c>
      <c r="TFW220" s="5">
        <v>46174</v>
      </c>
      <c r="TFX220" s="30">
        <f t="shared" ref="TFX220" si="882">TFW220-TFV220</f>
        <v>0</v>
      </c>
      <c r="TFY220" s="5" t="s">
        <v>317</v>
      </c>
      <c r="TFZ220" s="2" t="s">
        <v>22</v>
      </c>
      <c r="TGA220" s="53" t="s">
        <v>334</v>
      </c>
      <c r="TGB220" s="2" t="s">
        <v>513</v>
      </c>
      <c r="TGC220" s="2" t="s">
        <v>25</v>
      </c>
      <c r="TGD220" s="2" t="s">
        <v>393</v>
      </c>
      <c r="TGE220" s="7">
        <v>-74.044305502618698</v>
      </c>
      <c r="TGF220" s="7">
        <v>4.6804459478222702</v>
      </c>
      <c r="TGG220" s="2" t="s">
        <v>357</v>
      </c>
      <c r="TGH220" s="2" t="s">
        <v>63</v>
      </c>
      <c r="TGI220" s="2" t="s">
        <v>83</v>
      </c>
      <c r="TGJ220" s="2" t="s">
        <v>63</v>
      </c>
      <c r="TGK220" s="24">
        <v>434</v>
      </c>
      <c r="TGL220" s="5">
        <v>46174</v>
      </c>
      <c r="TGM220" s="5">
        <v>46174</v>
      </c>
      <c r="TGN220" s="30">
        <f t="shared" ref="TGN220" si="883">TGM220-TGL220</f>
        <v>0</v>
      </c>
      <c r="TGO220" s="5" t="s">
        <v>317</v>
      </c>
      <c r="TGP220" s="2" t="s">
        <v>22</v>
      </c>
      <c r="TGQ220" s="53" t="s">
        <v>334</v>
      </c>
      <c r="TGR220" s="2" t="s">
        <v>513</v>
      </c>
      <c r="TGS220" s="2" t="s">
        <v>25</v>
      </c>
      <c r="TGT220" s="2" t="s">
        <v>393</v>
      </c>
      <c r="TGU220" s="7">
        <v>-74.044305502618698</v>
      </c>
      <c r="TGV220" s="7">
        <v>4.6804459478222702</v>
      </c>
      <c r="TGW220" s="2" t="s">
        <v>357</v>
      </c>
      <c r="TGX220" s="2" t="s">
        <v>63</v>
      </c>
      <c r="TGY220" s="2" t="s">
        <v>83</v>
      </c>
      <c r="TGZ220" s="2" t="s">
        <v>63</v>
      </c>
      <c r="THA220" s="24">
        <v>434</v>
      </c>
      <c r="THB220" s="5">
        <v>46174</v>
      </c>
      <c r="THC220" s="5">
        <v>46174</v>
      </c>
      <c r="THD220" s="30">
        <f t="shared" ref="THD220" si="884">THC220-THB220</f>
        <v>0</v>
      </c>
      <c r="THE220" s="5" t="s">
        <v>317</v>
      </c>
      <c r="THF220" s="2" t="s">
        <v>22</v>
      </c>
      <c r="THG220" s="53" t="s">
        <v>334</v>
      </c>
      <c r="THH220" s="2" t="s">
        <v>513</v>
      </c>
      <c r="THI220" s="2" t="s">
        <v>25</v>
      </c>
      <c r="THJ220" s="2" t="s">
        <v>393</v>
      </c>
      <c r="THK220" s="7">
        <v>-74.044305502618698</v>
      </c>
      <c r="THL220" s="7">
        <v>4.6804459478222702</v>
      </c>
      <c r="THM220" s="2" t="s">
        <v>357</v>
      </c>
      <c r="THN220" s="2" t="s">
        <v>63</v>
      </c>
      <c r="THO220" s="2" t="s">
        <v>83</v>
      </c>
      <c r="THP220" s="2" t="s">
        <v>63</v>
      </c>
      <c r="THQ220" s="24">
        <v>434</v>
      </c>
      <c r="THR220" s="5">
        <v>46174</v>
      </c>
      <c r="THS220" s="5">
        <v>46174</v>
      </c>
      <c r="THT220" s="30">
        <f t="shared" ref="THT220" si="885">THS220-THR220</f>
        <v>0</v>
      </c>
      <c r="THU220" s="5" t="s">
        <v>317</v>
      </c>
      <c r="THV220" s="2" t="s">
        <v>22</v>
      </c>
      <c r="THW220" s="53" t="s">
        <v>334</v>
      </c>
      <c r="THX220" s="2" t="s">
        <v>513</v>
      </c>
      <c r="THY220" s="2" t="s">
        <v>25</v>
      </c>
      <c r="THZ220" s="2" t="s">
        <v>393</v>
      </c>
      <c r="TIA220" s="7">
        <v>-74.044305502618698</v>
      </c>
      <c r="TIB220" s="7">
        <v>4.6804459478222702</v>
      </c>
      <c r="TIC220" s="2" t="s">
        <v>357</v>
      </c>
      <c r="TID220" s="2" t="s">
        <v>63</v>
      </c>
      <c r="TIE220" s="2" t="s">
        <v>83</v>
      </c>
      <c r="TIF220" s="2" t="s">
        <v>63</v>
      </c>
      <c r="TIG220" s="24">
        <v>434</v>
      </c>
      <c r="TIH220" s="5">
        <v>46174</v>
      </c>
      <c r="TII220" s="5">
        <v>46174</v>
      </c>
      <c r="TIJ220" s="30">
        <f t="shared" ref="TIJ220" si="886">TII220-TIH220</f>
        <v>0</v>
      </c>
      <c r="TIK220" s="5" t="s">
        <v>317</v>
      </c>
      <c r="TIL220" s="2" t="s">
        <v>22</v>
      </c>
      <c r="TIM220" s="53" t="s">
        <v>334</v>
      </c>
      <c r="TIN220" s="2" t="s">
        <v>513</v>
      </c>
      <c r="TIO220" s="2" t="s">
        <v>25</v>
      </c>
      <c r="TIP220" s="2" t="s">
        <v>393</v>
      </c>
      <c r="TIQ220" s="7">
        <v>-74.044305502618698</v>
      </c>
      <c r="TIR220" s="7">
        <v>4.6804459478222702</v>
      </c>
      <c r="TIS220" s="2" t="s">
        <v>357</v>
      </c>
      <c r="TIT220" s="2" t="s">
        <v>63</v>
      </c>
      <c r="TIU220" s="2" t="s">
        <v>83</v>
      </c>
      <c r="TIV220" s="2" t="s">
        <v>63</v>
      </c>
      <c r="TIW220" s="24">
        <v>434</v>
      </c>
      <c r="TIX220" s="5">
        <v>46174</v>
      </c>
      <c r="TIY220" s="5">
        <v>46174</v>
      </c>
      <c r="TIZ220" s="30">
        <f t="shared" ref="TIZ220" si="887">TIY220-TIX220</f>
        <v>0</v>
      </c>
      <c r="TJA220" s="5" t="s">
        <v>317</v>
      </c>
      <c r="TJB220" s="2" t="s">
        <v>22</v>
      </c>
      <c r="TJC220" s="53" t="s">
        <v>334</v>
      </c>
      <c r="TJD220" s="2" t="s">
        <v>513</v>
      </c>
      <c r="TJE220" s="2" t="s">
        <v>25</v>
      </c>
      <c r="TJF220" s="2" t="s">
        <v>393</v>
      </c>
      <c r="TJG220" s="7">
        <v>-74.044305502618698</v>
      </c>
      <c r="TJH220" s="7">
        <v>4.6804459478222702</v>
      </c>
      <c r="TJI220" s="2" t="s">
        <v>357</v>
      </c>
      <c r="TJJ220" s="2" t="s">
        <v>63</v>
      </c>
      <c r="TJK220" s="2" t="s">
        <v>83</v>
      </c>
      <c r="TJL220" s="2" t="s">
        <v>63</v>
      </c>
      <c r="TJM220" s="24">
        <v>434</v>
      </c>
      <c r="TJN220" s="5">
        <v>46174</v>
      </c>
      <c r="TJO220" s="5">
        <v>46174</v>
      </c>
      <c r="TJP220" s="30">
        <f t="shared" ref="TJP220" si="888">TJO220-TJN220</f>
        <v>0</v>
      </c>
      <c r="TJQ220" s="5" t="s">
        <v>317</v>
      </c>
      <c r="TJR220" s="2" t="s">
        <v>22</v>
      </c>
      <c r="TJS220" s="53" t="s">
        <v>334</v>
      </c>
      <c r="TJT220" s="2" t="s">
        <v>513</v>
      </c>
      <c r="TJU220" s="2" t="s">
        <v>25</v>
      </c>
      <c r="TJV220" s="2" t="s">
        <v>393</v>
      </c>
      <c r="TJW220" s="7">
        <v>-74.044305502618698</v>
      </c>
      <c r="TJX220" s="7">
        <v>4.6804459478222702</v>
      </c>
      <c r="TJY220" s="2" t="s">
        <v>357</v>
      </c>
      <c r="TJZ220" s="2" t="s">
        <v>63</v>
      </c>
      <c r="TKA220" s="2" t="s">
        <v>83</v>
      </c>
      <c r="TKB220" s="2" t="s">
        <v>63</v>
      </c>
      <c r="TKC220" s="24">
        <v>434</v>
      </c>
      <c r="TKD220" s="5">
        <v>46174</v>
      </c>
      <c r="TKE220" s="5">
        <v>46174</v>
      </c>
      <c r="TKF220" s="30">
        <f t="shared" ref="TKF220" si="889">TKE220-TKD220</f>
        <v>0</v>
      </c>
      <c r="TKG220" s="5" t="s">
        <v>317</v>
      </c>
      <c r="TKH220" s="2" t="s">
        <v>22</v>
      </c>
      <c r="TKI220" s="53" t="s">
        <v>334</v>
      </c>
      <c r="TKJ220" s="2" t="s">
        <v>513</v>
      </c>
      <c r="TKK220" s="2" t="s">
        <v>25</v>
      </c>
      <c r="TKL220" s="2" t="s">
        <v>393</v>
      </c>
      <c r="TKM220" s="7">
        <v>-74.044305502618698</v>
      </c>
      <c r="TKN220" s="7">
        <v>4.6804459478222702</v>
      </c>
      <c r="TKO220" s="2" t="s">
        <v>357</v>
      </c>
      <c r="TKP220" s="2" t="s">
        <v>63</v>
      </c>
      <c r="TKQ220" s="2" t="s">
        <v>83</v>
      </c>
      <c r="TKR220" s="2" t="s">
        <v>63</v>
      </c>
      <c r="TKS220" s="24">
        <v>434</v>
      </c>
      <c r="TKT220" s="5">
        <v>46174</v>
      </c>
      <c r="TKU220" s="5">
        <v>46174</v>
      </c>
      <c r="TKV220" s="30">
        <f t="shared" ref="TKV220" si="890">TKU220-TKT220</f>
        <v>0</v>
      </c>
      <c r="TKW220" s="5" t="s">
        <v>317</v>
      </c>
      <c r="TKX220" s="2" t="s">
        <v>22</v>
      </c>
      <c r="TKY220" s="53" t="s">
        <v>334</v>
      </c>
      <c r="TKZ220" s="2" t="s">
        <v>513</v>
      </c>
      <c r="TLA220" s="2" t="s">
        <v>25</v>
      </c>
      <c r="TLB220" s="2" t="s">
        <v>393</v>
      </c>
      <c r="TLC220" s="7">
        <v>-74.044305502618698</v>
      </c>
      <c r="TLD220" s="7">
        <v>4.6804459478222702</v>
      </c>
      <c r="TLE220" s="2" t="s">
        <v>357</v>
      </c>
      <c r="TLF220" s="2" t="s">
        <v>63</v>
      </c>
      <c r="TLG220" s="2" t="s">
        <v>83</v>
      </c>
      <c r="TLH220" s="2" t="s">
        <v>63</v>
      </c>
      <c r="TLI220" s="24">
        <v>434</v>
      </c>
      <c r="TLJ220" s="5">
        <v>46174</v>
      </c>
      <c r="TLK220" s="5">
        <v>46174</v>
      </c>
      <c r="TLL220" s="30">
        <f t="shared" ref="TLL220" si="891">TLK220-TLJ220</f>
        <v>0</v>
      </c>
      <c r="TLM220" s="5" t="s">
        <v>317</v>
      </c>
      <c r="TLN220" s="2" t="s">
        <v>22</v>
      </c>
      <c r="TLO220" s="53" t="s">
        <v>334</v>
      </c>
      <c r="TLP220" s="2" t="s">
        <v>513</v>
      </c>
      <c r="TLQ220" s="2" t="s">
        <v>25</v>
      </c>
      <c r="TLR220" s="2" t="s">
        <v>393</v>
      </c>
      <c r="TLS220" s="7">
        <v>-74.044305502618698</v>
      </c>
      <c r="TLT220" s="7">
        <v>4.6804459478222702</v>
      </c>
      <c r="TLU220" s="2" t="s">
        <v>357</v>
      </c>
      <c r="TLV220" s="2" t="s">
        <v>63</v>
      </c>
      <c r="TLW220" s="2" t="s">
        <v>83</v>
      </c>
      <c r="TLX220" s="2" t="s">
        <v>63</v>
      </c>
      <c r="TLY220" s="24">
        <v>434</v>
      </c>
      <c r="TLZ220" s="5">
        <v>46174</v>
      </c>
      <c r="TMA220" s="5">
        <v>46174</v>
      </c>
      <c r="TMB220" s="30">
        <f t="shared" ref="TMB220" si="892">TMA220-TLZ220</f>
        <v>0</v>
      </c>
      <c r="TMC220" s="5" t="s">
        <v>317</v>
      </c>
      <c r="TMD220" s="2" t="s">
        <v>22</v>
      </c>
      <c r="TME220" s="53" t="s">
        <v>334</v>
      </c>
      <c r="TMF220" s="2" t="s">
        <v>513</v>
      </c>
      <c r="TMG220" s="2" t="s">
        <v>25</v>
      </c>
      <c r="TMH220" s="2" t="s">
        <v>393</v>
      </c>
      <c r="TMI220" s="7">
        <v>-74.044305502618698</v>
      </c>
      <c r="TMJ220" s="7">
        <v>4.6804459478222702</v>
      </c>
      <c r="TMK220" s="2" t="s">
        <v>357</v>
      </c>
      <c r="TML220" s="2" t="s">
        <v>63</v>
      </c>
      <c r="TMM220" s="2" t="s">
        <v>83</v>
      </c>
      <c r="TMN220" s="2" t="s">
        <v>63</v>
      </c>
      <c r="TMO220" s="24">
        <v>434</v>
      </c>
      <c r="TMP220" s="5">
        <v>46174</v>
      </c>
      <c r="TMQ220" s="5">
        <v>46174</v>
      </c>
      <c r="TMR220" s="30">
        <f t="shared" ref="TMR220" si="893">TMQ220-TMP220</f>
        <v>0</v>
      </c>
      <c r="TMS220" s="5" t="s">
        <v>317</v>
      </c>
      <c r="TMT220" s="2" t="s">
        <v>22</v>
      </c>
      <c r="TMU220" s="53" t="s">
        <v>334</v>
      </c>
      <c r="TMV220" s="2" t="s">
        <v>513</v>
      </c>
      <c r="TMW220" s="2" t="s">
        <v>25</v>
      </c>
      <c r="TMX220" s="2" t="s">
        <v>393</v>
      </c>
      <c r="TMY220" s="7">
        <v>-74.044305502618698</v>
      </c>
      <c r="TMZ220" s="7">
        <v>4.6804459478222702</v>
      </c>
      <c r="TNA220" s="2" t="s">
        <v>357</v>
      </c>
      <c r="TNB220" s="2" t="s">
        <v>63</v>
      </c>
      <c r="TNC220" s="2" t="s">
        <v>83</v>
      </c>
      <c r="TND220" s="2" t="s">
        <v>63</v>
      </c>
      <c r="TNE220" s="24">
        <v>434</v>
      </c>
      <c r="TNF220" s="5">
        <v>46174</v>
      </c>
      <c r="TNG220" s="5">
        <v>46174</v>
      </c>
      <c r="TNH220" s="30">
        <f t="shared" ref="TNH220" si="894">TNG220-TNF220</f>
        <v>0</v>
      </c>
      <c r="TNI220" s="5" t="s">
        <v>317</v>
      </c>
      <c r="TNJ220" s="2" t="s">
        <v>22</v>
      </c>
      <c r="TNK220" s="53" t="s">
        <v>334</v>
      </c>
      <c r="TNL220" s="2" t="s">
        <v>513</v>
      </c>
      <c r="TNM220" s="2" t="s">
        <v>25</v>
      </c>
      <c r="TNN220" s="2" t="s">
        <v>393</v>
      </c>
      <c r="TNO220" s="7">
        <v>-74.044305502618698</v>
      </c>
      <c r="TNP220" s="7">
        <v>4.6804459478222702</v>
      </c>
      <c r="TNQ220" s="2" t="s">
        <v>357</v>
      </c>
      <c r="TNR220" s="2" t="s">
        <v>63</v>
      </c>
      <c r="TNS220" s="2" t="s">
        <v>83</v>
      </c>
      <c r="TNT220" s="2" t="s">
        <v>63</v>
      </c>
      <c r="TNU220" s="24">
        <v>434</v>
      </c>
      <c r="TNV220" s="5">
        <v>46174</v>
      </c>
      <c r="TNW220" s="5">
        <v>46174</v>
      </c>
      <c r="TNX220" s="30">
        <f t="shared" ref="TNX220" si="895">TNW220-TNV220</f>
        <v>0</v>
      </c>
      <c r="TNY220" s="5" t="s">
        <v>317</v>
      </c>
      <c r="TNZ220" s="2" t="s">
        <v>22</v>
      </c>
      <c r="TOA220" s="53" t="s">
        <v>334</v>
      </c>
      <c r="TOB220" s="2" t="s">
        <v>513</v>
      </c>
      <c r="TOC220" s="2" t="s">
        <v>25</v>
      </c>
      <c r="TOD220" s="2" t="s">
        <v>393</v>
      </c>
      <c r="TOE220" s="7">
        <v>-74.044305502618698</v>
      </c>
      <c r="TOF220" s="7">
        <v>4.6804459478222702</v>
      </c>
      <c r="TOG220" s="2" t="s">
        <v>357</v>
      </c>
      <c r="TOH220" s="2" t="s">
        <v>63</v>
      </c>
      <c r="TOI220" s="2" t="s">
        <v>83</v>
      </c>
      <c r="TOJ220" s="2" t="s">
        <v>63</v>
      </c>
      <c r="TOK220" s="24">
        <v>434</v>
      </c>
      <c r="TOL220" s="5">
        <v>46174</v>
      </c>
      <c r="TOM220" s="5">
        <v>46174</v>
      </c>
      <c r="TON220" s="30">
        <f t="shared" ref="TON220" si="896">TOM220-TOL220</f>
        <v>0</v>
      </c>
      <c r="TOO220" s="5" t="s">
        <v>317</v>
      </c>
      <c r="TOP220" s="2" t="s">
        <v>22</v>
      </c>
      <c r="TOQ220" s="53" t="s">
        <v>334</v>
      </c>
      <c r="TOR220" s="2" t="s">
        <v>513</v>
      </c>
      <c r="TOS220" s="2" t="s">
        <v>25</v>
      </c>
      <c r="TOT220" s="2" t="s">
        <v>393</v>
      </c>
      <c r="TOU220" s="7">
        <v>-74.044305502618698</v>
      </c>
      <c r="TOV220" s="7">
        <v>4.6804459478222702</v>
      </c>
      <c r="TOW220" s="2" t="s">
        <v>357</v>
      </c>
      <c r="TOX220" s="2" t="s">
        <v>63</v>
      </c>
      <c r="TOY220" s="2" t="s">
        <v>83</v>
      </c>
      <c r="TOZ220" s="2" t="s">
        <v>63</v>
      </c>
      <c r="TPA220" s="24">
        <v>434</v>
      </c>
      <c r="TPB220" s="5">
        <v>46174</v>
      </c>
      <c r="TPC220" s="5">
        <v>46174</v>
      </c>
      <c r="TPD220" s="30">
        <f t="shared" ref="TPD220" si="897">TPC220-TPB220</f>
        <v>0</v>
      </c>
      <c r="TPE220" s="5" t="s">
        <v>317</v>
      </c>
      <c r="TPF220" s="2" t="s">
        <v>22</v>
      </c>
      <c r="TPG220" s="53" t="s">
        <v>334</v>
      </c>
      <c r="TPH220" s="2" t="s">
        <v>513</v>
      </c>
      <c r="TPI220" s="2" t="s">
        <v>25</v>
      </c>
      <c r="TPJ220" s="2" t="s">
        <v>393</v>
      </c>
      <c r="TPK220" s="7">
        <v>-74.044305502618698</v>
      </c>
      <c r="TPL220" s="7">
        <v>4.6804459478222702</v>
      </c>
      <c r="TPM220" s="2" t="s">
        <v>357</v>
      </c>
      <c r="TPN220" s="2" t="s">
        <v>63</v>
      </c>
      <c r="TPO220" s="2" t="s">
        <v>83</v>
      </c>
      <c r="TPP220" s="2" t="s">
        <v>63</v>
      </c>
      <c r="TPQ220" s="24">
        <v>434</v>
      </c>
      <c r="TPR220" s="5">
        <v>46174</v>
      </c>
      <c r="TPS220" s="5">
        <v>46174</v>
      </c>
      <c r="TPT220" s="30">
        <f t="shared" ref="TPT220" si="898">TPS220-TPR220</f>
        <v>0</v>
      </c>
      <c r="TPU220" s="5" t="s">
        <v>317</v>
      </c>
      <c r="TPV220" s="2" t="s">
        <v>22</v>
      </c>
      <c r="TPW220" s="53" t="s">
        <v>334</v>
      </c>
      <c r="TPX220" s="2" t="s">
        <v>513</v>
      </c>
      <c r="TPY220" s="2" t="s">
        <v>25</v>
      </c>
      <c r="TPZ220" s="2" t="s">
        <v>393</v>
      </c>
      <c r="TQA220" s="7">
        <v>-74.044305502618698</v>
      </c>
      <c r="TQB220" s="7">
        <v>4.6804459478222702</v>
      </c>
      <c r="TQC220" s="2" t="s">
        <v>357</v>
      </c>
      <c r="TQD220" s="2" t="s">
        <v>63</v>
      </c>
      <c r="TQE220" s="2" t="s">
        <v>83</v>
      </c>
      <c r="TQF220" s="2" t="s">
        <v>63</v>
      </c>
      <c r="TQG220" s="24">
        <v>434</v>
      </c>
      <c r="TQH220" s="5">
        <v>46174</v>
      </c>
      <c r="TQI220" s="5">
        <v>46174</v>
      </c>
      <c r="TQJ220" s="30">
        <f t="shared" ref="TQJ220" si="899">TQI220-TQH220</f>
        <v>0</v>
      </c>
      <c r="TQK220" s="5" t="s">
        <v>317</v>
      </c>
      <c r="TQL220" s="2" t="s">
        <v>22</v>
      </c>
      <c r="TQM220" s="53" t="s">
        <v>334</v>
      </c>
      <c r="TQN220" s="2" t="s">
        <v>513</v>
      </c>
      <c r="TQO220" s="2" t="s">
        <v>25</v>
      </c>
      <c r="TQP220" s="2" t="s">
        <v>393</v>
      </c>
      <c r="TQQ220" s="7">
        <v>-74.044305502618698</v>
      </c>
      <c r="TQR220" s="7">
        <v>4.6804459478222702</v>
      </c>
      <c r="TQS220" s="2" t="s">
        <v>357</v>
      </c>
      <c r="TQT220" s="2" t="s">
        <v>63</v>
      </c>
      <c r="TQU220" s="2" t="s">
        <v>83</v>
      </c>
      <c r="TQV220" s="2" t="s">
        <v>63</v>
      </c>
      <c r="TQW220" s="24">
        <v>434</v>
      </c>
      <c r="TQX220" s="5">
        <v>46174</v>
      </c>
      <c r="TQY220" s="5">
        <v>46174</v>
      </c>
      <c r="TQZ220" s="30">
        <f t="shared" ref="TQZ220" si="900">TQY220-TQX220</f>
        <v>0</v>
      </c>
      <c r="TRA220" s="5" t="s">
        <v>317</v>
      </c>
      <c r="TRB220" s="2" t="s">
        <v>22</v>
      </c>
      <c r="TRC220" s="53" t="s">
        <v>334</v>
      </c>
      <c r="TRD220" s="2" t="s">
        <v>513</v>
      </c>
      <c r="TRE220" s="2" t="s">
        <v>25</v>
      </c>
      <c r="TRF220" s="2" t="s">
        <v>393</v>
      </c>
      <c r="TRG220" s="7">
        <v>-74.044305502618698</v>
      </c>
      <c r="TRH220" s="7">
        <v>4.6804459478222702</v>
      </c>
      <c r="TRI220" s="2" t="s">
        <v>357</v>
      </c>
      <c r="TRJ220" s="2" t="s">
        <v>63</v>
      </c>
      <c r="TRK220" s="2" t="s">
        <v>83</v>
      </c>
      <c r="TRL220" s="2" t="s">
        <v>63</v>
      </c>
      <c r="TRM220" s="24">
        <v>434</v>
      </c>
      <c r="TRN220" s="5">
        <v>46174</v>
      </c>
      <c r="TRO220" s="5">
        <v>46174</v>
      </c>
      <c r="TRP220" s="30">
        <f t="shared" ref="TRP220" si="901">TRO220-TRN220</f>
        <v>0</v>
      </c>
      <c r="TRQ220" s="5" t="s">
        <v>317</v>
      </c>
      <c r="TRR220" s="2" t="s">
        <v>22</v>
      </c>
      <c r="TRS220" s="53" t="s">
        <v>334</v>
      </c>
      <c r="TRT220" s="2" t="s">
        <v>513</v>
      </c>
      <c r="TRU220" s="2" t="s">
        <v>25</v>
      </c>
      <c r="TRV220" s="2" t="s">
        <v>393</v>
      </c>
      <c r="TRW220" s="7">
        <v>-74.044305502618698</v>
      </c>
      <c r="TRX220" s="7">
        <v>4.6804459478222702</v>
      </c>
      <c r="TRY220" s="2" t="s">
        <v>357</v>
      </c>
      <c r="TRZ220" s="2" t="s">
        <v>63</v>
      </c>
      <c r="TSA220" s="2" t="s">
        <v>83</v>
      </c>
      <c r="TSB220" s="2" t="s">
        <v>63</v>
      </c>
      <c r="TSC220" s="24">
        <v>434</v>
      </c>
      <c r="TSD220" s="5">
        <v>46174</v>
      </c>
      <c r="TSE220" s="5">
        <v>46174</v>
      </c>
      <c r="TSF220" s="30">
        <f t="shared" ref="TSF220" si="902">TSE220-TSD220</f>
        <v>0</v>
      </c>
      <c r="TSG220" s="5" t="s">
        <v>317</v>
      </c>
      <c r="TSH220" s="2" t="s">
        <v>22</v>
      </c>
      <c r="TSI220" s="53" t="s">
        <v>334</v>
      </c>
      <c r="TSJ220" s="2" t="s">
        <v>513</v>
      </c>
      <c r="TSK220" s="2" t="s">
        <v>25</v>
      </c>
      <c r="TSL220" s="2" t="s">
        <v>393</v>
      </c>
      <c r="TSM220" s="7">
        <v>-74.044305502618698</v>
      </c>
      <c r="TSN220" s="7">
        <v>4.6804459478222702</v>
      </c>
      <c r="TSO220" s="2" t="s">
        <v>357</v>
      </c>
      <c r="TSP220" s="2" t="s">
        <v>63</v>
      </c>
      <c r="TSQ220" s="2" t="s">
        <v>83</v>
      </c>
      <c r="TSR220" s="2" t="s">
        <v>63</v>
      </c>
      <c r="TSS220" s="24">
        <v>434</v>
      </c>
      <c r="TST220" s="5">
        <v>46174</v>
      </c>
      <c r="TSU220" s="5">
        <v>46174</v>
      </c>
      <c r="TSV220" s="30">
        <f t="shared" ref="TSV220" si="903">TSU220-TST220</f>
        <v>0</v>
      </c>
      <c r="TSW220" s="5" t="s">
        <v>317</v>
      </c>
      <c r="TSX220" s="2" t="s">
        <v>22</v>
      </c>
      <c r="TSY220" s="53" t="s">
        <v>334</v>
      </c>
      <c r="TSZ220" s="2" t="s">
        <v>513</v>
      </c>
      <c r="TTA220" s="2" t="s">
        <v>25</v>
      </c>
      <c r="TTB220" s="2" t="s">
        <v>393</v>
      </c>
      <c r="TTC220" s="7">
        <v>-74.044305502618698</v>
      </c>
      <c r="TTD220" s="7">
        <v>4.6804459478222702</v>
      </c>
      <c r="TTE220" s="2" t="s">
        <v>357</v>
      </c>
      <c r="TTF220" s="2" t="s">
        <v>63</v>
      </c>
      <c r="TTG220" s="2" t="s">
        <v>83</v>
      </c>
      <c r="TTH220" s="2" t="s">
        <v>63</v>
      </c>
      <c r="TTI220" s="24">
        <v>434</v>
      </c>
      <c r="TTJ220" s="5">
        <v>46174</v>
      </c>
      <c r="TTK220" s="5">
        <v>46174</v>
      </c>
      <c r="TTL220" s="30">
        <f t="shared" ref="TTL220" si="904">TTK220-TTJ220</f>
        <v>0</v>
      </c>
      <c r="TTM220" s="5" t="s">
        <v>317</v>
      </c>
      <c r="TTN220" s="2" t="s">
        <v>22</v>
      </c>
      <c r="TTO220" s="53" t="s">
        <v>334</v>
      </c>
      <c r="TTP220" s="2" t="s">
        <v>513</v>
      </c>
      <c r="TTQ220" s="2" t="s">
        <v>25</v>
      </c>
      <c r="TTR220" s="2" t="s">
        <v>393</v>
      </c>
      <c r="TTS220" s="7">
        <v>-74.044305502618698</v>
      </c>
      <c r="TTT220" s="7">
        <v>4.6804459478222702</v>
      </c>
      <c r="TTU220" s="2" t="s">
        <v>357</v>
      </c>
      <c r="TTV220" s="2" t="s">
        <v>63</v>
      </c>
      <c r="TTW220" s="2" t="s">
        <v>83</v>
      </c>
      <c r="TTX220" s="2" t="s">
        <v>63</v>
      </c>
      <c r="TTY220" s="24">
        <v>434</v>
      </c>
      <c r="TTZ220" s="5">
        <v>46174</v>
      </c>
      <c r="TUA220" s="5">
        <v>46174</v>
      </c>
      <c r="TUB220" s="30">
        <f t="shared" ref="TUB220" si="905">TUA220-TTZ220</f>
        <v>0</v>
      </c>
      <c r="TUC220" s="5" t="s">
        <v>317</v>
      </c>
      <c r="TUD220" s="2" t="s">
        <v>22</v>
      </c>
      <c r="TUE220" s="53" t="s">
        <v>334</v>
      </c>
      <c r="TUF220" s="2" t="s">
        <v>513</v>
      </c>
      <c r="TUG220" s="2" t="s">
        <v>25</v>
      </c>
      <c r="TUH220" s="2" t="s">
        <v>393</v>
      </c>
      <c r="TUI220" s="7">
        <v>-74.044305502618698</v>
      </c>
      <c r="TUJ220" s="7">
        <v>4.6804459478222702</v>
      </c>
      <c r="TUK220" s="2" t="s">
        <v>357</v>
      </c>
      <c r="TUL220" s="2" t="s">
        <v>63</v>
      </c>
      <c r="TUM220" s="2" t="s">
        <v>83</v>
      </c>
      <c r="TUN220" s="2" t="s">
        <v>63</v>
      </c>
      <c r="TUO220" s="24">
        <v>434</v>
      </c>
      <c r="TUP220" s="5">
        <v>46174</v>
      </c>
      <c r="TUQ220" s="5">
        <v>46174</v>
      </c>
      <c r="TUR220" s="30">
        <f t="shared" ref="TUR220" si="906">TUQ220-TUP220</f>
        <v>0</v>
      </c>
      <c r="TUS220" s="5" t="s">
        <v>317</v>
      </c>
      <c r="TUT220" s="2" t="s">
        <v>22</v>
      </c>
      <c r="TUU220" s="53" t="s">
        <v>334</v>
      </c>
      <c r="TUV220" s="2" t="s">
        <v>513</v>
      </c>
      <c r="TUW220" s="2" t="s">
        <v>25</v>
      </c>
      <c r="TUX220" s="2" t="s">
        <v>393</v>
      </c>
      <c r="TUY220" s="7">
        <v>-74.044305502618698</v>
      </c>
      <c r="TUZ220" s="7">
        <v>4.6804459478222702</v>
      </c>
      <c r="TVA220" s="2" t="s">
        <v>357</v>
      </c>
      <c r="TVB220" s="2" t="s">
        <v>63</v>
      </c>
      <c r="TVC220" s="2" t="s">
        <v>83</v>
      </c>
      <c r="TVD220" s="2" t="s">
        <v>63</v>
      </c>
      <c r="TVE220" s="24">
        <v>434</v>
      </c>
      <c r="TVF220" s="5">
        <v>46174</v>
      </c>
      <c r="TVG220" s="5">
        <v>46174</v>
      </c>
      <c r="TVH220" s="30">
        <f t="shared" ref="TVH220" si="907">TVG220-TVF220</f>
        <v>0</v>
      </c>
      <c r="TVI220" s="5" t="s">
        <v>317</v>
      </c>
      <c r="TVJ220" s="2" t="s">
        <v>22</v>
      </c>
      <c r="TVK220" s="53" t="s">
        <v>334</v>
      </c>
      <c r="TVL220" s="2" t="s">
        <v>513</v>
      </c>
      <c r="TVM220" s="2" t="s">
        <v>25</v>
      </c>
      <c r="TVN220" s="2" t="s">
        <v>393</v>
      </c>
      <c r="TVO220" s="7">
        <v>-74.044305502618698</v>
      </c>
      <c r="TVP220" s="7">
        <v>4.6804459478222702</v>
      </c>
      <c r="TVQ220" s="2" t="s">
        <v>357</v>
      </c>
      <c r="TVR220" s="2" t="s">
        <v>63</v>
      </c>
      <c r="TVS220" s="2" t="s">
        <v>83</v>
      </c>
      <c r="TVT220" s="2" t="s">
        <v>63</v>
      </c>
      <c r="TVU220" s="24">
        <v>434</v>
      </c>
      <c r="TVV220" s="5">
        <v>46174</v>
      </c>
      <c r="TVW220" s="5">
        <v>46174</v>
      </c>
      <c r="TVX220" s="30">
        <f t="shared" ref="TVX220" si="908">TVW220-TVV220</f>
        <v>0</v>
      </c>
      <c r="TVY220" s="5" t="s">
        <v>317</v>
      </c>
      <c r="TVZ220" s="2" t="s">
        <v>22</v>
      </c>
      <c r="TWA220" s="53" t="s">
        <v>334</v>
      </c>
      <c r="TWB220" s="2" t="s">
        <v>513</v>
      </c>
      <c r="TWC220" s="2" t="s">
        <v>25</v>
      </c>
      <c r="TWD220" s="2" t="s">
        <v>393</v>
      </c>
      <c r="TWE220" s="7">
        <v>-74.044305502618698</v>
      </c>
      <c r="TWF220" s="7">
        <v>4.6804459478222702</v>
      </c>
      <c r="TWG220" s="2" t="s">
        <v>357</v>
      </c>
      <c r="TWH220" s="2" t="s">
        <v>63</v>
      </c>
      <c r="TWI220" s="2" t="s">
        <v>83</v>
      </c>
      <c r="TWJ220" s="2" t="s">
        <v>63</v>
      </c>
      <c r="TWK220" s="24">
        <v>434</v>
      </c>
      <c r="TWL220" s="5">
        <v>46174</v>
      </c>
      <c r="TWM220" s="5">
        <v>46174</v>
      </c>
      <c r="TWN220" s="30">
        <f t="shared" ref="TWN220" si="909">TWM220-TWL220</f>
        <v>0</v>
      </c>
      <c r="TWO220" s="5" t="s">
        <v>317</v>
      </c>
      <c r="TWP220" s="2" t="s">
        <v>22</v>
      </c>
      <c r="TWQ220" s="53" t="s">
        <v>334</v>
      </c>
      <c r="TWR220" s="2" t="s">
        <v>513</v>
      </c>
      <c r="TWS220" s="2" t="s">
        <v>25</v>
      </c>
      <c r="TWT220" s="2" t="s">
        <v>393</v>
      </c>
      <c r="TWU220" s="7">
        <v>-74.044305502618698</v>
      </c>
      <c r="TWV220" s="7">
        <v>4.6804459478222702</v>
      </c>
      <c r="TWW220" s="2" t="s">
        <v>357</v>
      </c>
      <c r="TWX220" s="2" t="s">
        <v>63</v>
      </c>
      <c r="TWY220" s="2" t="s">
        <v>83</v>
      </c>
      <c r="TWZ220" s="2" t="s">
        <v>63</v>
      </c>
      <c r="TXA220" s="24">
        <v>434</v>
      </c>
      <c r="TXB220" s="5">
        <v>46174</v>
      </c>
      <c r="TXC220" s="5">
        <v>46174</v>
      </c>
      <c r="TXD220" s="30">
        <f t="shared" ref="TXD220" si="910">TXC220-TXB220</f>
        <v>0</v>
      </c>
      <c r="TXE220" s="5" t="s">
        <v>317</v>
      </c>
      <c r="TXF220" s="2" t="s">
        <v>22</v>
      </c>
      <c r="TXG220" s="53" t="s">
        <v>334</v>
      </c>
      <c r="TXH220" s="2" t="s">
        <v>513</v>
      </c>
      <c r="TXI220" s="2" t="s">
        <v>25</v>
      </c>
      <c r="TXJ220" s="2" t="s">
        <v>393</v>
      </c>
      <c r="TXK220" s="7">
        <v>-74.044305502618698</v>
      </c>
      <c r="TXL220" s="7">
        <v>4.6804459478222702</v>
      </c>
      <c r="TXM220" s="2" t="s">
        <v>357</v>
      </c>
      <c r="TXN220" s="2" t="s">
        <v>63</v>
      </c>
      <c r="TXO220" s="2" t="s">
        <v>83</v>
      </c>
      <c r="TXP220" s="2" t="s">
        <v>63</v>
      </c>
      <c r="TXQ220" s="24">
        <v>434</v>
      </c>
      <c r="TXR220" s="5">
        <v>46174</v>
      </c>
      <c r="TXS220" s="5">
        <v>46174</v>
      </c>
      <c r="TXT220" s="30">
        <f t="shared" ref="TXT220" si="911">TXS220-TXR220</f>
        <v>0</v>
      </c>
      <c r="TXU220" s="5" t="s">
        <v>317</v>
      </c>
      <c r="TXV220" s="2" t="s">
        <v>22</v>
      </c>
      <c r="TXW220" s="53" t="s">
        <v>334</v>
      </c>
      <c r="TXX220" s="2" t="s">
        <v>513</v>
      </c>
      <c r="TXY220" s="2" t="s">
        <v>25</v>
      </c>
      <c r="TXZ220" s="2" t="s">
        <v>393</v>
      </c>
      <c r="TYA220" s="7">
        <v>-74.044305502618698</v>
      </c>
      <c r="TYB220" s="7">
        <v>4.6804459478222702</v>
      </c>
      <c r="TYC220" s="2" t="s">
        <v>357</v>
      </c>
      <c r="TYD220" s="2" t="s">
        <v>63</v>
      </c>
      <c r="TYE220" s="2" t="s">
        <v>83</v>
      </c>
      <c r="TYF220" s="2" t="s">
        <v>63</v>
      </c>
      <c r="TYG220" s="24">
        <v>434</v>
      </c>
      <c r="TYH220" s="5">
        <v>46174</v>
      </c>
      <c r="TYI220" s="5">
        <v>46174</v>
      </c>
      <c r="TYJ220" s="30">
        <f t="shared" ref="TYJ220" si="912">TYI220-TYH220</f>
        <v>0</v>
      </c>
      <c r="TYK220" s="5" t="s">
        <v>317</v>
      </c>
      <c r="TYL220" s="2" t="s">
        <v>22</v>
      </c>
      <c r="TYM220" s="53" t="s">
        <v>334</v>
      </c>
      <c r="TYN220" s="2" t="s">
        <v>513</v>
      </c>
      <c r="TYO220" s="2" t="s">
        <v>25</v>
      </c>
      <c r="TYP220" s="2" t="s">
        <v>393</v>
      </c>
      <c r="TYQ220" s="7">
        <v>-74.044305502618698</v>
      </c>
      <c r="TYR220" s="7">
        <v>4.6804459478222702</v>
      </c>
      <c r="TYS220" s="2" t="s">
        <v>357</v>
      </c>
      <c r="TYT220" s="2" t="s">
        <v>63</v>
      </c>
      <c r="TYU220" s="2" t="s">
        <v>83</v>
      </c>
      <c r="TYV220" s="2" t="s">
        <v>63</v>
      </c>
      <c r="TYW220" s="24">
        <v>434</v>
      </c>
      <c r="TYX220" s="5">
        <v>46174</v>
      </c>
      <c r="TYY220" s="5">
        <v>46174</v>
      </c>
      <c r="TYZ220" s="30">
        <f t="shared" ref="TYZ220" si="913">TYY220-TYX220</f>
        <v>0</v>
      </c>
      <c r="TZA220" s="5" t="s">
        <v>317</v>
      </c>
      <c r="TZB220" s="2" t="s">
        <v>22</v>
      </c>
      <c r="TZC220" s="53" t="s">
        <v>334</v>
      </c>
      <c r="TZD220" s="2" t="s">
        <v>513</v>
      </c>
      <c r="TZE220" s="2" t="s">
        <v>25</v>
      </c>
      <c r="TZF220" s="2" t="s">
        <v>393</v>
      </c>
      <c r="TZG220" s="7">
        <v>-74.044305502618698</v>
      </c>
      <c r="TZH220" s="7">
        <v>4.6804459478222702</v>
      </c>
      <c r="TZI220" s="2" t="s">
        <v>357</v>
      </c>
      <c r="TZJ220" s="2" t="s">
        <v>63</v>
      </c>
      <c r="TZK220" s="2" t="s">
        <v>83</v>
      </c>
      <c r="TZL220" s="2" t="s">
        <v>63</v>
      </c>
      <c r="TZM220" s="24">
        <v>434</v>
      </c>
      <c r="TZN220" s="5">
        <v>46174</v>
      </c>
      <c r="TZO220" s="5">
        <v>46174</v>
      </c>
      <c r="TZP220" s="30">
        <f t="shared" ref="TZP220" si="914">TZO220-TZN220</f>
        <v>0</v>
      </c>
      <c r="TZQ220" s="5" t="s">
        <v>317</v>
      </c>
      <c r="TZR220" s="2" t="s">
        <v>22</v>
      </c>
      <c r="TZS220" s="53" t="s">
        <v>334</v>
      </c>
      <c r="TZT220" s="2" t="s">
        <v>513</v>
      </c>
      <c r="TZU220" s="2" t="s">
        <v>25</v>
      </c>
      <c r="TZV220" s="2" t="s">
        <v>393</v>
      </c>
      <c r="TZW220" s="7">
        <v>-74.044305502618698</v>
      </c>
      <c r="TZX220" s="7">
        <v>4.6804459478222702</v>
      </c>
      <c r="TZY220" s="2" t="s">
        <v>357</v>
      </c>
      <c r="TZZ220" s="2" t="s">
        <v>63</v>
      </c>
      <c r="UAA220" s="2" t="s">
        <v>83</v>
      </c>
      <c r="UAB220" s="2" t="s">
        <v>63</v>
      </c>
      <c r="UAC220" s="24">
        <v>434</v>
      </c>
      <c r="UAD220" s="5">
        <v>46174</v>
      </c>
      <c r="UAE220" s="5">
        <v>46174</v>
      </c>
      <c r="UAF220" s="30">
        <f t="shared" ref="UAF220" si="915">UAE220-UAD220</f>
        <v>0</v>
      </c>
      <c r="UAG220" s="5" t="s">
        <v>317</v>
      </c>
      <c r="UAH220" s="2" t="s">
        <v>22</v>
      </c>
      <c r="UAI220" s="53" t="s">
        <v>334</v>
      </c>
      <c r="UAJ220" s="2" t="s">
        <v>513</v>
      </c>
      <c r="UAK220" s="2" t="s">
        <v>25</v>
      </c>
      <c r="UAL220" s="2" t="s">
        <v>393</v>
      </c>
      <c r="UAM220" s="7">
        <v>-74.044305502618698</v>
      </c>
      <c r="UAN220" s="7">
        <v>4.6804459478222702</v>
      </c>
      <c r="UAO220" s="2" t="s">
        <v>357</v>
      </c>
      <c r="UAP220" s="2" t="s">
        <v>63</v>
      </c>
      <c r="UAQ220" s="2" t="s">
        <v>83</v>
      </c>
      <c r="UAR220" s="2" t="s">
        <v>63</v>
      </c>
      <c r="UAS220" s="24">
        <v>434</v>
      </c>
      <c r="UAT220" s="5">
        <v>46174</v>
      </c>
      <c r="UAU220" s="5">
        <v>46174</v>
      </c>
      <c r="UAV220" s="30">
        <f t="shared" ref="UAV220" si="916">UAU220-UAT220</f>
        <v>0</v>
      </c>
      <c r="UAW220" s="5" t="s">
        <v>317</v>
      </c>
      <c r="UAX220" s="2" t="s">
        <v>22</v>
      </c>
      <c r="UAY220" s="53" t="s">
        <v>334</v>
      </c>
      <c r="UAZ220" s="2" t="s">
        <v>513</v>
      </c>
      <c r="UBA220" s="2" t="s">
        <v>25</v>
      </c>
      <c r="UBB220" s="2" t="s">
        <v>393</v>
      </c>
      <c r="UBC220" s="7">
        <v>-74.044305502618698</v>
      </c>
      <c r="UBD220" s="7">
        <v>4.6804459478222702</v>
      </c>
      <c r="UBE220" s="2" t="s">
        <v>357</v>
      </c>
      <c r="UBF220" s="2" t="s">
        <v>63</v>
      </c>
      <c r="UBG220" s="2" t="s">
        <v>83</v>
      </c>
      <c r="UBH220" s="2" t="s">
        <v>63</v>
      </c>
      <c r="UBI220" s="24">
        <v>434</v>
      </c>
      <c r="UBJ220" s="5">
        <v>46174</v>
      </c>
      <c r="UBK220" s="5">
        <v>46174</v>
      </c>
      <c r="UBL220" s="30">
        <f t="shared" ref="UBL220" si="917">UBK220-UBJ220</f>
        <v>0</v>
      </c>
      <c r="UBM220" s="5" t="s">
        <v>317</v>
      </c>
      <c r="UBN220" s="2" t="s">
        <v>22</v>
      </c>
      <c r="UBO220" s="53" t="s">
        <v>334</v>
      </c>
      <c r="UBP220" s="2" t="s">
        <v>513</v>
      </c>
      <c r="UBQ220" s="2" t="s">
        <v>25</v>
      </c>
      <c r="UBR220" s="2" t="s">
        <v>393</v>
      </c>
      <c r="UBS220" s="7">
        <v>-74.044305502618698</v>
      </c>
      <c r="UBT220" s="7">
        <v>4.6804459478222702</v>
      </c>
      <c r="UBU220" s="2" t="s">
        <v>357</v>
      </c>
      <c r="UBV220" s="2" t="s">
        <v>63</v>
      </c>
      <c r="UBW220" s="2" t="s">
        <v>83</v>
      </c>
      <c r="UBX220" s="2" t="s">
        <v>63</v>
      </c>
      <c r="UBY220" s="24">
        <v>434</v>
      </c>
      <c r="UBZ220" s="5">
        <v>46174</v>
      </c>
      <c r="UCA220" s="5">
        <v>46174</v>
      </c>
      <c r="UCB220" s="30">
        <f t="shared" ref="UCB220" si="918">UCA220-UBZ220</f>
        <v>0</v>
      </c>
      <c r="UCC220" s="5" t="s">
        <v>317</v>
      </c>
      <c r="UCD220" s="2" t="s">
        <v>22</v>
      </c>
      <c r="UCE220" s="53" t="s">
        <v>334</v>
      </c>
      <c r="UCF220" s="2" t="s">
        <v>513</v>
      </c>
      <c r="UCG220" s="2" t="s">
        <v>25</v>
      </c>
      <c r="UCH220" s="2" t="s">
        <v>393</v>
      </c>
      <c r="UCI220" s="7">
        <v>-74.044305502618698</v>
      </c>
      <c r="UCJ220" s="7">
        <v>4.6804459478222702</v>
      </c>
      <c r="UCK220" s="2" t="s">
        <v>357</v>
      </c>
      <c r="UCL220" s="2" t="s">
        <v>63</v>
      </c>
      <c r="UCM220" s="2" t="s">
        <v>83</v>
      </c>
      <c r="UCN220" s="2" t="s">
        <v>63</v>
      </c>
      <c r="UCO220" s="24">
        <v>434</v>
      </c>
      <c r="UCP220" s="5">
        <v>46174</v>
      </c>
      <c r="UCQ220" s="5">
        <v>46174</v>
      </c>
      <c r="UCR220" s="30">
        <f t="shared" ref="UCR220" si="919">UCQ220-UCP220</f>
        <v>0</v>
      </c>
      <c r="UCS220" s="5" t="s">
        <v>317</v>
      </c>
      <c r="UCT220" s="2" t="s">
        <v>22</v>
      </c>
      <c r="UCU220" s="53" t="s">
        <v>334</v>
      </c>
      <c r="UCV220" s="2" t="s">
        <v>513</v>
      </c>
      <c r="UCW220" s="2" t="s">
        <v>25</v>
      </c>
      <c r="UCX220" s="2" t="s">
        <v>393</v>
      </c>
      <c r="UCY220" s="7">
        <v>-74.044305502618698</v>
      </c>
      <c r="UCZ220" s="7">
        <v>4.6804459478222702</v>
      </c>
      <c r="UDA220" s="2" t="s">
        <v>357</v>
      </c>
      <c r="UDB220" s="2" t="s">
        <v>63</v>
      </c>
      <c r="UDC220" s="2" t="s">
        <v>83</v>
      </c>
      <c r="UDD220" s="2" t="s">
        <v>63</v>
      </c>
      <c r="UDE220" s="24">
        <v>434</v>
      </c>
      <c r="UDF220" s="5">
        <v>46174</v>
      </c>
      <c r="UDG220" s="5">
        <v>46174</v>
      </c>
      <c r="UDH220" s="30">
        <f t="shared" ref="UDH220" si="920">UDG220-UDF220</f>
        <v>0</v>
      </c>
      <c r="UDI220" s="5" t="s">
        <v>317</v>
      </c>
      <c r="UDJ220" s="2" t="s">
        <v>22</v>
      </c>
      <c r="UDK220" s="53" t="s">
        <v>334</v>
      </c>
      <c r="UDL220" s="2" t="s">
        <v>513</v>
      </c>
      <c r="UDM220" s="2" t="s">
        <v>25</v>
      </c>
      <c r="UDN220" s="2" t="s">
        <v>393</v>
      </c>
      <c r="UDO220" s="7">
        <v>-74.044305502618698</v>
      </c>
      <c r="UDP220" s="7">
        <v>4.6804459478222702</v>
      </c>
      <c r="UDQ220" s="2" t="s">
        <v>357</v>
      </c>
      <c r="UDR220" s="2" t="s">
        <v>63</v>
      </c>
      <c r="UDS220" s="2" t="s">
        <v>83</v>
      </c>
      <c r="UDT220" s="2" t="s">
        <v>63</v>
      </c>
      <c r="UDU220" s="24">
        <v>434</v>
      </c>
      <c r="UDV220" s="5">
        <v>46174</v>
      </c>
      <c r="UDW220" s="5">
        <v>46174</v>
      </c>
      <c r="UDX220" s="30">
        <f t="shared" ref="UDX220" si="921">UDW220-UDV220</f>
        <v>0</v>
      </c>
      <c r="UDY220" s="5" t="s">
        <v>317</v>
      </c>
      <c r="UDZ220" s="2" t="s">
        <v>22</v>
      </c>
      <c r="UEA220" s="53" t="s">
        <v>334</v>
      </c>
      <c r="UEB220" s="2" t="s">
        <v>513</v>
      </c>
      <c r="UEC220" s="2" t="s">
        <v>25</v>
      </c>
      <c r="UED220" s="2" t="s">
        <v>393</v>
      </c>
      <c r="UEE220" s="7">
        <v>-74.044305502618698</v>
      </c>
      <c r="UEF220" s="7">
        <v>4.6804459478222702</v>
      </c>
      <c r="UEG220" s="2" t="s">
        <v>357</v>
      </c>
      <c r="UEH220" s="2" t="s">
        <v>63</v>
      </c>
      <c r="UEI220" s="2" t="s">
        <v>83</v>
      </c>
      <c r="UEJ220" s="2" t="s">
        <v>63</v>
      </c>
      <c r="UEK220" s="24">
        <v>434</v>
      </c>
      <c r="UEL220" s="5">
        <v>46174</v>
      </c>
      <c r="UEM220" s="5">
        <v>46174</v>
      </c>
      <c r="UEN220" s="30">
        <f t="shared" ref="UEN220" si="922">UEM220-UEL220</f>
        <v>0</v>
      </c>
      <c r="UEO220" s="5" t="s">
        <v>317</v>
      </c>
      <c r="UEP220" s="2" t="s">
        <v>22</v>
      </c>
      <c r="UEQ220" s="53" t="s">
        <v>334</v>
      </c>
      <c r="UER220" s="2" t="s">
        <v>513</v>
      </c>
      <c r="UES220" s="2" t="s">
        <v>25</v>
      </c>
      <c r="UET220" s="2" t="s">
        <v>393</v>
      </c>
      <c r="UEU220" s="7">
        <v>-74.044305502618698</v>
      </c>
      <c r="UEV220" s="7">
        <v>4.6804459478222702</v>
      </c>
      <c r="UEW220" s="2" t="s">
        <v>357</v>
      </c>
      <c r="UEX220" s="2" t="s">
        <v>63</v>
      </c>
      <c r="UEY220" s="2" t="s">
        <v>83</v>
      </c>
      <c r="UEZ220" s="2" t="s">
        <v>63</v>
      </c>
      <c r="UFA220" s="24">
        <v>434</v>
      </c>
      <c r="UFB220" s="5">
        <v>46174</v>
      </c>
      <c r="UFC220" s="5">
        <v>46174</v>
      </c>
      <c r="UFD220" s="30">
        <f t="shared" ref="UFD220" si="923">UFC220-UFB220</f>
        <v>0</v>
      </c>
      <c r="UFE220" s="5" t="s">
        <v>317</v>
      </c>
      <c r="UFF220" s="2" t="s">
        <v>22</v>
      </c>
      <c r="UFG220" s="53" t="s">
        <v>334</v>
      </c>
      <c r="UFH220" s="2" t="s">
        <v>513</v>
      </c>
      <c r="UFI220" s="2" t="s">
        <v>25</v>
      </c>
      <c r="UFJ220" s="2" t="s">
        <v>393</v>
      </c>
      <c r="UFK220" s="7">
        <v>-74.044305502618698</v>
      </c>
      <c r="UFL220" s="7">
        <v>4.6804459478222702</v>
      </c>
      <c r="UFM220" s="2" t="s">
        <v>357</v>
      </c>
      <c r="UFN220" s="2" t="s">
        <v>63</v>
      </c>
      <c r="UFO220" s="2" t="s">
        <v>83</v>
      </c>
      <c r="UFP220" s="2" t="s">
        <v>63</v>
      </c>
      <c r="UFQ220" s="24">
        <v>434</v>
      </c>
      <c r="UFR220" s="5">
        <v>46174</v>
      </c>
      <c r="UFS220" s="5">
        <v>46174</v>
      </c>
      <c r="UFT220" s="30">
        <f t="shared" ref="UFT220" si="924">UFS220-UFR220</f>
        <v>0</v>
      </c>
      <c r="UFU220" s="5" t="s">
        <v>317</v>
      </c>
      <c r="UFV220" s="2" t="s">
        <v>22</v>
      </c>
      <c r="UFW220" s="53" t="s">
        <v>334</v>
      </c>
      <c r="UFX220" s="2" t="s">
        <v>513</v>
      </c>
      <c r="UFY220" s="2" t="s">
        <v>25</v>
      </c>
      <c r="UFZ220" s="2" t="s">
        <v>393</v>
      </c>
      <c r="UGA220" s="7">
        <v>-74.044305502618698</v>
      </c>
      <c r="UGB220" s="7">
        <v>4.6804459478222702</v>
      </c>
      <c r="UGC220" s="2" t="s">
        <v>357</v>
      </c>
      <c r="UGD220" s="2" t="s">
        <v>63</v>
      </c>
      <c r="UGE220" s="2" t="s">
        <v>83</v>
      </c>
      <c r="UGF220" s="2" t="s">
        <v>63</v>
      </c>
      <c r="UGG220" s="24">
        <v>434</v>
      </c>
      <c r="UGH220" s="5">
        <v>46174</v>
      </c>
      <c r="UGI220" s="5">
        <v>46174</v>
      </c>
      <c r="UGJ220" s="30">
        <f t="shared" ref="UGJ220" si="925">UGI220-UGH220</f>
        <v>0</v>
      </c>
      <c r="UGK220" s="5" t="s">
        <v>317</v>
      </c>
      <c r="UGL220" s="2" t="s">
        <v>22</v>
      </c>
      <c r="UGM220" s="53" t="s">
        <v>334</v>
      </c>
      <c r="UGN220" s="2" t="s">
        <v>513</v>
      </c>
      <c r="UGO220" s="2" t="s">
        <v>25</v>
      </c>
      <c r="UGP220" s="2" t="s">
        <v>393</v>
      </c>
      <c r="UGQ220" s="7">
        <v>-74.044305502618698</v>
      </c>
      <c r="UGR220" s="7">
        <v>4.6804459478222702</v>
      </c>
      <c r="UGS220" s="2" t="s">
        <v>357</v>
      </c>
      <c r="UGT220" s="2" t="s">
        <v>63</v>
      </c>
      <c r="UGU220" s="2" t="s">
        <v>83</v>
      </c>
      <c r="UGV220" s="2" t="s">
        <v>63</v>
      </c>
      <c r="UGW220" s="24">
        <v>434</v>
      </c>
      <c r="UGX220" s="5">
        <v>46174</v>
      </c>
      <c r="UGY220" s="5">
        <v>46174</v>
      </c>
      <c r="UGZ220" s="30">
        <f t="shared" ref="UGZ220" si="926">UGY220-UGX220</f>
        <v>0</v>
      </c>
      <c r="UHA220" s="5" t="s">
        <v>317</v>
      </c>
      <c r="UHB220" s="2" t="s">
        <v>22</v>
      </c>
      <c r="UHC220" s="53" t="s">
        <v>334</v>
      </c>
      <c r="UHD220" s="2" t="s">
        <v>513</v>
      </c>
      <c r="UHE220" s="2" t="s">
        <v>25</v>
      </c>
      <c r="UHF220" s="2" t="s">
        <v>393</v>
      </c>
      <c r="UHG220" s="7">
        <v>-74.044305502618698</v>
      </c>
      <c r="UHH220" s="7">
        <v>4.6804459478222702</v>
      </c>
      <c r="UHI220" s="2" t="s">
        <v>357</v>
      </c>
      <c r="UHJ220" s="2" t="s">
        <v>63</v>
      </c>
      <c r="UHK220" s="2" t="s">
        <v>83</v>
      </c>
      <c r="UHL220" s="2" t="s">
        <v>63</v>
      </c>
      <c r="UHM220" s="24">
        <v>434</v>
      </c>
      <c r="UHN220" s="5">
        <v>46174</v>
      </c>
      <c r="UHO220" s="5">
        <v>46174</v>
      </c>
      <c r="UHP220" s="30">
        <f t="shared" ref="UHP220" si="927">UHO220-UHN220</f>
        <v>0</v>
      </c>
      <c r="UHQ220" s="5" t="s">
        <v>317</v>
      </c>
      <c r="UHR220" s="2" t="s">
        <v>22</v>
      </c>
      <c r="UHS220" s="53" t="s">
        <v>334</v>
      </c>
      <c r="UHT220" s="2" t="s">
        <v>513</v>
      </c>
      <c r="UHU220" s="2" t="s">
        <v>25</v>
      </c>
      <c r="UHV220" s="2" t="s">
        <v>393</v>
      </c>
      <c r="UHW220" s="7">
        <v>-74.044305502618698</v>
      </c>
      <c r="UHX220" s="7">
        <v>4.6804459478222702</v>
      </c>
      <c r="UHY220" s="2" t="s">
        <v>357</v>
      </c>
      <c r="UHZ220" s="2" t="s">
        <v>63</v>
      </c>
      <c r="UIA220" s="2" t="s">
        <v>83</v>
      </c>
      <c r="UIB220" s="2" t="s">
        <v>63</v>
      </c>
      <c r="UIC220" s="24">
        <v>434</v>
      </c>
      <c r="UID220" s="5">
        <v>46174</v>
      </c>
      <c r="UIE220" s="5">
        <v>46174</v>
      </c>
      <c r="UIF220" s="30">
        <f t="shared" ref="UIF220" si="928">UIE220-UID220</f>
        <v>0</v>
      </c>
      <c r="UIG220" s="5" t="s">
        <v>317</v>
      </c>
      <c r="UIH220" s="2" t="s">
        <v>22</v>
      </c>
      <c r="UII220" s="53" t="s">
        <v>334</v>
      </c>
      <c r="UIJ220" s="2" t="s">
        <v>513</v>
      </c>
      <c r="UIK220" s="2" t="s">
        <v>25</v>
      </c>
      <c r="UIL220" s="2" t="s">
        <v>393</v>
      </c>
      <c r="UIM220" s="7">
        <v>-74.044305502618698</v>
      </c>
      <c r="UIN220" s="7">
        <v>4.6804459478222702</v>
      </c>
      <c r="UIO220" s="2" t="s">
        <v>357</v>
      </c>
      <c r="UIP220" s="2" t="s">
        <v>63</v>
      </c>
      <c r="UIQ220" s="2" t="s">
        <v>83</v>
      </c>
      <c r="UIR220" s="2" t="s">
        <v>63</v>
      </c>
      <c r="UIS220" s="24">
        <v>434</v>
      </c>
      <c r="UIT220" s="5">
        <v>46174</v>
      </c>
      <c r="UIU220" s="5">
        <v>46174</v>
      </c>
      <c r="UIV220" s="30">
        <f t="shared" ref="UIV220" si="929">UIU220-UIT220</f>
        <v>0</v>
      </c>
      <c r="UIW220" s="5" t="s">
        <v>317</v>
      </c>
      <c r="UIX220" s="2" t="s">
        <v>22</v>
      </c>
      <c r="UIY220" s="53" t="s">
        <v>334</v>
      </c>
      <c r="UIZ220" s="2" t="s">
        <v>513</v>
      </c>
      <c r="UJA220" s="2" t="s">
        <v>25</v>
      </c>
      <c r="UJB220" s="2" t="s">
        <v>393</v>
      </c>
      <c r="UJC220" s="7">
        <v>-74.044305502618698</v>
      </c>
      <c r="UJD220" s="7">
        <v>4.6804459478222702</v>
      </c>
      <c r="UJE220" s="2" t="s">
        <v>357</v>
      </c>
      <c r="UJF220" s="2" t="s">
        <v>63</v>
      </c>
      <c r="UJG220" s="2" t="s">
        <v>83</v>
      </c>
      <c r="UJH220" s="2" t="s">
        <v>63</v>
      </c>
      <c r="UJI220" s="24">
        <v>434</v>
      </c>
      <c r="UJJ220" s="5">
        <v>46174</v>
      </c>
      <c r="UJK220" s="5">
        <v>46174</v>
      </c>
      <c r="UJL220" s="30">
        <f t="shared" ref="UJL220" si="930">UJK220-UJJ220</f>
        <v>0</v>
      </c>
      <c r="UJM220" s="5" t="s">
        <v>317</v>
      </c>
      <c r="UJN220" s="2" t="s">
        <v>22</v>
      </c>
      <c r="UJO220" s="53" t="s">
        <v>334</v>
      </c>
      <c r="UJP220" s="2" t="s">
        <v>513</v>
      </c>
      <c r="UJQ220" s="2" t="s">
        <v>25</v>
      </c>
      <c r="UJR220" s="2" t="s">
        <v>393</v>
      </c>
      <c r="UJS220" s="7">
        <v>-74.044305502618698</v>
      </c>
      <c r="UJT220" s="7">
        <v>4.6804459478222702</v>
      </c>
      <c r="UJU220" s="2" t="s">
        <v>357</v>
      </c>
      <c r="UJV220" s="2" t="s">
        <v>63</v>
      </c>
      <c r="UJW220" s="2" t="s">
        <v>83</v>
      </c>
      <c r="UJX220" s="2" t="s">
        <v>63</v>
      </c>
      <c r="UJY220" s="24">
        <v>434</v>
      </c>
      <c r="UJZ220" s="5">
        <v>46174</v>
      </c>
      <c r="UKA220" s="5">
        <v>46174</v>
      </c>
      <c r="UKB220" s="30">
        <f t="shared" ref="UKB220" si="931">UKA220-UJZ220</f>
        <v>0</v>
      </c>
      <c r="UKC220" s="5" t="s">
        <v>317</v>
      </c>
      <c r="UKD220" s="2" t="s">
        <v>22</v>
      </c>
      <c r="UKE220" s="53" t="s">
        <v>334</v>
      </c>
      <c r="UKF220" s="2" t="s">
        <v>513</v>
      </c>
      <c r="UKG220" s="2" t="s">
        <v>25</v>
      </c>
      <c r="UKH220" s="2" t="s">
        <v>393</v>
      </c>
      <c r="UKI220" s="7">
        <v>-74.044305502618698</v>
      </c>
      <c r="UKJ220" s="7">
        <v>4.6804459478222702</v>
      </c>
      <c r="UKK220" s="2" t="s">
        <v>357</v>
      </c>
      <c r="UKL220" s="2" t="s">
        <v>63</v>
      </c>
      <c r="UKM220" s="2" t="s">
        <v>83</v>
      </c>
      <c r="UKN220" s="2" t="s">
        <v>63</v>
      </c>
      <c r="UKO220" s="24">
        <v>434</v>
      </c>
      <c r="UKP220" s="5">
        <v>46174</v>
      </c>
      <c r="UKQ220" s="5">
        <v>46174</v>
      </c>
      <c r="UKR220" s="30">
        <f t="shared" ref="UKR220" si="932">UKQ220-UKP220</f>
        <v>0</v>
      </c>
      <c r="UKS220" s="5" t="s">
        <v>317</v>
      </c>
      <c r="UKT220" s="2" t="s">
        <v>22</v>
      </c>
      <c r="UKU220" s="53" t="s">
        <v>334</v>
      </c>
      <c r="UKV220" s="2" t="s">
        <v>513</v>
      </c>
      <c r="UKW220" s="2" t="s">
        <v>25</v>
      </c>
      <c r="UKX220" s="2" t="s">
        <v>393</v>
      </c>
      <c r="UKY220" s="7">
        <v>-74.044305502618698</v>
      </c>
      <c r="UKZ220" s="7">
        <v>4.6804459478222702</v>
      </c>
      <c r="ULA220" s="2" t="s">
        <v>357</v>
      </c>
      <c r="ULB220" s="2" t="s">
        <v>63</v>
      </c>
      <c r="ULC220" s="2" t="s">
        <v>83</v>
      </c>
      <c r="ULD220" s="2" t="s">
        <v>63</v>
      </c>
      <c r="ULE220" s="24">
        <v>434</v>
      </c>
      <c r="ULF220" s="5">
        <v>46174</v>
      </c>
      <c r="ULG220" s="5">
        <v>46174</v>
      </c>
      <c r="ULH220" s="30">
        <f t="shared" ref="ULH220" si="933">ULG220-ULF220</f>
        <v>0</v>
      </c>
      <c r="ULI220" s="5" t="s">
        <v>317</v>
      </c>
      <c r="ULJ220" s="2" t="s">
        <v>22</v>
      </c>
      <c r="ULK220" s="53" t="s">
        <v>334</v>
      </c>
      <c r="ULL220" s="2" t="s">
        <v>513</v>
      </c>
      <c r="ULM220" s="2" t="s">
        <v>25</v>
      </c>
      <c r="ULN220" s="2" t="s">
        <v>393</v>
      </c>
      <c r="ULO220" s="7">
        <v>-74.044305502618698</v>
      </c>
      <c r="ULP220" s="7">
        <v>4.6804459478222702</v>
      </c>
      <c r="ULQ220" s="2" t="s">
        <v>357</v>
      </c>
      <c r="ULR220" s="2" t="s">
        <v>63</v>
      </c>
      <c r="ULS220" s="2" t="s">
        <v>83</v>
      </c>
      <c r="ULT220" s="2" t="s">
        <v>63</v>
      </c>
      <c r="ULU220" s="24">
        <v>434</v>
      </c>
      <c r="ULV220" s="5">
        <v>46174</v>
      </c>
      <c r="ULW220" s="5">
        <v>46174</v>
      </c>
      <c r="ULX220" s="30">
        <f t="shared" ref="ULX220" si="934">ULW220-ULV220</f>
        <v>0</v>
      </c>
      <c r="ULY220" s="5" t="s">
        <v>317</v>
      </c>
      <c r="ULZ220" s="2" t="s">
        <v>22</v>
      </c>
      <c r="UMA220" s="53" t="s">
        <v>334</v>
      </c>
      <c r="UMB220" s="2" t="s">
        <v>513</v>
      </c>
      <c r="UMC220" s="2" t="s">
        <v>25</v>
      </c>
      <c r="UMD220" s="2" t="s">
        <v>393</v>
      </c>
      <c r="UME220" s="7">
        <v>-74.044305502618698</v>
      </c>
      <c r="UMF220" s="7">
        <v>4.6804459478222702</v>
      </c>
      <c r="UMG220" s="2" t="s">
        <v>357</v>
      </c>
      <c r="UMH220" s="2" t="s">
        <v>63</v>
      </c>
      <c r="UMI220" s="2" t="s">
        <v>83</v>
      </c>
      <c r="UMJ220" s="2" t="s">
        <v>63</v>
      </c>
      <c r="UMK220" s="24">
        <v>434</v>
      </c>
      <c r="UML220" s="5">
        <v>46174</v>
      </c>
      <c r="UMM220" s="5">
        <v>46174</v>
      </c>
      <c r="UMN220" s="30">
        <f t="shared" ref="UMN220" si="935">UMM220-UML220</f>
        <v>0</v>
      </c>
      <c r="UMO220" s="5" t="s">
        <v>317</v>
      </c>
      <c r="UMP220" s="2" t="s">
        <v>22</v>
      </c>
      <c r="UMQ220" s="53" t="s">
        <v>334</v>
      </c>
      <c r="UMR220" s="2" t="s">
        <v>513</v>
      </c>
      <c r="UMS220" s="2" t="s">
        <v>25</v>
      </c>
      <c r="UMT220" s="2" t="s">
        <v>393</v>
      </c>
      <c r="UMU220" s="7">
        <v>-74.044305502618698</v>
      </c>
      <c r="UMV220" s="7">
        <v>4.6804459478222702</v>
      </c>
      <c r="UMW220" s="2" t="s">
        <v>357</v>
      </c>
      <c r="UMX220" s="2" t="s">
        <v>63</v>
      </c>
      <c r="UMY220" s="2" t="s">
        <v>83</v>
      </c>
      <c r="UMZ220" s="2" t="s">
        <v>63</v>
      </c>
      <c r="UNA220" s="24">
        <v>434</v>
      </c>
      <c r="UNB220" s="5">
        <v>46174</v>
      </c>
      <c r="UNC220" s="5">
        <v>46174</v>
      </c>
      <c r="UND220" s="30">
        <f t="shared" ref="UND220" si="936">UNC220-UNB220</f>
        <v>0</v>
      </c>
      <c r="UNE220" s="5" t="s">
        <v>317</v>
      </c>
      <c r="UNF220" s="2" t="s">
        <v>22</v>
      </c>
      <c r="UNG220" s="53" t="s">
        <v>334</v>
      </c>
      <c r="UNH220" s="2" t="s">
        <v>513</v>
      </c>
      <c r="UNI220" s="2" t="s">
        <v>25</v>
      </c>
      <c r="UNJ220" s="2" t="s">
        <v>393</v>
      </c>
      <c r="UNK220" s="7">
        <v>-74.044305502618698</v>
      </c>
      <c r="UNL220" s="7">
        <v>4.6804459478222702</v>
      </c>
      <c r="UNM220" s="2" t="s">
        <v>357</v>
      </c>
      <c r="UNN220" s="2" t="s">
        <v>63</v>
      </c>
      <c r="UNO220" s="2" t="s">
        <v>83</v>
      </c>
      <c r="UNP220" s="2" t="s">
        <v>63</v>
      </c>
      <c r="UNQ220" s="24">
        <v>434</v>
      </c>
      <c r="UNR220" s="5">
        <v>46174</v>
      </c>
      <c r="UNS220" s="5">
        <v>46174</v>
      </c>
      <c r="UNT220" s="30">
        <f t="shared" ref="UNT220" si="937">UNS220-UNR220</f>
        <v>0</v>
      </c>
      <c r="UNU220" s="5" t="s">
        <v>317</v>
      </c>
      <c r="UNV220" s="2" t="s">
        <v>22</v>
      </c>
      <c r="UNW220" s="53" t="s">
        <v>334</v>
      </c>
      <c r="UNX220" s="2" t="s">
        <v>513</v>
      </c>
      <c r="UNY220" s="2" t="s">
        <v>25</v>
      </c>
      <c r="UNZ220" s="2" t="s">
        <v>393</v>
      </c>
      <c r="UOA220" s="7">
        <v>-74.044305502618698</v>
      </c>
      <c r="UOB220" s="7">
        <v>4.6804459478222702</v>
      </c>
      <c r="UOC220" s="2" t="s">
        <v>357</v>
      </c>
      <c r="UOD220" s="2" t="s">
        <v>63</v>
      </c>
      <c r="UOE220" s="2" t="s">
        <v>83</v>
      </c>
      <c r="UOF220" s="2" t="s">
        <v>63</v>
      </c>
      <c r="UOG220" s="24">
        <v>434</v>
      </c>
      <c r="UOH220" s="5">
        <v>46174</v>
      </c>
      <c r="UOI220" s="5">
        <v>46174</v>
      </c>
      <c r="UOJ220" s="30">
        <f t="shared" ref="UOJ220" si="938">UOI220-UOH220</f>
        <v>0</v>
      </c>
      <c r="UOK220" s="5" t="s">
        <v>317</v>
      </c>
      <c r="UOL220" s="2" t="s">
        <v>22</v>
      </c>
      <c r="UOM220" s="53" t="s">
        <v>334</v>
      </c>
      <c r="UON220" s="2" t="s">
        <v>513</v>
      </c>
      <c r="UOO220" s="2" t="s">
        <v>25</v>
      </c>
      <c r="UOP220" s="2" t="s">
        <v>393</v>
      </c>
      <c r="UOQ220" s="7">
        <v>-74.044305502618698</v>
      </c>
      <c r="UOR220" s="7">
        <v>4.6804459478222702</v>
      </c>
      <c r="UOS220" s="2" t="s">
        <v>357</v>
      </c>
      <c r="UOT220" s="2" t="s">
        <v>63</v>
      </c>
      <c r="UOU220" s="2" t="s">
        <v>83</v>
      </c>
      <c r="UOV220" s="2" t="s">
        <v>63</v>
      </c>
      <c r="UOW220" s="24">
        <v>434</v>
      </c>
      <c r="UOX220" s="5">
        <v>46174</v>
      </c>
      <c r="UOY220" s="5">
        <v>46174</v>
      </c>
      <c r="UOZ220" s="30">
        <f t="shared" ref="UOZ220" si="939">UOY220-UOX220</f>
        <v>0</v>
      </c>
      <c r="UPA220" s="5" t="s">
        <v>317</v>
      </c>
      <c r="UPB220" s="2" t="s">
        <v>22</v>
      </c>
      <c r="UPC220" s="53" t="s">
        <v>334</v>
      </c>
      <c r="UPD220" s="2" t="s">
        <v>513</v>
      </c>
      <c r="UPE220" s="2" t="s">
        <v>25</v>
      </c>
      <c r="UPF220" s="2" t="s">
        <v>393</v>
      </c>
      <c r="UPG220" s="7">
        <v>-74.044305502618698</v>
      </c>
      <c r="UPH220" s="7">
        <v>4.6804459478222702</v>
      </c>
      <c r="UPI220" s="2" t="s">
        <v>357</v>
      </c>
      <c r="UPJ220" s="2" t="s">
        <v>63</v>
      </c>
      <c r="UPK220" s="2" t="s">
        <v>83</v>
      </c>
      <c r="UPL220" s="2" t="s">
        <v>63</v>
      </c>
      <c r="UPM220" s="24">
        <v>434</v>
      </c>
      <c r="UPN220" s="5">
        <v>46174</v>
      </c>
      <c r="UPO220" s="5">
        <v>46174</v>
      </c>
      <c r="UPP220" s="30">
        <f t="shared" ref="UPP220" si="940">UPO220-UPN220</f>
        <v>0</v>
      </c>
      <c r="UPQ220" s="5" t="s">
        <v>317</v>
      </c>
      <c r="UPR220" s="2" t="s">
        <v>22</v>
      </c>
      <c r="UPS220" s="53" t="s">
        <v>334</v>
      </c>
      <c r="UPT220" s="2" t="s">
        <v>513</v>
      </c>
      <c r="UPU220" s="2" t="s">
        <v>25</v>
      </c>
      <c r="UPV220" s="2" t="s">
        <v>393</v>
      </c>
      <c r="UPW220" s="7">
        <v>-74.044305502618698</v>
      </c>
      <c r="UPX220" s="7">
        <v>4.6804459478222702</v>
      </c>
      <c r="UPY220" s="2" t="s">
        <v>357</v>
      </c>
      <c r="UPZ220" s="2" t="s">
        <v>63</v>
      </c>
      <c r="UQA220" s="2" t="s">
        <v>83</v>
      </c>
      <c r="UQB220" s="2" t="s">
        <v>63</v>
      </c>
      <c r="UQC220" s="24">
        <v>434</v>
      </c>
      <c r="UQD220" s="5">
        <v>46174</v>
      </c>
      <c r="UQE220" s="5">
        <v>46174</v>
      </c>
      <c r="UQF220" s="30">
        <f t="shared" ref="UQF220" si="941">UQE220-UQD220</f>
        <v>0</v>
      </c>
      <c r="UQG220" s="5" t="s">
        <v>317</v>
      </c>
      <c r="UQH220" s="2" t="s">
        <v>22</v>
      </c>
      <c r="UQI220" s="53" t="s">
        <v>334</v>
      </c>
      <c r="UQJ220" s="2" t="s">
        <v>513</v>
      </c>
      <c r="UQK220" s="2" t="s">
        <v>25</v>
      </c>
      <c r="UQL220" s="2" t="s">
        <v>393</v>
      </c>
      <c r="UQM220" s="7">
        <v>-74.044305502618698</v>
      </c>
      <c r="UQN220" s="7">
        <v>4.6804459478222702</v>
      </c>
      <c r="UQO220" s="2" t="s">
        <v>357</v>
      </c>
      <c r="UQP220" s="2" t="s">
        <v>63</v>
      </c>
      <c r="UQQ220" s="2" t="s">
        <v>83</v>
      </c>
      <c r="UQR220" s="2" t="s">
        <v>63</v>
      </c>
      <c r="UQS220" s="24">
        <v>434</v>
      </c>
      <c r="UQT220" s="5">
        <v>46174</v>
      </c>
      <c r="UQU220" s="5">
        <v>46174</v>
      </c>
      <c r="UQV220" s="30">
        <f t="shared" ref="UQV220" si="942">UQU220-UQT220</f>
        <v>0</v>
      </c>
      <c r="UQW220" s="5" t="s">
        <v>317</v>
      </c>
      <c r="UQX220" s="2" t="s">
        <v>22</v>
      </c>
      <c r="UQY220" s="53" t="s">
        <v>334</v>
      </c>
      <c r="UQZ220" s="2" t="s">
        <v>513</v>
      </c>
      <c r="URA220" s="2" t="s">
        <v>25</v>
      </c>
      <c r="URB220" s="2" t="s">
        <v>393</v>
      </c>
      <c r="URC220" s="7">
        <v>-74.044305502618698</v>
      </c>
      <c r="URD220" s="7">
        <v>4.6804459478222702</v>
      </c>
      <c r="URE220" s="2" t="s">
        <v>357</v>
      </c>
      <c r="URF220" s="2" t="s">
        <v>63</v>
      </c>
      <c r="URG220" s="2" t="s">
        <v>83</v>
      </c>
      <c r="URH220" s="2" t="s">
        <v>63</v>
      </c>
      <c r="URI220" s="24">
        <v>434</v>
      </c>
      <c r="URJ220" s="5">
        <v>46174</v>
      </c>
      <c r="URK220" s="5">
        <v>46174</v>
      </c>
      <c r="URL220" s="30">
        <f t="shared" ref="URL220" si="943">URK220-URJ220</f>
        <v>0</v>
      </c>
      <c r="URM220" s="5" t="s">
        <v>317</v>
      </c>
      <c r="URN220" s="2" t="s">
        <v>22</v>
      </c>
      <c r="URO220" s="53" t="s">
        <v>334</v>
      </c>
      <c r="URP220" s="2" t="s">
        <v>513</v>
      </c>
      <c r="URQ220" s="2" t="s">
        <v>25</v>
      </c>
      <c r="URR220" s="2" t="s">
        <v>393</v>
      </c>
      <c r="URS220" s="7">
        <v>-74.044305502618698</v>
      </c>
      <c r="URT220" s="7">
        <v>4.6804459478222702</v>
      </c>
      <c r="URU220" s="2" t="s">
        <v>357</v>
      </c>
      <c r="URV220" s="2" t="s">
        <v>63</v>
      </c>
      <c r="URW220" s="2" t="s">
        <v>83</v>
      </c>
      <c r="URX220" s="2" t="s">
        <v>63</v>
      </c>
      <c r="URY220" s="24">
        <v>434</v>
      </c>
      <c r="URZ220" s="5">
        <v>46174</v>
      </c>
      <c r="USA220" s="5">
        <v>46174</v>
      </c>
      <c r="USB220" s="30">
        <f t="shared" ref="USB220" si="944">USA220-URZ220</f>
        <v>0</v>
      </c>
      <c r="USC220" s="5" t="s">
        <v>317</v>
      </c>
      <c r="USD220" s="2" t="s">
        <v>22</v>
      </c>
      <c r="USE220" s="53" t="s">
        <v>334</v>
      </c>
      <c r="USF220" s="2" t="s">
        <v>513</v>
      </c>
      <c r="USG220" s="2" t="s">
        <v>25</v>
      </c>
      <c r="USH220" s="2" t="s">
        <v>393</v>
      </c>
      <c r="USI220" s="7">
        <v>-74.044305502618698</v>
      </c>
      <c r="USJ220" s="7">
        <v>4.6804459478222702</v>
      </c>
      <c r="USK220" s="2" t="s">
        <v>357</v>
      </c>
      <c r="USL220" s="2" t="s">
        <v>63</v>
      </c>
      <c r="USM220" s="2" t="s">
        <v>83</v>
      </c>
      <c r="USN220" s="2" t="s">
        <v>63</v>
      </c>
      <c r="USO220" s="24">
        <v>434</v>
      </c>
      <c r="USP220" s="5">
        <v>46174</v>
      </c>
      <c r="USQ220" s="5">
        <v>46174</v>
      </c>
      <c r="USR220" s="30">
        <f t="shared" ref="USR220" si="945">USQ220-USP220</f>
        <v>0</v>
      </c>
      <c r="USS220" s="5" t="s">
        <v>317</v>
      </c>
      <c r="UST220" s="2" t="s">
        <v>22</v>
      </c>
      <c r="USU220" s="53" t="s">
        <v>334</v>
      </c>
      <c r="USV220" s="2" t="s">
        <v>513</v>
      </c>
      <c r="USW220" s="2" t="s">
        <v>25</v>
      </c>
      <c r="USX220" s="2" t="s">
        <v>393</v>
      </c>
      <c r="USY220" s="7">
        <v>-74.044305502618698</v>
      </c>
      <c r="USZ220" s="7">
        <v>4.6804459478222702</v>
      </c>
      <c r="UTA220" s="2" t="s">
        <v>357</v>
      </c>
      <c r="UTB220" s="2" t="s">
        <v>63</v>
      </c>
      <c r="UTC220" s="2" t="s">
        <v>83</v>
      </c>
      <c r="UTD220" s="2" t="s">
        <v>63</v>
      </c>
      <c r="UTE220" s="24">
        <v>434</v>
      </c>
      <c r="UTF220" s="5">
        <v>46174</v>
      </c>
      <c r="UTG220" s="5">
        <v>46174</v>
      </c>
      <c r="UTH220" s="30">
        <f t="shared" ref="UTH220" si="946">UTG220-UTF220</f>
        <v>0</v>
      </c>
      <c r="UTI220" s="5" t="s">
        <v>317</v>
      </c>
      <c r="UTJ220" s="2" t="s">
        <v>22</v>
      </c>
      <c r="UTK220" s="53" t="s">
        <v>334</v>
      </c>
      <c r="UTL220" s="2" t="s">
        <v>513</v>
      </c>
      <c r="UTM220" s="2" t="s">
        <v>25</v>
      </c>
      <c r="UTN220" s="2" t="s">
        <v>393</v>
      </c>
      <c r="UTO220" s="7">
        <v>-74.044305502618698</v>
      </c>
      <c r="UTP220" s="7">
        <v>4.6804459478222702</v>
      </c>
      <c r="UTQ220" s="2" t="s">
        <v>357</v>
      </c>
      <c r="UTR220" s="2" t="s">
        <v>63</v>
      </c>
      <c r="UTS220" s="2" t="s">
        <v>83</v>
      </c>
      <c r="UTT220" s="2" t="s">
        <v>63</v>
      </c>
      <c r="UTU220" s="24">
        <v>434</v>
      </c>
      <c r="UTV220" s="5">
        <v>46174</v>
      </c>
      <c r="UTW220" s="5">
        <v>46174</v>
      </c>
      <c r="UTX220" s="30">
        <f t="shared" ref="UTX220" si="947">UTW220-UTV220</f>
        <v>0</v>
      </c>
      <c r="UTY220" s="5" t="s">
        <v>317</v>
      </c>
      <c r="UTZ220" s="2" t="s">
        <v>22</v>
      </c>
      <c r="UUA220" s="53" t="s">
        <v>334</v>
      </c>
      <c r="UUB220" s="2" t="s">
        <v>513</v>
      </c>
      <c r="UUC220" s="2" t="s">
        <v>25</v>
      </c>
      <c r="UUD220" s="2" t="s">
        <v>393</v>
      </c>
      <c r="UUE220" s="7">
        <v>-74.044305502618698</v>
      </c>
      <c r="UUF220" s="7">
        <v>4.6804459478222702</v>
      </c>
      <c r="UUG220" s="2" t="s">
        <v>357</v>
      </c>
      <c r="UUH220" s="2" t="s">
        <v>63</v>
      </c>
      <c r="UUI220" s="2" t="s">
        <v>83</v>
      </c>
      <c r="UUJ220" s="2" t="s">
        <v>63</v>
      </c>
      <c r="UUK220" s="24">
        <v>434</v>
      </c>
      <c r="UUL220" s="5">
        <v>46174</v>
      </c>
      <c r="UUM220" s="5">
        <v>46174</v>
      </c>
      <c r="UUN220" s="30">
        <f t="shared" ref="UUN220" si="948">UUM220-UUL220</f>
        <v>0</v>
      </c>
      <c r="UUO220" s="5" t="s">
        <v>317</v>
      </c>
      <c r="UUP220" s="2" t="s">
        <v>22</v>
      </c>
      <c r="UUQ220" s="53" t="s">
        <v>334</v>
      </c>
      <c r="UUR220" s="2" t="s">
        <v>513</v>
      </c>
      <c r="UUS220" s="2" t="s">
        <v>25</v>
      </c>
      <c r="UUT220" s="2" t="s">
        <v>393</v>
      </c>
      <c r="UUU220" s="7">
        <v>-74.044305502618698</v>
      </c>
      <c r="UUV220" s="7">
        <v>4.6804459478222702</v>
      </c>
      <c r="UUW220" s="2" t="s">
        <v>357</v>
      </c>
      <c r="UUX220" s="2" t="s">
        <v>63</v>
      </c>
      <c r="UUY220" s="2" t="s">
        <v>83</v>
      </c>
      <c r="UUZ220" s="2" t="s">
        <v>63</v>
      </c>
      <c r="UVA220" s="24">
        <v>434</v>
      </c>
      <c r="UVB220" s="5">
        <v>46174</v>
      </c>
      <c r="UVC220" s="5">
        <v>46174</v>
      </c>
      <c r="UVD220" s="30">
        <f t="shared" ref="UVD220" si="949">UVC220-UVB220</f>
        <v>0</v>
      </c>
      <c r="UVE220" s="5" t="s">
        <v>317</v>
      </c>
      <c r="UVF220" s="2" t="s">
        <v>22</v>
      </c>
      <c r="UVG220" s="53" t="s">
        <v>334</v>
      </c>
      <c r="UVH220" s="2" t="s">
        <v>513</v>
      </c>
      <c r="UVI220" s="2" t="s">
        <v>25</v>
      </c>
      <c r="UVJ220" s="2" t="s">
        <v>393</v>
      </c>
      <c r="UVK220" s="7">
        <v>-74.044305502618698</v>
      </c>
      <c r="UVL220" s="7">
        <v>4.6804459478222702</v>
      </c>
      <c r="UVM220" s="2" t="s">
        <v>357</v>
      </c>
      <c r="UVN220" s="2" t="s">
        <v>63</v>
      </c>
      <c r="UVO220" s="2" t="s">
        <v>83</v>
      </c>
      <c r="UVP220" s="2" t="s">
        <v>63</v>
      </c>
      <c r="UVQ220" s="24">
        <v>434</v>
      </c>
      <c r="UVR220" s="5">
        <v>46174</v>
      </c>
      <c r="UVS220" s="5">
        <v>46174</v>
      </c>
      <c r="UVT220" s="30">
        <f t="shared" ref="UVT220" si="950">UVS220-UVR220</f>
        <v>0</v>
      </c>
      <c r="UVU220" s="5" t="s">
        <v>317</v>
      </c>
      <c r="UVV220" s="2" t="s">
        <v>22</v>
      </c>
      <c r="UVW220" s="53" t="s">
        <v>334</v>
      </c>
      <c r="UVX220" s="2" t="s">
        <v>513</v>
      </c>
      <c r="UVY220" s="2" t="s">
        <v>25</v>
      </c>
      <c r="UVZ220" s="2" t="s">
        <v>393</v>
      </c>
      <c r="UWA220" s="7">
        <v>-74.044305502618698</v>
      </c>
      <c r="UWB220" s="7">
        <v>4.6804459478222702</v>
      </c>
      <c r="UWC220" s="2" t="s">
        <v>357</v>
      </c>
      <c r="UWD220" s="2" t="s">
        <v>63</v>
      </c>
      <c r="UWE220" s="2" t="s">
        <v>83</v>
      </c>
      <c r="UWF220" s="2" t="s">
        <v>63</v>
      </c>
      <c r="UWG220" s="24">
        <v>434</v>
      </c>
      <c r="UWH220" s="5">
        <v>46174</v>
      </c>
      <c r="UWI220" s="5">
        <v>46174</v>
      </c>
      <c r="UWJ220" s="30">
        <f t="shared" ref="UWJ220" si="951">UWI220-UWH220</f>
        <v>0</v>
      </c>
      <c r="UWK220" s="5" t="s">
        <v>317</v>
      </c>
      <c r="UWL220" s="2" t="s">
        <v>22</v>
      </c>
      <c r="UWM220" s="53" t="s">
        <v>334</v>
      </c>
      <c r="UWN220" s="2" t="s">
        <v>513</v>
      </c>
      <c r="UWO220" s="2" t="s">
        <v>25</v>
      </c>
      <c r="UWP220" s="2" t="s">
        <v>393</v>
      </c>
      <c r="UWQ220" s="7">
        <v>-74.044305502618698</v>
      </c>
      <c r="UWR220" s="7">
        <v>4.6804459478222702</v>
      </c>
      <c r="UWS220" s="2" t="s">
        <v>357</v>
      </c>
      <c r="UWT220" s="2" t="s">
        <v>63</v>
      </c>
      <c r="UWU220" s="2" t="s">
        <v>83</v>
      </c>
      <c r="UWV220" s="2" t="s">
        <v>63</v>
      </c>
      <c r="UWW220" s="24">
        <v>434</v>
      </c>
      <c r="UWX220" s="5">
        <v>46174</v>
      </c>
      <c r="UWY220" s="5">
        <v>46174</v>
      </c>
      <c r="UWZ220" s="30">
        <f t="shared" ref="UWZ220" si="952">UWY220-UWX220</f>
        <v>0</v>
      </c>
      <c r="UXA220" s="5" t="s">
        <v>317</v>
      </c>
      <c r="UXB220" s="2" t="s">
        <v>22</v>
      </c>
      <c r="UXC220" s="53" t="s">
        <v>334</v>
      </c>
      <c r="UXD220" s="2" t="s">
        <v>513</v>
      </c>
      <c r="UXE220" s="2" t="s">
        <v>25</v>
      </c>
      <c r="UXF220" s="2" t="s">
        <v>393</v>
      </c>
      <c r="UXG220" s="7">
        <v>-74.044305502618698</v>
      </c>
      <c r="UXH220" s="7">
        <v>4.6804459478222702</v>
      </c>
      <c r="UXI220" s="2" t="s">
        <v>357</v>
      </c>
      <c r="UXJ220" s="2" t="s">
        <v>63</v>
      </c>
      <c r="UXK220" s="2" t="s">
        <v>83</v>
      </c>
      <c r="UXL220" s="2" t="s">
        <v>63</v>
      </c>
      <c r="UXM220" s="24">
        <v>434</v>
      </c>
      <c r="UXN220" s="5">
        <v>46174</v>
      </c>
      <c r="UXO220" s="5">
        <v>46174</v>
      </c>
      <c r="UXP220" s="30">
        <f t="shared" ref="UXP220" si="953">UXO220-UXN220</f>
        <v>0</v>
      </c>
      <c r="UXQ220" s="5" t="s">
        <v>317</v>
      </c>
      <c r="UXR220" s="2" t="s">
        <v>22</v>
      </c>
      <c r="UXS220" s="53" t="s">
        <v>334</v>
      </c>
      <c r="UXT220" s="2" t="s">
        <v>513</v>
      </c>
      <c r="UXU220" s="2" t="s">
        <v>25</v>
      </c>
      <c r="UXV220" s="2" t="s">
        <v>393</v>
      </c>
      <c r="UXW220" s="7">
        <v>-74.044305502618698</v>
      </c>
      <c r="UXX220" s="7">
        <v>4.6804459478222702</v>
      </c>
      <c r="UXY220" s="2" t="s">
        <v>357</v>
      </c>
      <c r="UXZ220" s="2" t="s">
        <v>63</v>
      </c>
      <c r="UYA220" s="2" t="s">
        <v>83</v>
      </c>
      <c r="UYB220" s="2" t="s">
        <v>63</v>
      </c>
      <c r="UYC220" s="24">
        <v>434</v>
      </c>
      <c r="UYD220" s="5">
        <v>46174</v>
      </c>
      <c r="UYE220" s="5">
        <v>46174</v>
      </c>
      <c r="UYF220" s="30">
        <f t="shared" ref="UYF220" si="954">UYE220-UYD220</f>
        <v>0</v>
      </c>
      <c r="UYG220" s="5" t="s">
        <v>317</v>
      </c>
      <c r="UYH220" s="2" t="s">
        <v>22</v>
      </c>
      <c r="UYI220" s="53" t="s">
        <v>334</v>
      </c>
      <c r="UYJ220" s="2" t="s">
        <v>513</v>
      </c>
      <c r="UYK220" s="2" t="s">
        <v>25</v>
      </c>
      <c r="UYL220" s="2" t="s">
        <v>393</v>
      </c>
      <c r="UYM220" s="7">
        <v>-74.044305502618698</v>
      </c>
      <c r="UYN220" s="7">
        <v>4.6804459478222702</v>
      </c>
      <c r="UYO220" s="2" t="s">
        <v>357</v>
      </c>
      <c r="UYP220" s="2" t="s">
        <v>63</v>
      </c>
      <c r="UYQ220" s="2" t="s">
        <v>83</v>
      </c>
      <c r="UYR220" s="2" t="s">
        <v>63</v>
      </c>
      <c r="UYS220" s="24">
        <v>434</v>
      </c>
      <c r="UYT220" s="5">
        <v>46174</v>
      </c>
      <c r="UYU220" s="5">
        <v>46174</v>
      </c>
      <c r="UYV220" s="30">
        <f t="shared" ref="UYV220" si="955">UYU220-UYT220</f>
        <v>0</v>
      </c>
      <c r="UYW220" s="5" t="s">
        <v>317</v>
      </c>
      <c r="UYX220" s="2" t="s">
        <v>22</v>
      </c>
      <c r="UYY220" s="53" t="s">
        <v>334</v>
      </c>
      <c r="UYZ220" s="2" t="s">
        <v>513</v>
      </c>
      <c r="UZA220" s="2" t="s">
        <v>25</v>
      </c>
      <c r="UZB220" s="2" t="s">
        <v>393</v>
      </c>
      <c r="UZC220" s="7">
        <v>-74.044305502618698</v>
      </c>
      <c r="UZD220" s="7">
        <v>4.6804459478222702</v>
      </c>
      <c r="UZE220" s="2" t="s">
        <v>357</v>
      </c>
      <c r="UZF220" s="2" t="s">
        <v>63</v>
      </c>
      <c r="UZG220" s="2" t="s">
        <v>83</v>
      </c>
      <c r="UZH220" s="2" t="s">
        <v>63</v>
      </c>
      <c r="UZI220" s="24">
        <v>434</v>
      </c>
      <c r="UZJ220" s="5">
        <v>46174</v>
      </c>
      <c r="UZK220" s="5">
        <v>46174</v>
      </c>
      <c r="UZL220" s="30">
        <f t="shared" ref="UZL220" si="956">UZK220-UZJ220</f>
        <v>0</v>
      </c>
      <c r="UZM220" s="5" t="s">
        <v>317</v>
      </c>
      <c r="UZN220" s="2" t="s">
        <v>22</v>
      </c>
      <c r="UZO220" s="53" t="s">
        <v>334</v>
      </c>
      <c r="UZP220" s="2" t="s">
        <v>513</v>
      </c>
      <c r="UZQ220" s="2" t="s">
        <v>25</v>
      </c>
      <c r="UZR220" s="2" t="s">
        <v>393</v>
      </c>
      <c r="UZS220" s="7">
        <v>-74.044305502618698</v>
      </c>
      <c r="UZT220" s="7">
        <v>4.6804459478222702</v>
      </c>
      <c r="UZU220" s="2" t="s">
        <v>357</v>
      </c>
      <c r="UZV220" s="2" t="s">
        <v>63</v>
      </c>
      <c r="UZW220" s="2" t="s">
        <v>83</v>
      </c>
      <c r="UZX220" s="2" t="s">
        <v>63</v>
      </c>
      <c r="UZY220" s="24">
        <v>434</v>
      </c>
      <c r="UZZ220" s="5">
        <v>46174</v>
      </c>
      <c r="VAA220" s="5">
        <v>46174</v>
      </c>
      <c r="VAB220" s="30">
        <f t="shared" ref="VAB220" si="957">VAA220-UZZ220</f>
        <v>0</v>
      </c>
      <c r="VAC220" s="5" t="s">
        <v>317</v>
      </c>
      <c r="VAD220" s="2" t="s">
        <v>22</v>
      </c>
      <c r="VAE220" s="53" t="s">
        <v>334</v>
      </c>
      <c r="VAF220" s="2" t="s">
        <v>513</v>
      </c>
      <c r="VAG220" s="2" t="s">
        <v>25</v>
      </c>
      <c r="VAH220" s="2" t="s">
        <v>393</v>
      </c>
      <c r="VAI220" s="7">
        <v>-74.044305502618698</v>
      </c>
      <c r="VAJ220" s="7">
        <v>4.6804459478222702</v>
      </c>
      <c r="VAK220" s="2" t="s">
        <v>357</v>
      </c>
      <c r="VAL220" s="2" t="s">
        <v>63</v>
      </c>
      <c r="VAM220" s="2" t="s">
        <v>83</v>
      </c>
      <c r="VAN220" s="2" t="s">
        <v>63</v>
      </c>
      <c r="VAO220" s="24">
        <v>434</v>
      </c>
      <c r="VAP220" s="5">
        <v>46174</v>
      </c>
      <c r="VAQ220" s="5">
        <v>46174</v>
      </c>
      <c r="VAR220" s="30">
        <f t="shared" ref="VAR220" si="958">VAQ220-VAP220</f>
        <v>0</v>
      </c>
      <c r="VAS220" s="5" t="s">
        <v>317</v>
      </c>
      <c r="VAT220" s="2" t="s">
        <v>22</v>
      </c>
      <c r="VAU220" s="53" t="s">
        <v>334</v>
      </c>
      <c r="VAV220" s="2" t="s">
        <v>513</v>
      </c>
      <c r="VAW220" s="2" t="s">
        <v>25</v>
      </c>
      <c r="VAX220" s="2" t="s">
        <v>393</v>
      </c>
      <c r="VAY220" s="7">
        <v>-74.044305502618698</v>
      </c>
      <c r="VAZ220" s="7">
        <v>4.6804459478222702</v>
      </c>
      <c r="VBA220" s="2" t="s">
        <v>357</v>
      </c>
      <c r="VBB220" s="2" t="s">
        <v>63</v>
      </c>
      <c r="VBC220" s="2" t="s">
        <v>83</v>
      </c>
      <c r="VBD220" s="2" t="s">
        <v>63</v>
      </c>
      <c r="VBE220" s="24">
        <v>434</v>
      </c>
      <c r="VBF220" s="5">
        <v>46174</v>
      </c>
      <c r="VBG220" s="5">
        <v>46174</v>
      </c>
      <c r="VBH220" s="30">
        <f t="shared" ref="VBH220" si="959">VBG220-VBF220</f>
        <v>0</v>
      </c>
      <c r="VBI220" s="5" t="s">
        <v>317</v>
      </c>
      <c r="VBJ220" s="2" t="s">
        <v>22</v>
      </c>
      <c r="VBK220" s="53" t="s">
        <v>334</v>
      </c>
      <c r="VBL220" s="2" t="s">
        <v>513</v>
      </c>
      <c r="VBM220" s="2" t="s">
        <v>25</v>
      </c>
      <c r="VBN220" s="2" t="s">
        <v>393</v>
      </c>
      <c r="VBO220" s="7">
        <v>-74.044305502618698</v>
      </c>
      <c r="VBP220" s="7">
        <v>4.6804459478222702</v>
      </c>
      <c r="VBQ220" s="2" t="s">
        <v>357</v>
      </c>
      <c r="VBR220" s="2" t="s">
        <v>63</v>
      </c>
      <c r="VBS220" s="2" t="s">
        <v>83</v>
      </c>
      <c r="VBT220" s="2" t="s">
        <v>63</v>
      </c>
      <c r="VBU220" s="24">
        <v>434</v>
      </c>
      <c r="VBV220" s="5">
        <v>46174</v>
      </c>
      <c r="VBW220" s="5">
        <v>46174</v>
      </c>
      <c r="VBX220" s="30">
        <f t="shared" ref="VBX220" si="960">VBW220-VBV220</f>
        <v>0</v>
      </c>
      <c r="VBY220" s="5" t="s">
        <v>317</v>
      </c>
      <c r="VBZ220" s="2" t="s">
        <v>22</v>
      </c>
      <c r="VCA220" s="53" t="s">
        <v>334</v>
      </c>
      <c r="VCB220" s="2" t="s">
        <v>513</v>
      </c>
      <c r="VCC220" s="2" t="s">
        <v>25</v>
      </c>
      <c r="VCD220" s="2" t="s">
        <v>393</v>
      </c>
      <c r="VCE220" s="7">
        <v>-74.044305502618698</v>
      </c>
      <c r="VCF220" s="7">
        <v>4.6804459478222702</v>
      </c>
      <c r="VCG220" s="2" t="s">
        <v>357</v>
      </c>
      <c r="VCH220" s="2" t="s">
        <v>63</v>
      </c>
      <c r="VCI220" s="2" t="s">
        <v>83</v>
      </c>
      <c r="VCJ220" s="2" t="s">
        <v>63</v>
      </c>
      <c r="VCK220" s="24">
        <v>434</v>
      </c>
      <c r="VCL220" s="5">
        <v>46174</v>
      </c>
      <c r="VCM220" s="5">
        <v>46174</v>
      </c>
      <c r="VCN220" s="30">
        <f t="shared" ref="VCN220" si="961">VCM220-VCL220</f>
        <v>0</v>
      </c>
      <c r="VCO220" s="5" t="s">
        <v>317</v>
      </c>
      <c r="VCP220" s="2" t="s">
        <v>22</v>
      </c>
      <c r="VCQ220" s="53" t="s">
        <v>334</v>
      </c>
      <c r="VCR220" s="2" t="s">
        <v>513</v>
      </c>
      <c r="VCS220" s="2" t="s">
        <v>25</v>
      </c>
      <c r="VCT220" s="2" t="s">
        <v>393</v>
      </c>
      <c r="VCU220" s="7">
        <v>-74.044305502618698</v>
      </c>
      <c r="VCV220" s="7">
        <v>4.6804459478222702</v>
      </c>
      <c r="VCW220" s="2" t="s">
        <v>357</v>
      </c>
      <c r="VCX220" s="2" t="s">
        <v>63</v>
      </c>
      <c r="VCY220" s="2" t="s">
        <v>83</v>
      </c>
      <c r="VCZ220" s="2" t="s">
        <v>63</v>
      </c>
      <c r="VDA220" s="24">
        <v>434</v>
      </c>
      <c r="VDB220" s="5">
        <v>46174</v>
      </c>
      <c r="VDC220" s="5">
        <v>46174</v>
      </c>
      <c r="VDD220" s="30">
        <f t="shared" ref="VDD220" si="962">VDC220-VDB220</f>
        <v>0</v>
      </c>
      <c r="VDE220" s="5" t="s">
        <v>317</v>
      </c>
      <c r="VDF220" s="2" t="s">
        <v>22</v>
      </c>
      <c r="VDG220" s="53" t="s">
        <v>334</v>
      </c>
      <c r="VDH220" s="2" t="s">
        <v>513</v>
      </c>
      <c r="VDI220" s="2" t="s">
        <v>25</v>
      </c>
      <c r="VDJ220" s="2" t="s">
        <v>393</v>
      </c>
      <c r="VDK220" s="7">
        <v>-74.044305502618698</v>
      </c>
      <c r="VDL220" s="7">
        <v>4.6804459478222702</v>
      </c>
      <c r="VDM220" s="2" t="s">
        <v>357</v>
      </c>
      <c r="VDN220" s="2" t="s">
        <v>63</v>
      </c>
      <c r="VDO220" s="2" t="s">
        <v>83</v>
      </c>
      <c r="VDP220" s="2" t="s">
        <v>63</v>
      </c>
      <c r="VDQ220" s="24">
        <v>434</v>
      </c>
      <c r="VDR220" s="5">
        <v>46174</v>
      </c>
      <c r="VDS220" s="5">
        <v>46174</v>
      </c>
      <c r="VDT220" s="30">
        <f t="shared" ref="VDT220" si="963">VDS220-VDR220</f>
        <v>0</v>
      </c>
      <c r="VDU220" s="5" t="s">
        <v>317</v>
      </c>
      <c r="VDV220" s="2" t="s">
        <v>22</v>
      </c>
      <c r="VDW220" s="53" t="s">
        <v>334</v>
      </c>
      <c r="VDX220" s="2" t="s">
        <v>513</v>
      </c>
      <c r="VDY220" s="2" t="s">
        <v>25</v>
      </c>
      <c r="VDZ220" s="2" t="s">
        <v>393</v>
      </c>
      <c r="VEA220" s="7">
        <v>-74.044305502618698</v>
      </c>
      <c r="VEB220" s="7">
        <v>4.6804459478222702</v>
      </c>
      <c r="VEC220" s="2" t="s">
        <v>357</v>
      </c>
      <c r="VED220" s="2" t="s">
        <v>63</v>
      </c>
      <c r="VEE220" s="2" t="s">
        <v>83</v>
      </c>
      <c r="VEF220" s="2" t="s">
        <v>63</v>
      </c>
      <c r="VEG220" s="24">
        <v>434</v>
      </c>
      <c r="VEH220" s="5">
        <v>46174</v>
      </c>
      <c r="VEI220" s="5">
        <v>46174</v>
      </c>
      <c r="VEJ220" s="30">
        <f t="shared" ref="VEJ220" si="964">VEI220-VEH220</f>
        <v>0</v>
      </c>
      <c r="VEK220" s="5" t="s">
        <v>317</v>
      </c>
      <c r="VEL220" s="2" t="s">
        <v>22</v>
      </c>
      <c r="VEM220" s="53" t="s">
        <v>334</v>
      </c>
      <c r="VEN220" s="2" t="s">
        <v>513</v>
      </c>
      <c r="VEO220" s="2" t="s">
        <v>25</v>
      </c>
      <c r="VEP220" s="2" t="s">
        <v>393</v>
      </c>
      <c r="VEQ220" s="7">
        <v>-74.044305502618698</v>
      </c>
      <c r="VER220" s="7">
        <v>4.6804459478222702</v>
      </c>
      <c r="VES220" s="2" t="s">
        <v>357</v>
      </c>
      <c r="VET220" s="2" t="s">
        <v>63</v>
      </c>
      <c r="VEU220" s="2" t="s">
        <v>83</v>
      </c>
      <c r="VEV220" s="2" t="s">
        <v>63</v>
      </c>
      <c r="VEW220" s="24">
        <v>434</v>
      </c>
      <c r="VEX220" s="5">
        <v>46174</v>
      </c>
      <c r="VEY220" s="5">
        <v>46174</v>
      </c>
      <c r="VEZ220" s="30">
        <f t="shared" ref="VEZ220" si="965">VEY220-VEX220</f>
        <v>0</v>
      </c>
      <c r="VFA220" s="5" t="s">
        <v>317</v>
      </c>
      <c r="VFB220" s="2" t="s">
        <v>22</v>
      </c>
      <c r="VFC220" s="53" t="s">
        <v>334</v>
      </c>
      <c r="VFD220" s="2" t="s">
        <v>513</v>
      </c>
      <c r="VFE220" s="2" t="s">
        <v>25</v>
      </c>
      <c r="VFF220" s="2" t="s">
        <v>393</v>
      </c>
      <c r="VFG220" s="7">
        <v>-74.044305502618698</v>
      </c>
      <c r="VFH220" s="7">
        <v>4.6804459478222702</v>
      </c>
      <c r="VFI220" s="2" t="s">
        <v>357</v>
      </c>
      <c r="VFJ220" s="2" t="s">
        <v>63</v>
      </c>
      <c r="VFK220" s="2" t="s">
        <v>83</v>
      </c>
      <c r="VFL220" s="2" t="s">
        <v>63</v>
      </c>
      <c r="VFM220" s="24">
        <v>434</v>
      </c>
      <c r="VFN220" s="5">
        <v>46174</v>
      </c>
      <c r="VFO220" s="5">
        <v>46174</v>
      </c>
      <c r="VFP220" s="30">
        <f t="shared" ref="VFP220" si="966">VFO220-VFN220</f>
        <v>0</v>
      </c>
      <c r="VFQ220" s="5" t="s">
        <v>317</v>
      </c>
      <c r="VFR220" s="2" t="s">
        <v>22</v>
      </c>
      <c r="VFS220" s="53" t="s">
        <v>334</v>
      </c>
      <c r="VFT220" s="2" t="s">
        <v>513</v>
      </c>
      <c r="VFU220" s="2" t="s">
        <v>25</v>
      </c>
      <c r="VFV220" s="2" t="s">
        <v>393</v>
      </c>
      <c r="VFW220" s="7">
        <v>-74.044305502618698</v>
      </c>
      <c r="VFX220" s="7">
        <v>4.6804459478222702</v>
      </c>
      <c r="VFY220" s="2" t="s">
        <v>357</v>
      </c>
      <c r="VFZ220" s="2" t="s">
        <v>63</v>
      </c>
      <c r="VGA220" s="2" t="s">
        <v>83</v>
      </c>
      <c r="VGB220" s="2" t="s">
        <v>63</v>
      </c>
      <c r="VGC220" s="24">
        <v>434</v>
      </c>
      <c r="VGD220" s="5">
        <v>46174</v>
      </c>
      <c r="VGE220" s="5">
        <v>46174</v>
      </c>
      <c r="VGF220" s="30">
        <f t="shared" ref="VGF220" si="967">VGE220-VGD220</f>
        <v>0</v>
      </c>
      <c r="VGG220" s="5" t="s">
        <v>317</v>
      </c>
      <c r="VGH220" s="2" t="s">
        <v>22</v>
      </c>
      <c r="VGI220" s="53" t="s">
        <v>334</v>
      </c>
      <c r="VGJ220" s="2" t="s">
        <v>513</v>
      </c>
      <c r="VGK220" s="2" t="s">
        <v>25</v>
      </c>
      <c r="VGL220" s="2" t="s">
        <v>393</v>
      </c>
      <c r="VGM220" s="7">
        <v>-74.044305502618698</v>
      </c>
      <c r="VGN220" s="7">
        <v>4.6804459478222702</v>
      </c>
      <c r="VGO220" s="2" t="s">
        <v>357</v>
      </c>
      <c r="VGP220" s="2" t="s">
        <v>63</v>
      </c>
      <c r="VGQ220" s="2" t="s">
        <v>83</v>
      </c>
      <c r="VGR220" s="2" t="s">
        <v>63</v>
      </c>
      <c r="VGS220" s="24">
        <v>434</v>
      </c>
      <c r="VGT220" s="5">
        <v>46174</v>
      </c>
      <c r="VGU220" s="5">
        <v>46174</v>
      </c>
      <c r="VGV220" s="30">
        <f t="shared" ref="VGV220" si="968">VGU220-VGT220</f>
        <v>0</v>
      </c>
      <c r="VGW220" s="5" t="s">
        <v>317</v>
      </c>
      <c r="VGX220" s="2" t="s">
        <v>22</v>
      </c>
      <c r="VGY220" s="53" t="s">
        <v>334</v>
      </c>
      <c r="VGZ220" s="2" t="s">
        <v>513</v>
      </c>
      <c r="VHA220" s="2" t="s">
        <v>25</v>
      </c>
      <c r="VHB220" s="2" t="s">
        <v>393</v>
      </c>
      <c r="VHC220" s="7">
        <v>-74.044305502618698</v>
      </c>
      <c r="VHD220" s="7">
        <v>4.6804459478222702</v>
      </c>
      <c r="VHE220" s="2" t="s">
        <v>357</v>
      </c>
      <c r="VHF220" s="2" t="s">
        <v>63</v>
      </c>
      <c r="VHG220" s="2" t="s">
        <v>83</v>
      </c>
      <c r="VHH220" s="2" t="s">
        <v>63</v>
      </c>
      <c r="VHI220" s="24">
        <v>434</v>
      </c>
      <c r="VHJ220" s="5">
        <v>46174</v>
      </c>
      <c r="VHK220" s="5">
        <v>46174</v>
      </c>
      <c r="VHL220" s="30">
        <f t="shared" ref="VHL220" si="969">VHK220-VHJ220</f>
        <v>0</v>
      </c>
      <c r="VHM220" s="5" t="s">
        <v>317</v>
      </c>
      <c r="VHN220" s="2" t="s">
        <v>22</v>
      </c>
      <c r="VHO220" s="53" t="s">
        <v>334</v>
      </c>
      <c r="VHP220" s="2" t="s">
        <v>513</v>
      </c>
      <c r="VHQ220" s="2" t="s">
        <v>25</v>
      </c>
      <c r="VHR220" s="2" t="s">
        <v>393</v>
      </c>
      <c r="VHS220" s="7">
        <v>-74.044305502618698</v>
      </c>
      <c r="VHT220" s="7">
        <v>4.6804459478222702</v>
      </c>
      <c r="VHU220" s="2" t="s">
        <v>357</v>
      </c>
      <c r="VHV220" s="2" t="s">
        <v>63</v>
      </c>
      <c r="VHW220" s="2" t="s">
        <v>83</v>
      </c>
      <c r="VHX220" s="2" t="s">
        <v>63</v>
      </c>
      <c r="VHY220" s="24">
        <v>434</v>
      </c>
      <c r="VHZ220" s="5">
        <v>46174</v>
      </c>
      <c r="VIA220" s="5">
        <v>46174</v>
      </c>
      <c r="VIB220" s="30">
        <f t="shared" ref="VIB220" si="970">VIA220-VHZ220</f>
        <v>0</v>
      </c>
      <c r="VIC220" s="5" t="s">
        <v>317</v>
      </c>
      <c r="VID220" s="2" t="s">
        <v>22</v>
      </c>
      <c r="VIE220" s="53" t="s">
        <v>334</v>
      </c>
      <c r="VIF220" s="2" t="s">
        <v>513</v>
      </c>
      <c r="VIG220" s="2" t="s">
        <v>25</v>
      </c>
      <c r="VIH220" s="2" t="s">
        <v>393</v>
      </c>
      <c r="VII220" s="7">
        <v>-74.044305502618698</v>
      </c>
      <c r="VIJ220" s="7">
        <v>4.6804459478222702</v>
      </c>
      <c r="VIK220" s="2" t="s">
        <v>357</v>
      </c>
      <c r="VIL220" s="2" t="s">
        <v>63</v>
      </c>
      <c r="VIM220" s="2" t="s">
        <v>83</v>
      </c>
      <c r="VIN220" s="2" t="s">
        <v>63</v>
      </c>
      <c r="VIO220" s="24">
        <v>434</v>
      </c>
      <c r="VIP220" s="5">
        <v>46174</v>
      </c>
      <c r="VIQ220" s="5">
        <v>46174</v>
      </c>
      <c r="VIR220" s="30">
        <f t="shared" ref="VIR220" si="971">VIQ220-VIP220</f>
        <v>0</v>
      </c>
      <c r="VIS220" s="5" t="s">
        <v>317</v>
      </c>
      <c r="VIT220" s="2" t="s">
        <v>22</v>
      </c>
      <c r="VIU220" s="53" t="s">
        <v>334</v>
      </c>
      <c r="VIV220" s="2" t="s">
        <v>513</v>
      </c>
      <c r="VIW220" s="2" t="s">
        <v>25</v>
      </c>
      <c r="VIX220" s="2" t="s">
        <v>393</v>
      </c>
      <c r="VIY220" s="7">
        <v>-74.044305502618698</v>
      </c>
      <c r="VIZ220" s="7">
        <v>4.6804459478222702</v>
      </c>
      <c r="VJA220" s="2" t="s">
        <v>357</v>
      </c>
      <c r="VJB220" s="2" t="s">
        <v>63</v>
      </c>
      <c r="VJC220" s="2" t="s">
        <v>83</v>
      </c>
      <c r="VJD220" s="2" t="s">
        <v>63</v>
      </c>
      <c r="VJE220" s="24">
        <v>434</v>
      </c>
      <c r="VJF220" s="5">
        <v>46174</v>
      </c>
      <c r="VJG220" s="5">
        <v>46174</v>
      </c>
      <c r="VJH220" s="30">
        <f t="shared" ref="VJH220" si="972">VJG220-VJF220</f>
        <v>0</v>
      </c>
      <c r="VJI220" s="5" t="s">
        <v>317</v>
      </c>
      <c r="VJJ220" s="2" t="s">
        <v>22</v>
      </c>
      <c r="VJK220" s="53" t="s">
        <v>334</v>
      </c>
      <c r="VJL220" s="2" t="s">
        <v>513</v>
      </c>
      <c r="VJM220" s="2" t="s">
        <v>25</v>
      </c>
      <c r="VJN220" s="2" t="s">
        <v>393</v>
      </c>
      <c r="VJO220" s="7">
        <v>-74.044305502618698</v>
      </c>
      <c r="VJP220" s="7">
        <v>4.6804459478222702</v>
      </c>
      <c r="VJQ220" s="2" t="s">
        <v>357</v>
      </c>
      <c r="VJR220" s="2" t="s">
        <v>63</v>
      </c>
      <c r="VJS220" s="2" t="s">
        <v>83</v>
      </c>
      <c r="VJT220" s="2" t="s">
        <v>63</v>
      </c>
      <c r="VJU220" s="24">
        <v>434</v>
      </c>
      <c r="VJV220" s="5">
        <v>46174</v>
      </c>
      <c r="VJW220" s="5">
        <v>46174</v>
      </c>
      <c r="VJX220" s="30">
        <f t="shared" ref="VJX220" si="973">VJW220-VJV220</f>
        <v>0</v>
      </c>
      <c r="VJY220" s="5" t="s">
        <v>317</v>
      </c>
      <c r="VJZ220" s="2" t="s">
        <v>22</v>
      </c>
      <c r="VKA220" s="53" t="s">
        <v>334</v>
      </c>
      <c r="VKB220" s="2" t="s">
        <v>513</v>
      </c>
      <c r="VKC220" s="2" t="s">
        <v>25</v>
      </c>
      <c r="VKD220" s="2" t="s">
        <v>393</v>
      </c>
      <c r="VKE220" s="7">
        <v>-74.044305502618698</v>
      </c>
      <c r="VKF220" s="7">
        <v>4.6804459478222702</v>
      </c>
      <c r="VKG220" s="2" t="s">
        <v>357</v>
      </c>
      <c r="VKH220" s="2" t="s">
        <v>63</v>
      </c>
      <c r="VKI220" s="2" t="s">
        <v>83</v>
      </c>
      <c r="VKJ220" s="2" t="s">
        <v>63</v>
      </c>
      <c r="VKK220" s="24">
        <v>434</v>
      </c>
      <c r="VKL220" s="5">
        <v>46174</v>
      </c>
      <c r="VKM220" s="5">
        <v>46174</v>
      </c>
      <c r="VKN220" s="30">
        <f t="shared" ref="VKN220" si="974">VKM220-VKL220</f>
        <v>0</v>
      </c>
      <c r="VKO220" s="5" t="s">
        <v>317</v>
      </c>
      <c r="VKP220" s="2" t="s">
        <v>22</v>
      </c>
      <c r="VKQ220" s="53" t="s">
        <v>334</v>
      </c>
      <c r="VKR220" s="2" t="s">
        <v>513</v>
      </c>
      <c r="VKS220" s="2" t="s">
        <v>25</v>
      </c>
      <c r="VKT220" s="2" t="s">
        <v>393</v>
      </c>
      <c r="VKU220" s="7">
        <v>-74.044305502618698</v>
      </c>
      <c r="VKV220" s="7">
        <v>4.6804459478222702</v>
      </c>
      <c r="VKW220" s="2" t="s">
        <v>357</v>
      </c>
      <c r="VKX220" s="2" t="s">
        <v>63</v>
      </c>
      <c r="VKY220" s="2" t="s">
        <v>83</v>
      </c>
      <c r="VKZ220" s="2" t="s">
        <v>63</v>
      </c>
      <c r="VLA220" s="24">
        <v>434</v>
      </c>
      <c r="VLB220" s="5">
        <v>46174</v>
      </c>
      <c r="VLC220" s="5">
        <v>46174</v>
      </c>
      <c r="VLD220" s="30">
        <f t="shared" ref="VLD220" si="975">VLC220-VLB220</f>
        <v>0</v>
      </c>
      <c r="VLE220" s="5" t="s">
        <v>317</v>
      </c>
      <c r="VLF220" s="2" t="s">
        <v>22</v>
      </c>
      <c r="VLG220" s="53" t="s">
        <v>334</v>
      </c>
      <c r="VLH220" s="2" t="s">
        <v>513</v>
      </c>
      <c r="VLI220" s="2" t="s">
        <v>25</v>
      </c>
      <c r="VLJ220" s="2" t="s">
        <v>393</v>
      </c>
      <c r="VLK220" s="7">
        <v>-74.044305502618698</v>
      </c>
      <c r="VLL220" s="7">
        <v>4.6804459478222702</v>
      </c>
      <c r="VLM220" s="2" t="s">
        <v>357</v>
      </c>
      <c r="VLN220" s="2" t="s">
        <v>63</v>
      </c>
      <c r="VLO220" s="2" t="s">
        <v>83</v>
      </c>
      <c r="VLP220" s="2" t="s">
        <v>63</v>
      </c>
      <c r="VLQ220" s="24">
        <v>434</v>
      </c>
      <c r="VLR220" s="5">
        <v>46174</v>
      </c>
      <c r="VLS220" s="5">
        <v>46174</v>
      </c>
      <c r="VLT220" s="30">
        <f t="shared" ref="VLT220" si="976">VLS220-VLR220</f>
        <v>0</v>
      </c>
      <c r="VLU220" s="5" t="s">
        <v>317</v>
      </c>
      <c r="VLV220" s="2" t="s">
        <v>22</v>
      </c>
      <c r="VLW220" s="53" t="s">
        <v>334</v>
      </c>
      <c r="VLX220" s="2" t="s">
        <v>513</v>
      </c>
      <c r="VLY220" s="2" t="s">
        <v>25</v>
      </c>
      <c r="VLZ220" s="2" t="s">
        <v>393</v>
      </c>
      <c r="VMA220" s="7">
        <v>-74.044305502618698</v>
      </c>
      <c r="VMB220" s="7">
        <v>4.6804459478222702</v>
      </c>
      <c r="VMC220" s="2" t="s">
        <v>357</v>
      </c>
      <c r="VMD220" s="2" t="s">
        <v>63</v>
      </c>
      <c r="VME220" s="2" t="s">
        <v>83</v>
      </c>
      <c r="VMF220" s="2" t="s">
        <v>63</v>
      </c>
      <c r="VMG220" s="24">
        <v>434</v>
      </c>
      <c r="VMH220" s="5">
        <v>46174</v>
      </c>
      <c r="VMI220" s="5">
        <v>46174</v>
      </c>
      <c r="VMJ220" s="30">
        <f t="shared" ref="VMJ220" si="977">VMI220-VMH220</f>
        <v>0</v>
      </c>
      <c r="VMK220" s="5" t="s">
        <v>317</v>
      </c>
      <c r="VML220" s="2" t="s">
        <v>22</v>
      </c>
      <c r="VMM220" s="53" t="s">
        <v>334</v>
      </c>
      <c r="VMN220" s="2" t="s">
        <v>513</v>
      </c>
      <c r="VMO220" s="2" t="s">
        <v>25</v>
      </c>
      <c r="VMP220" s="2" t="s">
        <v>393</v>
      </c>
      <c r="VMQ220" s="7">
        <v>-74.044305502618698</v>
      </c>
      <c r="VMR220" s="7">
        <v>4.6804459478222702</v>
      </c>
      <c r="VMS220" s="2" t="s">
        <v>357</v>
      </c>
      <c r="VMT220" s="2" t="s">
        <v>63</v>
      </c>
      <c r="VMU220" s="2" t="s">
        <v>83</v>
      </c>
      <c r="VMV220" s="2" t="s">
        <v>63</v>
      </c>
      <c r="VMW220" s="24">
        <v>434</v>
      </c>
      <c r="VMX220" s="5">
        <v>46174</v>
      </c>
      <c r="VMY220" s="5">
        <v>46174</v>
      </c>
      <c r="VMZ220" s="30">
        <f t="shared" ref="VMZ220" si="978">VMY220-VMX220</f>
        <v>0</v>
      </c>
      <c r="VNA220" s="5" t="s">
        <v>317</v>
      </c>
      <c r="VNB220" s="2" t="s">
        <v>22</v>
      </c>
      <c r="VNC220" s="53" t="s">
        <v>334</v>
      </c>
      <c r="VND220" s="2" t="s">
        <v>513</v>
      </c>
      <c r="VNE220" s="2" t="s">
        <v>25</v>
      </c>
      <c r="VNF220" s="2" t="s">
        <v>393</v>
      </c>
      <c r="VNG220" s="7">
        <v>-74.044305502618698</v>
      </c>
      <c r="VNH220" s="7">
        <v>4.6804459478222702</v>
      </c>
      <c r="VNI220" s="2" t="s">
        <v>357</v>
      </c>
      <c r="VNJ220" s="2" t="s">
        <v>63</v>
      </c>
      <c r="VNK220" s="2" t="s">
        <v>83</v>
      </c>
      <c r="VNL220" s="2" t="s">
        <v>63</v>
      </c>
      <c r="VNM220" s="24">
        <v>434</v>
      </c>
      <c r="VNN220" s="5">
        <v>46174</v>
      </c>
      <c r="VNO220" s="5">
        <v>46174</v>
      </c>
      <c r="VNP220" s="30">
        <f t="shared" ref="VNP220" si="979">VNO220-VNN220</f>
        <v>0</v>
      </c>
      <c r="VNQ220" s="5" t="s">
        <v>317</v>
      </c>
      <c r="VNR220" s="2" t="s">
        <v>22</v>
      </c>
      <c r="VNS220" s="53" t="s">
        <v>334</v>
      </c>
      <c r="VNT220" s="2" t="s">
        <v>513</v>
      </c>
      <c r="VNU220" s="2" t="s">
        <v>25</v>
      </c>
      <c r="VNV220" s="2" t="s">
        <v>393</v>
      </c>
      <c r="VNW220" s="7">
        <v>-74.044305502618698</v>
      </c>
      <c r="VNX220" s="7">
        <v>4.6804459478222702</v>
      </c>
      <c r="VNY220" s="2" t="s">
        <v>357</v>
      </c>
      <c r="VNZ220" s="2" t="s">
        <v>63</v>
      </c>
      <c r="VOA220" s="2" t="s">
        <v>83</v>
      </c>
      <c r="VOB220" s="2" t="s">
        <v>63</v>
      </c>
      <c r="VOC220" s="24">
        <v>434</v>
      </c>
      <c r="VOD220" s="5">
        <v>46174</v>
      </c>
      <c r="VOE220" s="5">
        <v>46174</v>
      </c>
      <c r="VOF220" s="30">
        <f t="shared" ref="VOF220" si="980">VOE220-VOD220</f>
        <v>0</v>
      </c>
      <c r="VOG220" s="5" t="s">
        <v>317</v>
      </c>
      <c r="VOH220" s="2" t="s">
        <v>22</v>
      </c>
      <c r="VOI220" s="53" t="s">
        <v>334</v>
      </c>
      <c r="VOJ220" s="2" t="s">
        <v>513</v>
      </c>
      <c r="VOK220" s="2" t="s">
        <v>25</v>
      </c>
      <c r="VOL220" s="2" t="s">
        <v>393</v>
      </c>
      <c r="VOM220" s="7">
        <v>-74.044305502618698</v>
      </c>
      <c r="VON220" s="7">
        <v>4.6804459478222702</v>
      </c>
      <c r="VOO220" s="2" t="s">
        <v>357</v>
      </c>
      <c r="VOP220" s="2" t="s">
        <v>63</v>
      </c>
      <c r="VOQ220" s="2" t="s">
        <v>83</v>
      </c>
      <c r="VOR220" s="2" t="s">
        <v>63</v>
      </c>
      <c r="VOS220" s="24">
        <v>434</v>
      </c>
      <c r="VOT220" s="5">
        <v>46174</v>
      </c>
      <c r="VOU220" s="5">
        <v>46174</v>
      </c>
      <c r="VOV220" s="30">
        <f t="shared" ref="VOV220" si="981">VOU220-VOT220</f>
        <v>0</v>
      </c>
      <c r="VOW220" s="5" t="s">
        <v>317</v>
      </c>
      <c r="VOX220" s="2" t="s">
        <v>22</v>
      </c>
      <c r="VOY220" s="53" t="s">
        <v>334</v>
      </c>
      <c r="VOZ220" s="2" t="s">
        <v>513</v>
      </c>
      <c r="VPA220" s="2" t="s">
        <v>25</v>
      </c>
      <c r="VPB220" s="2" t="s">
        <v>393</v>
      </c>
      <c r="VPC220" s="7">
        <v>-74.044305502618698</v>
      </c>
      <c r="VPD220" s="7">
        <v>4.6804459478222702</v>
      </c>
      <c r="VPE220" s="2" t="s">
        <v>357</v>
      </c>
      <c r="VPF220" s="2" t="s">
        <v>63</v>
      </c>
      <c r="VPG220" s="2" t="s">
        <v>83</v>
      </c>
      <c r="VPH220" s="2" t="s">
        <v>63</v>
      </c>
      <c r="VPI220" s="24">
        <v>434</v>
      </c>
      <c r="VPJ220" s="5">
        <v>46174</v>
      </c>
      <c r="VPK220" s="5">
        <v>46174</v>
      </c>
      <c r="VPL220" s="30">
        <f t="shared" ref="VPL220" si="982">VPK220-VPJ220</f>
        <v>0</v>
      </c>
      <c r="VPM220" s="5" t="s">
        <v>317</v>
      </c>
      <c r="VPN220" s="2" t="s">
        <v>22</v>
      </c>
      <c r="VPO220" s="53" t="s">
        <v>334</v>
      </c>
      <c r="VPP220" s="2" t="s">
        <v>513</v>
      </c>
      <c r="VPQ220" s="2" t="s">
        <v>25</v>
      </c>
      <c r="VPR220" s="2" t="s">
        <v>393</v>
      </c>
      <c r="VPS220" s="7">
        <v>-74.044305502618698</v>
      </c>
      <c r="VPT220" s="7">
        <v>4.6804459478222702</v>
      </c>
      <c r="VPU220" s="2" t="s">
        <v>357</v>
      </c>
      <c r="VPV220" s="2" t="s">
        <v>63</v>
      </c>
      <c r="VPW220" s="2" t="s">
        <v>83</v>
      </c>
      <c r="VPX220" s="2" t="s">
        <v>63</v>
      </c>
      <c r="VPY220" s="24">
        <v>434</v>
      </c>
      <c r="VPZ220" s="5">
        <v>46174</v>
      </c>
      <c r="VQA220" s="5">
        <v>46174</v>
      </c>
      <c r="VQB220" s="30">
        <f t="shared" ref="VQB220" si="983">VQA220-VPZ220</f>
        <v>0</v>
      </c>
      <c r="VQC220" s="5" t="s">
        <v>317</v>
      </c>
      <c r="VQD220" s="2" t="s">
        <v>22</v>
      </c>
      <c r="VQE220" s="53" t="s">
        <v>334</v>
      </c>
      <c r="VQF220" s="2" t="s">
        <v>513</v>
      </c>
      <c r="VQG220" s="2" t="s">
        <v>25</v>
      </c>
      <c r="VQH220" s="2" t="s">
        <v>393</v>
      </c>
      <c r="VQI220" s="7">
        <v>-74.044305502618698</v>
      </c>
      <c r="VQJ220" s="7">
        <v>4.6804459478222702</v>
      </c>
      <c r="VQK220" s="2" t="s">
        <v>357</v>
      </c>
      <c r="VQL220" s="2" t="s">
        <v>63</v>
      </c>
      <c r="VQM220" s="2" t="s">
        <v>83</v>
      </c>
      <c r="VQN220" s="2" t="s">
        <v>63</v>
      </c>
      <c r="VQO220" s="24">
        <v>434</v>
      </c>
      <c r="VQP220" s="5">
        <v>46174</v>
      </c>
      <c r="VQQ220" s="5">
        <v>46174</v>
      </c>
      <c r="VQR220" s="30">
        <f t="shared" ref="VQR220" si="984">VQQ220-VQP220</f>
        <v>0</v>
      </c>
      <c r="VQS220" s="5" t="s">
        <v>317</v>
      </c>
      <c r="VQT220" s="2" t="s">
        <v>22</v>
      </c>
      <c r="VQU220" s="53" t="s">
        <v>334</v>
      </c>
      <c r="VQV220" s="2" t="s">
        <v>513</v>
      </c>
      <c r="VQW220" s="2" t="s">
        <v>25</v>
      </c>
      <c r="VQX220" s="2" t="s">
        <v>393</v>
      </c>
      <c r="VQY220" s="7">
        <v>-74.044305502618698</v>
      </c>
      <c r="VQZ220" s="7">
        <v>4.6804459478222702</v>
      </c>
      <c r="VRA220" s="2" t="s">
        <v>357</v>
      </c>
      <c r="VRB220" s="2" t="s">
        <v>63</v>
      </c>
      <c r="VRC220" s="2" t="s">
        <v>83</v>
      </c>
      <c r="VRD220" s="2" t="s">
        <v>63</v>
      </c>
      <c r="VRE220" s="24">
        <v>434</v>
      </c>
      <c r="VRF220" s="5">
        <v>46174</v>
      </c>
      <c r="VRG220" s="5">
        <v>46174</v>
      </c>
      <c r="VRH220" s="30">
        <f t="shared" ref="VRH220" si="985">VRG220-VRF220</f>
        <v>0</v>
      </c>
      <c r="VRI220" s="5" t="s">
        <v>317</v>
      </c>
      <c r="VRJ220" s="2" t="s">
        <v>22</v>
      </c>
      <c r="VRK220" s="53" t="s">
        <v>334</v>
      </c>
      <c r="VRL220" s="2" t="s">
        <v>513</v>
      </c>
      <c r="VRM220" s="2" t="s">
        <v>25</v>
      </c>
      <c r="VRN220" s="2" t="s">
        <v>393</v>
      </c>
      <c r="VRO220" s="7">
        <v>-74.044305502618698</v>
      </c>
      <c r="VRP220" s="7">
        <v>4.6804459478222702</v>
      </c>
      <c r="VRQ220" s="2" t="s">
        <v>357</v>
      </c>
      <c r="VRR220" s="2" t="s">
        <v>63</v>
      </c>
      <c r="VRS220" s="2" t="s">
        <v>83</v>
      </c>
      <c r="VRT220" s="2" t="s">
        <v>63</v>
      </c>
      <c r="VRU220" s="24">
        <v>434</v>
      </c>
      <c r="VRV220" s="5">
        <v>46174</v>
      </c>
      <c r="VRW220" s="5">
        <v>46174</v>
      </c>
      <c r="VRX220" s="30">
        <f t="shared" ref="VRX220" si="986">VRW220-VRV220</f>
        <v>0</v>
      </c>
      <c r="VRY220" s="5" t="s">
        <v>317</v>
      </c>
      <c r="VRZ220" s="2" t="s">
        <v>22</v>
      </c>
      <c r="VSA220" s="53" t="s">
        <v>334</v>
      </c>
      <c r="VSB220" s="2" t="s">
        <v>513</v>
      </c>
      <c r="VSC220" s="2" t="s">
        <v>25</v>
      </c>
      <c r="VSD220" s="2" t="s">
        <v>393</v>
      </c>
      <c r="VSE220" s="7">
        <v>-74.044305502618698</v>
      </c>
      <c r="VSF220" s="7">
        <v>4.6804459478222702</v>
      </c>
      <c r="VSG220" s="2" t="s">
        <v>357</v>
      </c>
      <c r="VSH220" s="2" t="s">
        <v>63</v>
      </c>
      <c r="VSI220" s="2" t="s">
        <v>83</v>
      </c>
      <c r="VSJ220" s="2" t="s">
        <v>63</v>
      </c>
      <c r="VSK220" s="24">
        <v>434</v>
      </c>
      <c r="VSL220" s="5">
        <v>46174</v>
      </c>
      <c r="VSM220" s="5">
        <v>46174</v>
      </c>
      <c r="VSN220" s="30">
        <f t="shared" ref="VSN220" si="987">VSM220-VSL220</f>
        <v>0</v>
      </c>
      <c r="VSO220" s="5" t="s">
        <v>317</v>
      </c>
      <c r="VSP220" s="2" t="s">
        <v>22</v>
      </c>
      <c r="VSQ220" s="53" t="s">
        <v>334</v>
      </c>
      <c r="VSR220" s="2" t="s">
        <v>513</v>
      </c>
      <c r="VSS220" s="2" t="s">
        <v>25</v>
      </c>
      <c r="VST220" s="2" t="s">
        <v>393</v>
      </c>
      <c r="VSU220" s="7">
        <v>-74.044305502618698</v>
      </c>
      <c r="VSV220" s="7">
        <v>4.6804459478222702</v>
      </c>
      <c r="VSW220" s="2" t="s">
        <v>357</v>
      </c>
      <c r="VSX220" s="2" t="s">
        <v>63</v>
      </c>
      <c r="VSY220" s="2" t="s">
        <v>83</v>
      </c>
      <c r="VSZ220" s="2" t="s">
        <v>63</v>
      </c>
      <c r="VTA220" s="24">
        <v>434</v>
      </c>
      <c r="VTB220" s="5">
        <v>46174</v>
      </c>
      <c r="VTC220" s="5">
        <v>46174</v>
      </c>
      <c r="VTD220" s="30">
        <f t="shared" ref="VTD220" si="988">VTC220-VTB220</f>
        <v>0</v>
      </c>
      <c r="VTE220" s="5" t="s">
        <v>317</v>
      </c>
      <c r="VTF220" s="2" t="s">
        <v>22</v>
      </c>
      <c r="VTG220" s="53" t="s">
        <v>334</v>
      </c>
      <c r="VTH220" s="2" t="s">
        <v>513</v>
      </c>
      <c r="VTI220" s="2" t="s">
        <v>25</v>
      </c>
      <c r="VTJ220" s="2" t="s">
        <v>393</v>
      </c>
      <c r="VTK220" s="7">
        <v>-74.044305502618698</v>
      </c>
      <c r="VTL220" s="7">
        <v>4.6804459478222702</v>
      </c>
      <c r="VTM220" s="2" t="s">
        <v>357</v>
      </c>
      <c r="VTN220" s="2" t="s">
        <v>63</v>
      </c>
      <c r="VTO220" s="2" t="s">
        <v>83</v>
      </c>
      <c r="VTP220" s="2" t="s">
        <v>63</v>
      </c>
      <c r="VTQ220" s="24">
        <v>434</v>
      </c>
      <c r="VTR220" s="5">
        <v>46174</v>
      </c>
      <c r="VTS220" s="5">
        <v>46174</v>
      </c>
      <c r="VTT220" s="30">
        <f t="shared" ref="VTT220" si="989">VTS220-VTR220</f>
        <v>0</v>
      </c>
      <c r="VTU220" s="5" t="s">
        <v>317</v>
      </c>
      <c r="VTV220" s="2" t="s">
        <v>22</v>
      </c>
      <c r="VTW220" s="53" t="s">
        <v>334</v>
      </c>
      <c r="VTX220" s="2" t="s">
        <v>513</v>
      </c>
      <c r="VTY220" s="2" t="s">
        <v>25</v>
      </c>
      <c r="VTZ220" s="2" t="s">
        <v>393</v>
      </c>
      <c r="VUA220" s="7">
        <v>-74.044305502618698</v>
      </c>
      <c r="VUB220" s="7">
        <v>4.6804459478222702</v>
      </c>
      <c r="VUC220" s="2" t="s">
        <v>357</v>
      </c>
      <c r="VUD220" s="2" t="s">
        <v>63</v>
      </c>
      <c r="VUE220" s="2" t="s">
        <v>83</v>
      </c>
      <c r="VUF220" s="2" t="s">
        <v>63</v>
      </c>
      <c r="VUG220" s="24">
        <v>434</v>
      </c>
      <c r="VUH220" s="5">
        <v>46174</v>
      </c>
      <c r="VUI220" s="5">
        <v>46174</v>
      </c>
      <c r="VUJ220" s="30">
        <f t="shared" ref="VUJ220" si="990">VUI220-VUH220</f>
        <v>0</v>
      </c>
      <c r="VUK220" s="5" t="s">
        <v>317</v>
      </c>
      <c r="VUL220" s="2" t="s">
        <v>22</v>
      </c>
      <c r="VUM220" s="53" t="s">
        <v>334</v>
      </c>
      <c r="VUN220" s="2" t="s">
        <v>513</v>
      </c>
      <c r="VUO220" s="2" t="s">
        <v>25</v>
      </c>
      <c r="VUP220" s="2" t="s">
        <v>393</v>
      </c>
      <c r="VUQ220" s="7">
        <v>-74.044305502618698</v>
      </c>
      <c r="VUR220" s="7">
        <v>4.6804459478222702</v>
      </c>
      <c r="VUS220" s="2" t="s">
        <v>357</v>
      </c>
      <c r="VUT220" s="2" t="s">
        <v>63</v>
      </c>
      <c r="VUU220" s="2" t="s">
        <v>83</v>
      </c>
      <c r="VUV220" s="2" t="s">
        <v>63</v>
      </c>
      <c r="VUW220" s="24">
        <v>434</v>
      </c>
      <c r="VUX220" s="5">
        <v>46174</v>
      </c>
      <c r="VUY220" s="5">
        <v>46174</v>
      </c>
      <c r="VUZ220" s="30">
        <f t="shared" ref="VUZ220" si="991">VUY220-VUX220</f>
        <v>0</v>
      </c>
      <c r="VVA220" s="5" t="s">
        <v>317</v>
      </c>
      <c r="VVB220" s="2" t="s">
        <v>22</v>
      </c>
      <c r="VVC220" s="53" t="s">
        <v>334</v>
      </c>
      <c r="VVD220" s="2" t="s">
        <v>513</v>
      </c>
      <c r="VVE220" s="2" t="s">
        <v>25</v>
      </c>
      <c r="VVF220" s="2" t="s">
        <v>393</v>
      </c>
      <c r="VVG220" s="7">
        <v>-74.044305502618698</v>
      </c>
      <c r="VVH220" s="7">
        <v>4.6804459478222702</v>
      </c>
      <c r="VVI220" s="2" t="s">
        <v>357</v>
      </c>
      <c r="VVJ220" s="2" t="s">
        <v>63</v>
      </c>
      <c r="VVK220" s="2" t="s">
        <v>83</v>
      </c>
      <c r="VVL220" s="2" t="s">
        <v>63</v>
      </c>
      <c r="VVM220" s="24">
        <v>434</v>
      </c>
      <c r="VVN220" s="5">
        <v>46174</v>
      </c>
      <c r="VVO220" s="5">
        <v>46174</v>
      </c>
      <c r="VVP220" s="30">
        <f t="shared" ref="VVP220" si="992">VVO220-VVN220</f>
        <v>0</v>
      </c>
      <c r="VVQ220" s="5" t="s">
        <v>317</v>
      </c>
      <c r="VVR220" s="2" t="s">
        <v>22</v>
      </c>
      <c r="VVS220" s="53" t="s">
        <v>334</v>
      </c>
      <c r="VVT220" s="2" t="s">
        <v>513</v>
      </c>
      <c r="VVU220" s="2" t="s">
        <v>25</v>
      </c>
      <c r="VVV220" s="2" t="s">
        <v>393</v>
      </c>
      <c r="VVW220" s="7">
        <v>-74.044305502618698</v>
      </c>
      <c r="VVX220" s="7">
        <v>4.6804459478222702</v>
      </c>
      <c r="VVY220" s="2" t="s">
        <v>357</v>
      </c>
      <c r="VVZ220" s="2" t="s">
        <v>63</v>
      </c>
      <c r="VWA220" s="2" t="s">
        <v>83</v>
      </c>
      <c r="VWB220" s="2" t="s">
        <v>63</v>
      </c>
      <c r="VWC220" s="24">
        <v>434</v>
      </c>
      <c r="VWD220" s="5">
        <v>46174</v>
      </c>
      <c r="VWE220" s="5">
        <v>46174</v>
      </c>
      <c r="VWF220" s="30">
        <f t="shared" ref="VWF220" si="993">VWE220-VWD220</f>
        <v>0</v>
      </c>
      <c r="VWG220" s="5" t="s">
        <v>317</v>
      </c>
      <c r="VWH220" s="2" t="s">
        <v>22</v>
      </c>
      <c r="VWI220" s="53" t="s">
        <v>334</v>
      </c>
      <c r="VWJ220" s="2" t="s">
        <v>513</v>
      </c>
      <c r="VWK220" s="2" t="s">
        <v>25</v>
      </c>
      <c r="VWL220" s="2" t="s">
        <v>393</v>
      </c>
      <c r="VWM220" s="7">
        <v>-74.044305502618698</v>
      </c>
      <c r="VWN220" s="7">
        <v>4.6804459478222702</v>
      </c>
      <c r="VWO220" s="2" t="s">
        <v>357</v>
      </c>
      <c r="VWP220" s="2" t="s">
        <v>63</v>
      </c>
      <c r="VWQ220" s="2" t="s">
        <v>83</v>
      </c>
      <c r="VWR220" s="2" t="s">
        <v>63</v>
      </c>
      <c r="VWS220" s="24">
        <v>434</v>
      </c>
      <c r="VWT220" s="5">
        <v>46174</v>
      </c>
      <c r="VWU220" s="5">
        <v>46174</v>
      </c>
      <c r="VWV220" s="30">
        <f t="shared" ref="VWV220" si="994">VWU220-VWT220</f>
        <v>0</v>
      </c>
      <c r="VWW220" s="5" t="s">
        <v>317</v>
      </c>
      <c r="VWX220" s="2" t="s">
        <v>22</v>
      </c>
      <c r="VWY220" s="53" t="s">
        <v>334</v>
      </c>
      <c r="VWZ220" s="2" t="s">
        <v>513</v>
      </c>
      <c r="VXA220" s="2" t="s">
        <v>25</v>
      </c>
      <c r="VXB220" s="2" t="s">
        <v>393</v>
      </c>
      <c r="VXC220" s="7">
        <v>-74.044305502618698</v>
      </c>
      <c r="VXD220" s="7">
        <v>4.6804459478222702</v>
      </c>
      <c r="VXE220" s="2" t="s">
        <v>357</v>
      </c>
      <c r="VXF220" s="2" t="s">
        <v>63</v>
      </c>
      <c r="VXG220" s="2" t="s">
        <v>83</v>
      </c>
      <c r="VXH220" s="2" t="s">
        <v>63</v>
      </c>
      <c r="VXI220" s="24">
        <v>434</v>
      </c>
      <c r="VXJ220" s="5">
        <v>46174</v>
      </c>
      <c r="VXK220" s="5">
        <v>46174</v>
      </c>
      <c r="VXL220" s="30">
        <f t="shared" ref="VXL220" si="995">VXK220-VXJ220</f>
        <v>0</v>
      </c>
      <c r="VXM220" s="5" t="s">
        <v>317</v>
      </c>
      <c r="VXN220" s="2" t="s">
        <v>22</v>
      </c>
      <c r="VXO220" s="53" t="s">
        <v>334</v>
      </c>
      <c r="VXP220" s="2" t="s">
        <v>513</v>
      </c>
      <c r="VXQ220" s="2" t="s">
        <v>25</v>
      </c>
      <c r="VXR220" s="2" t="s">
        <v>393</v>
      </c>
      <c r="VXS220" s="7">
        <v>-74.044305502618698</v>
      </c>
      <c r="VXT220" s="7">
        <v>4.6804459478222702</v>
      </c>
      <c r="VXU220" s="2" t="s">
        <v>357</v>
      </c>
      <c r="VXV220" s="2" t="s">
        <v>63</v>
      </c>
      <c r="VXW220" s="2" t="s">
        <v>83</v>
      </c>
      <c r="VXX220" s="2" t="s">
        <v>63</v>
      </c>
      <c r="VXY220" s="24">
        <v>434</v>
      </c>
      <c r="VXZ220" s="5">
        <v>46174</v>
      </c>
      <c r="VYA220" s="5">
        <v>46174</v>
      </c>
      <c r="VYB220" s="30">
        <f t="shared" ref="VYB220" si="996">VYA220-VXZ220</f>
        <v>0</v>
      </c>
      <c r="VYC220" s="5" t="s">
        <v>317</v>
      </c>
      <c r="VYD220" s="2" t="s">
        <v>22</v>
      </c>
      <c r="VYE220" s="53" t="s">
        <v>334</v>
      </c>
      <c r="VYF220" s="2" t="s">
        <v>513</v>
      </c>
      <c r="VYG220" s="2" t="s">
        <v>25</v>
      </c>
      <c r="VYH220" s="2" t="s">
        <v>393</v>
      </c>
      <c r="VYI220" s="7">
        <v>-74.044305502618698</v>
      </c>
      <c r="VYJ220" s="7">
        <v>4.6804459478222702</v>
      </c>
      <c r="VYK220" s="2" t="s">
        <v>357</v>
      </c>
      <c r="VYL220" s="2" t="s">
        <v>63</v>
      </c>
      <c r="VYM220" s="2" t="s">
        <v>83</v>
      </c>
      <c r="VYN220" s="2" t="s">
        <v>63</v>
      </c>
      <c r="VYO220" s="24">
        <v>434</v>
      </c>
      <c r="VYP220" s="5">
        <v>46174</v>
      </c>
      <c r="VYQ220" s="5">
        <v>46174</v>
      </c>
      <c r="VYR220" s="30">
        <f t="shared" ref="VYR220" si="997">VYQ220-VYP220</f>
        <v>0</v>
      </c>
      <c r="VYS220" s="5" t="s">
        <v>317</v>
      </c>
      <c r="VYT220" s="2" t="s">
        <v>22</v>
      </c>
      <c r="VYU220" s="53" t="s">
        <v>334</v>
      </c>
      <c r="VYV220" s="2" t="s">
        <v>513</v>
      </c>
      <c r="VYW220" s="2" t="s">
        <v>25</v>
      </c>
      <c r="VYX220" s="2" t="s">
        <v>393</v>
      </c>
      <c r="VYY220" s="7">
        <v>-74.044305502618698</v>
      </c>
      <c r="VYZ220" s="7">
        <v>4.6804459478222702</v>
      </c>
      <c r="VZA220" s="2" t="s">
        <v>357</v>
      </c>
      <c r="VZB220" s="2" t="s">
        <v>63</v>
      </c>
      <c r="VZC220" s="2" t="s">
        <v>83</v>
      </c>
      <c r="VZD220" s="2" t="s">
        <v>63</v>
      </c>
      <c r="VZE220" s="24">
        <v>434</v>
      </c>
      <c r="VZF220" s="5">
        <v>46174</v>
      </c>
      <c r="VZG220" s="5">
        <v>46174</v>
      </c>
      <c r="VZH220" s="30">
        <f t="shared" ref="VZH220" si="998">VZG220-VZF220</f>
        <v>0</v>
      </c>
      <c r="VZI220" s="5" t="s">
        <v>317</v>
      </c>
      <c r="VZJ220" s="2" t="s">
        <v>22</v>
      </c>
      <c r="VZK220" s="53" t="s">
        <v>334</v>
      </c>
      <c r="VZL220" s="2" t="s">
        <v>513</v>
      </c>
      <c r="VZM220" s="2" t="s">
        <v>25</v>
      </c>
      <c r="VZN220" s="2" t="s">
        <v>393</v>
      </c>
      <c r="VZO220" s="7">
        <v>-74.044305502618698</v>
      </c>
      <c r="VZP220" s="7">
        <v>4.6804459478222702</v>
      </c>
      <c r="VZQ220" s="2" t="s">
        <v>357</v>
      </c>
      <c r="VZR220" s="2" t="s">
        <v>63</v>
      </c>
      <c r="VZS220" s="2" t="s">
        <v>83</v>
      </c>
      <c r="VZT220" s="2" t="s">
        <v>63</v>
      </c>
      <c r="VZU220" s="24">
        <v>434</v>
      </c>
      <c r="VZV220" s="5">
        <v>46174</v>
      </c>
      <c r="VZW220" s="5">
        <v>46174</v>
      </c>
      <c r="VZX220" s="30">
        <f t="shared" ref="VZX220" si="999">VZW220-VZV220</f>
        <v>0</v>
      </c>
      <c r="VZY220" s="5" t="s">
        <v>317</v>
      </c>
      <c r="VZZ220" s="2" t="s">
        <v>22</v>
      </c>
      <c r="WAA220" s="53" t="s">
        <v>334</v>
      </c>
      <c r="WAB220" s="2" t="s">
        <v>513</v>
      </c>
      <c r="WAC220" s="2" t="s">
        <v>25</v>
      </c>
      <c r="WAD220" s="2" t="s">
        <v>393</v>
      </c>
      <c r="WAE220" s="7">
        <v>-74.044305502618698</v>
      </c>
      <c r="WAF220" s="7">
        <v>4.6804459478222702</v>
      </c>
      <c r="WAG220" s="2" t="s">
        <v>357</v>
      </c>
      <c r="WAH220" s="2" t="s">
        <v>63</v>
      </c>
      <c r="WAI220" s="2" t="s">
        <v>83</v>
      </c>
      <c r="WAJ220" s="2" t="s">
        <v>63</v>
      </c>
      <c r="WAK220" s="24">
        <v>434</v>
      </c>
      <c r="WAL220" s="5">
        <v>46174</v>
      </c>
      <c r="WAM220" s="5">
        <v>46174</v>
      </c>
      <c r="WAN220" s="30">
        <f t="shared" ref="WAN220" si="1000">WAM220-WAL220</f>
        <v>0</v>
      </c>
      <c r="WAO220" s="5" t="s">
        <v>317</v>
      </c>
      <c r="WAP220" s="2" t="s">
        <v>22</v>
      </c>
      <c r="WAQ220" s="53" t="s">
        <v>334</v>
      </c>
      <c r="WAR220" s="2" t="s">
        <v>513</v>
      </c>
      <c r="WAS220" s="2" t="s">
        <v>25</v>
      </c>
      <c r="WAT220" s="2" t="s">
        <v>393</v>
      </c>
      <c r="WAU220" s="7">
        <v>-74.044305502618698</v>
      </c>
      <c r="WAV220" s="7">
        <v>4.6804459478222702</v>
      </c>
      <c r="WAW220" s="2" t="s">
        <v>357</v>
      </c>
      <c r="WAX220" s="2" t="s">
        <v>63</v>
      </c>
      <c r="WAY220" s="2" t="s">
        <v>83</v>
      </c>
      <c r="WAZ220" s="2" t="s">
        <v>63</v>
      </c>
      <c r="WBA220" s="24">
        <v>434</v>
      </c>
      <c r="WBB220" s="5">
        <v>46174</v>
      </c>
      <c r="WBC220" s="5">
        <v>46174</v>
      </c>
      <c r="WBD220" s="30">
        <f t="shared" ref="WBD220" si="1001">WBC220-WBB220</f>
        <v>0</v>
      </c>
      <c r="WBE220" s="5" t="s">
        <v>317</v>
      </c>
      <c r="WBF220" s="2" t="s">
        <v>22</v>
      </c>
      <c r="WBG220" s="53" t="s">
        <v>334</v>
      </c>
      <c r="WBH220" s="2" t="s">
        <v>513</v>
      </c>
      <c r="WBI220" s="2" t="s">
        <v>25</v>
      </c>
      <c r="WBJ220" s="2" t="s">
        <v>393</v>
      </c>
      <c r="WBK220" s="7">
        <v>-74.044305502618698</v>
      </c>
      <c r="WBL220" s="7">
        <v>4.6804459478222702</v>
      </c>
      <c r="WBM220" s="2" t="s">
        <v>357</v>
      </c>
      <c r="WBN220" s="2" t="s">
        <v>63</v>
      </c>
      <c r="WBO220" s="2" t="s">
        <v>83</v>
      </c>
      <c r="WBP220" s="2" t="s">
        <v>63</v>
      </c>
      <c r="WBQ220" s="24">
        <v>434</v>
      </c>
      <c r="WBR220" s="5">
        <v>46174</v>
      </c>
      <c r="WBS220" s="5">
        <v>46174</v>
      </c>
      <c r="WBT220" s="30">
        <f t="shared" ref="WBT220" si="1002">WBS220-WBR220</f>
        <v>0</v>
      </c>
      <c r="WBU220" s="5" t="s">
        <v>317</v>
      </c>
      <c r="WBV220" s="2" t="s">
        <v>22</v>
      </c>
      <c r="WBW220" s="53" t="s">
        <v>334</v>
      </c>
      <c r="WBX220" s="2" t="s">
        <v>513</v>
      </c>
      <c r="WBY220" s="2" t="s">
        <v>25</v>
      </c>
      <c r="WBZ220" s="2" t="s">
        <v>393</v>
      </c>
      <c r="WCA220" s="7">
        <v>-74.044305502618698</v>
      </c>
      <c r="WCB220" s="7">
        <v>4.6804459478222702</v>
      </c>
      <c r="WCC220" s="2" t="s">
        <v>357</v>
      </c>
      <c r="WCD220" s="2" t="s">
        <v>63</v>
      </c>
      <c r="WCE220" s="2" t="s">
        <v>83</v>
      </c>
      <c r="WCF220" s="2" t="s">
        <v>63</v>
      </c>
      <c r="WCG220" s="24">
        <v>434</v>
      </c>
      <c r="WCH220" s="5">
        <v>46174</v>
      </c>
      <c r="WCI220" s="5">
        <v>46174</v>
      </c>
      <c r="WCJ220" s="30">
        <f t="shared" ref="WCJ220" si="1003">WCI220-WCH220</f>
        <v>0</v>
      </c>
      <c r="WCK220" s="5" t="s">
        <v>317</v>
      </c>
      <c r="WCL220" s="2" t="s">
        <v>22</v>
      </c>
      <c r="WCM220" s="53" t="s">
        <v>334</v>
      </c>
      <c r="WCN220" s="2" t="s">
        <v>513</v>
      </c>
      <c r="WCO220" s="2" t="s">
        <v>25</v>
      </c>
      <c r="WCP220" s="2" t="s">
        <v>393</v>
      </c>
      <c r="WCQ220" s="7">
        <v>-74.044305502618698</v>
      </c>
      <c r="WCR220" s="7">
        <v>4.6804459478222702</v>
      </c>
      <c r="WCS220" s="2" t="s">
        <v>357</v>
      </c>
      <c r="WCT220" s="2" t="s">
        <v>63</v>
      </c>
      <c r="WCU220" s="2" t="s">
        <v>83</v>
      </c>
      <c r="WCV220" s="2" t="s">
        <v>63</v>
      </c>
      <c r="WCW220" s="24">
        <v>434</v>
      </c>
      <c r="WCX220" s="5">
        <v>46174</v>
      </c>
      <c r="WCY220" s="5">
        <v>46174</v>
      </c>
      <c r="WCZ220" s="30">
        <f t="shared" ref="WCZ220" si="1004">WCY220-WCX220</f>
        <v>0</v>
      </c>
      <c r="WDA220" s="5" t="s">
        <v>317</v>
      </c>
      <c r="WDB220" s="2" t="s">
        <v>22</v>
      </c>
      <c r="WDC220" s="53" t="s">
        <v>334</v>
      </c>
      <c r="WDD220" s="2" t="s">
        <v>513</v>
      </c>
      <c r="WDE220" s="2" t="s">
        <v>25</v>
      </c>
      <c r="WDF220" s="2" t="s">
        <v>393</v>
      </c>
      <c r="WDG220" s="7">
        <v>-74.044305502618698</v>
      </c>
      <c r="WDH220" s="7">
        <v>4.6804459478222702</v>
      </c>
      <c r="WDI220" s="2" t="s">
        <v>357</v>
      </c>
      <c r="WDJ220" s="2" t="s">
        <v>63</v>
      </c>
      <c r="WDK220" s="2" t="s">
        <v>83</v>
      </c>
      <c r="WDL220" s="2" t="s">
        <v>63</v>
      </c>
      <c r="WDM220" s="24">
        <v>434</v>
      </c>
      <c r="WDN220" s="5">
        <v>46174</v>
      </c>
      <c r="WDO220" s="5">
        <v>46174</v>
      </c>
      <c r="WDP220" s="30">
        <f t="shared" ref="WDP220" si="1005">WDO220-WDN220</f>
        <v>0</v>
      </c>
      <c r="WDQ220" s="5" t="s">
        <v>317</v>
      </c>
      <c r="WDR220" s="2" t="s">
        <v>22</v>
      </c>
      <c r="WDS220" s="53" t="s">
        <v>334</v>
      </c>
      <c r="WDT220" s="2" t="s">
        <v>513</v>
      </c>
      <c r="WDU220" s="2" t="s">
        <v>25</v>
      </c>
      <c r="WDV220" s="2" t="s">
        <v>393</v>
      </c>
      <c r="WDW220" s="7">
        <v>-74.044305502618698</v>
      </c>
      <c r="WDX220" s="7">
        <v>4.6804459478222702</v>
      </c>
      <c r="WDY220" s="2" t="s">
        <v>357</v>
      </c>
      <c r="WDZ220" s="2" t="s">
        <v>63</v>
      </c>
      <c r="WEA220" s="2" t="s">
        <v>83</v>
      </c>
      <c r="WEB220" s="2" t="s">
        <v>63</v>
      </c>
      <c r="WEC220" s="24">
        <v>434</v>
      </c>
      <c r="WED220" s="5">
        <v>46174</v>
      </c>
      <c r="WEE220" s="5">
        <v>46174</v>
      </c>
      <c r="WEF220" s="30">
        <f t="shared" ref="WEF220" si="1006">WEE220-WED220</f>
        <v>0</v>
      </c>
      <c r="WEG220" s="5" t="s">
        <v>317</v>
      </c>
      <c r="WEH220" s="2" t="s">
        <v>22</v>
      </c>
      <c r="WEI220" s="53" t="s">
        <v>334</v>
      </c>
      <c r="WEJ220" s="2" t="s">
        <v>513</v>
      </c>
      <c r="WEK220" s="2" t="s">
        <v>25</v>
      </c>
      <c r="WEL220" s="2" t="s">
        <v>393</v>
      </c>
      <c r="WEM220" s="7">
        <v>-74.044305502618698</v>
      </c>
      <c r="WEN220" s="7">
        <v>4.6804459478222702</v>
      </c>
      <c r="WEO220" s="2" t="s">
        <v>357</v>
      </c>
      <c r="WEP220" s="2" t="s">
        <v>63</v>
      </c>
      <c r="WEQ220" s="2" t="s">
        <v>83</v>
      </c>
      <c r="WER220" s="2" t="s">
        <v>63</v>
      </c>
      <c r="WES220" s="24">
        <v>434</v>
      </c>
      <c r="WET220" s="5">
        <v>46174</v>
      </c>
      <c r="WEU220" s="5">
        <v>46174</v>
      </c>
      <c r="WEV220" s="30">
        <f t="shared" ref="WEV220" si="1007">WEU220-WET220</f>
        <v>0</v>
      </c>
      <c r="WEW220" s="5" t="s">
        <v>317</v>
      </c>
      <c r="WEX220" s="2" t="s">
        <v>22</v>
      </c>
      <c r="WEY220" s="53" t="s">
        <v>334</v>
      </c>
      <c r="WEZ220" s="2" t="s">
        <v>513</v>
      </c>
      <c r="WFA220" s="2" t="s">
        <v>25</v>
      </c>
      <c r="WFB220" s="2" t="s">
        <v>393</v>
      </c>
      <c r="WFC220" s="7">
        <v>-74.044305502618698</v>
      </c>
      <c r="WFD220" s="7">
        <v>4.6804459478222702</v>
      </c>
      <c r="WFE220" s="2" t="s">
        <v>357</v>
      </c>
      <c r="WFF220" s="2" t="s">
        <v>63</v>
      </c>
      <c r="WFG220" s="2" t="s">
        <v>83</v>
      </c>
      <c r="WFH220" s="2" t="s">
        <v>63</v>
      </c>
      <c r="WFI220" s="24">
        <v>434</v>
      </c>
      <c r="WFJ220" s="5">
        <v>46174</v>
      </c>
      <c r="WFK220" s="5">
        <v>46174</v>
      </c>
      <c r="WFL220" s="30">
        <f t="shared" ref="WFL220" si="1008">WFK220-WFJ220</f>
        <v>0</v>
      </c>
      <c r="WFM220" s="5" t="s">
        <v>317</v>
      </c>
      <c r="WFN220" s="2" t="s">
        <v>22</v>
      </c>
      <c r="WFO220" s="53" t="s">
        <v>334</v>
      </c>
      <c r="WFP220" s="2" t="s">
        <v>513</v>
      </c>
      <c r="WFQ220" s="2" t="s">
        <v>25</v>
      </c>
      <c r="WFR220" s="2" t="s">
        <v>393</v>
      </c>
      <c r="WFS220" s="7">
        <v>-74.044305502618698</v>
      </c>
      <c r="WFT220" s="7">
        <v>4.6804459478222702</v>
      </c>
      <c r="WFU220" s="2" t="s">
        <v>357</v>
      </c>
      <c r="WFV220" s="2" t="s">
        <v>63</v>
      </c>
      <c r="WFW220" s="2" t="s">
        <v>83</v>
      </c>
      <c r="WFX220" s="2" t="s">
        <v>63</v>
      </c>
      <c r="WFY220" s="24">
        <v>434</v>
      </c>
      <c r="WFZ220" s="5">
        <v>46174</v>
      </c>
      <c r="WGA220" s="5">
        <v>46174</v>
      </c>
      <c r="WGB220" s="30">
        <f t="shared" ref="WGB220" si="1009">WGA220-WFZ220</f>
        <v>0</v>
      </c>
      <c r="WGC220" s="5" t="s">
        <v>317</v>
      </c>
      <c r="WGD220" s="2" t="s">
        <v>22</v>
      </c>
      <c r="WGE220" s="53" t="s">
        <v>334</v>
      </c>
      <c r="WGF220" s="2" t="s">
        <v>513</v>
      </c>
      <c r="WGG220" s="2" t="s">
        <v>25</v>
      </c>
      <c r="WGH220" s="2" t="s">
        <v>393</v>
      </c>
      <c r="WGI220" s="7">
        <v>-74.044305502618698</v>
      </c>
      <c r="WGJ220" s="7">
        <v>4.6804459478222702</v>
      </c>
      <c r="WGK220" s="2" t="s">
        <v>357</v>
      </c>
      <c r="WGL220" s="2" t="s">
        <v>63</v>
      </c>
      <c r="WGM220" s="2" t="s">
        <v>83</v>
      </c>
      <c r="WGN220" s="2" t="s">
        <v>63</v>
      </c>
      <c r="WGO220" s="24">
        <v>434</v>
      </c>
      <c r="WGP220" s="5">
        <v>46174</v>
      </c>
      <c r="WGQ220" s="5">
        <v>46174</v>
      </c>
      <c r="WGR220" s="30">
        <f t="shared" ref="WGR220" si="1010">WGQ220-WGP220</f>
        <v>0</v>
      </c>
      <c r="WGS220" s="5" t="s">
        <v>317</v>
      </c>
      <c r="WGT220" s="2" t="s">
        <v>22</v>
      </c>
      <c r="WGU220" s="53" t="s">
        <v>334</v>
      </c>
      <c r="WGV220" s="2" t="s">
        <v>513</v>
      </c>
      <c r="WGW220" s="2" t="s">
        <v>25</v>
      </c>
      <c r="WGX220" s="2" t="s">
        <v>393</v>
      </c>
      <c r="WGY220" s="7">
        <v>-74.044305502618698</v>
      </c>
      <c r="WGZ220" s="7">
        <v>4.6804459478222702</v>
      </c>
      <c r="WHA220" s="2" t="s">
        <v>357</v>
      </c>
      <c r="WHB220" s="2" t="s">
        <v>63</v>
      </c>
      <c r="WHC220" s="2" t="s">
        <v>83</v>
      </c>
      <c r="WHD220" s="2" t="s">
        <v>63</v>
      </c>
      <c r="WHE220" s="24">
        <v>434</v>
      </c>
      <c r="WHF220" s="5">
        <v>46174</v>
      </c>
      <c r="WHG220" s="5">
        <v>46174</v>
      </c>
      <c r="WHH220" s="30">
        <f t="shared" ref="WHH220" si="1011">WHG220-WHF220</f>
        <v>0</v>
      </c>
      <c r="WHI220" s="5" t="s">
        <v>317</v>
      </c>
      <c r="WHJ220" s="2" t="s">
        <v>22</v>
      </c>
      <c r="WHK220" s="53" t="s">
        <v>334</v>
      </c>
      <c r="WHL220" s="2" t="s">
        <v>513</v>
      </c>
      <c r="WHM220" s="2" t="s">
        <v>25</v>
      </c>
      <c r="WHN220" s="2" t="s">
        <v>393</v>
      </c>
      <c r="WHO220" s="7">
        <v>-74.044305502618698</v>
      </c>
      <c r="WHP220" s="7">
        <v>4.6804459478222702</v>
      </c>
      <c r="WHQ220" s="2" t="s">
        <v>357</v>
      </c>
      <c r="WHR220" s="2" t="s">
        <v>63</v>
      </c>
      <c r="WHS220" s="2" t="s">
        <v>83</v>
      </c>
      <c r="WHT220" s="2" t="s">
        <v>63</v>
      </c>
      <c r="WHU220" s="24">
        <v>434</v>
      </c>
      <c r="WHV220" s="5">
        <v>46174</v>
      </c>
      <c r="WHW220" s="5">
        <v>46174</v>
      </c>
      <c r="WHX220" s="30">
        <f t="shared" ref="WHX220" si="1012">WHW220-WHV220</f>
        <v>0</v>
      </c>
      <c r="WHY220" s="5" t="s">
        <v>317</v>
      </c>
      <c r="WHZ220" s="2" t="s">
        <v>22</v>
      </c>
      <c r="WIA220" s="53" t="s">
        <v>334</v>
      </c>
      <c r="WIB220" s="2" t="s">
        <v>513</v>
      </c>
      <c r="WIC220" s="2" t="s">
        <v>25</v>
      </c>
      <c r="WID220" s="2" t="s">
        <v>393</v>
      </c>
      <c r="WIE220" s="7">
        <v>-74.044305502618698</v>
      </c>
      <c r="WIF220" s="7">
        <v>4.6804459478222702</v>
      </c>
      <c r="WIG220" s="2" t="s">
        <v>357</v>
      </c>
      <c r="WIH220" s="2" t="s">
        <v>63</v>
      </c>
      <c r="WII220" s="2" t="s">
        <v>83</v>
      </c>
      <c r="WIJ220" s="2" t="s">
        <v>63</v>
      </c>
      <c r="WIK220" s="24">
        <v>434</v>
      </c>
      <c r="WIL220" s="5">
        <v>46174</v>
      </c>
      <c r="WIM220" s="5">
        <v>46174</v>
      </c>
      <c r="WIN220" s="30">
        <f t="shared" ref="WIN220" si="1013">WIM220-WIL220</f>
        <v>0</v>
      </c>
      <c r="WIO220" s="5" t="s">
        <v>317</v>
      </c>
      <c r="WIP220" s="2" t="s">
        <v>22</v>
      </c>
      <c r="WIQ220" s="53" t="s">
        <v>334</v>
      </c>
      <c r="WIR220" s="2" t="s">
        <v>513</v>
      </c>
      <c r="WIS220" s="2" t="s">
        <v>25</v>
      </c>
      <c r="WIT220" s="2" t="s">
        <v>393</v>
      </c>
      <c r="WIU220" s="7">
        <v>-74.044305502618698</v>
      </c>
      <c r="WIV220" s="7">
        <v>4.6804459478222702</v>
      </c>
      <c r="WIW220" s="2" t="s">
        <v>357</v>
      </c>
      <c r="WIX220" s="2" t="s">
        <v>63</v>
      </c>
      <c r="WIY220" s="2" t="s">
        <v>83</v>
      </c>
      <c r="WIZ220" s="2" t="s">
        <v>63</v>
      </c>
      <c r="WJA220" s="24">
        <v>434</v>
      </c>
      <c r="WJB220" s="5">
        <v>46174</v>
      </c>
      <c r="WJC220" s="5">
        <v>46174</v>
      </c>
      <c r="WJD220" s="30">
        <f t="shared" ref="WJD220" si="1014">WJC220-WJB220</f>
        <v>0</v>
      </c>
      <c r="WJE220" s="5" t="s">
        <v>317</v>
      </c>
      <c r="WJF220" s="2" t="s">
        <v>22</v>
      </c>
      <c r="WJG220" s="53" t="s">
        <v>334</v>
      </c>
      <c r="WJH220" s="2" t="s">
        <v>513</v>
      </c>
      <c r="WJI220" s="2" t="s">
        <v>25</v>
      </c>
      <c r="WJJ220" s="2" t="s">
        <v>393</v>
      </c>
      <c r="WJK220" s="7">
        <v>-74.044305502618698</v>
      </c>
      <c r="WJL220" s="7">
        <v>4.6804459478222702</v>
      </c>
      <c r="WJM220" s="2" t="s">
        <v>357</v>
      </c>
      <c r="WJN220" s="2" t="s">
        <v>63</v>
      </c>
      <c r="WJO220" s="2" t="s">
        <v>83</v>
      </c>
      <c r="WJP220" s="2" t="s">
        <v>63</v>
      </c>
      <c r="WJQ220" s="24">
        <v>434</v>
      </c>
      <c r="WJR220" s="5">
        <v>46174</v>
      </c>
      <c r="WJS220" s="5">
        <v>46174</v>
      </c>
      <c r="WJT220" s="30">
        <f t="shared" ref="WJT220" si="1015">WJS220-WJR220</f>
        <v>0</v>
      </c>
      <c r="WJU220" s="5" t="s">
        <v>317</v>
      </c>
      <c r="WJV220" s="2" t="s">
        <v>22</v>
      </c>
      <c r="WJW220" s="53" t="s">
        <v>334</v>
      </c>
      <c r="WJX220" s="2" t="s">
        <v>513</v>
      </c>
      <c r="WJY220" s="2" t="s">
        <v>25</v>
      </c>
      <c r="WJZ220" s="2" t="s">
        <v>393</v>
      </c>
      <c r="WKA220" s="7">
        <v>-74.044305502618698</v>
      </c>
      <c r="WKB220" s="7">
        <v>4.6804459478222702</v>
      </c>
      <c r="WKC220" s="2" t="s">
        <v>357</v>
      </c>
      <c r="WKD220" s="2" t="s">
        <v>63</v>
      </c>
      <c r="WKE220" s="2" t="s">
        <v>83</v>
      </c>
      <c r="WKF220" s="2" t="s">
        <v>63</v>
      </c>
      <c r="WKG220" s="24">
        <v>434</v>
      </c>
      <c r="WKH220" s="5">
        <v>46174</v>
      </c>
      <c r="WKI220" s="5">
        <v>46174</v>
      </c>
      <c r="WKJ220" s="30">
        <f t="shared" ref="WKJ220" si="1016">WKI220-WKH220</f>
        <v>0</v>
      </c>
      <c r="WKK220" s="5" t="s">
        <v>317</v>
      </c>
      <c r="WKL220" s="2" t="s">
        <v>22</v>
      </c>
      <c r="WKM220" s="53" t="s">
        <v>334</v>
      </c>
      <c r="WKN220" s="2" t="s">
        <v>513</v>
      </c>
      <c r="WKO220" s="2" t="s">
        <v>25</v>
      </c>
      <c r="WKP220" s="2" t="s">
        <v>393</v>
      </c>
      <c r="WKQ220" s="7">
        <v>-74.044305502618698</v>
      </c>
      <c r="WKR220" s="7">
        <v>4.6804459478222702</v>
      </c>
      <c r="WKS220" s="2" t="s">
        <v>357</v>
      </c>
      <c r="WKT220" s="2" t="s">
        <v>63</v>
      </c>
      <c r="WKU220" s="2" t="s">
        <v>83</v>
      </c>
      <c r="WKV220" s="2" t="s">
        <v>63</v>
      </c>
      <c r="WKW220" s="24">
        <v>434</v>
      </c>
      <c r="WKX220" s="5">
        <v>46174</v>
      </c>
      <c r="WKY220" s="5">
        <v>46174</v>
      </c>
      <c r="WKZ220" s="30">
        <f t="shared" ref="WKZ220" si="1017">WKY220-WKX220</f>
        <v>0</v>
      </c>
      <c r="WLA220" s="5" t="s">
        <v>317</v>
      </c>
      <c r="WLB220" s="2" t="s">
        <v>22</v>
      </c>
      <c r="WLC220" s="53" t="s">
        <v>334</v>
      </c>
      <c r="WLD220" s="2" t="s">
        <v>513</v>
      </c>
      <c r="WLE220" s="2" t="s">
        <v>25</v>
      </c>
      <c r="WLF220" s="2" t="s">
        <v>393</v>
      </c>
      <c r="WLG220" s="7">
        <v>-74.044305502618698</v>
      </c>
      <c r="WLH220" s="7">
        <v>4.6804459478222702</v>
      </c>
      <c r="WLI220" s="2" t="s">
        <v>357</v>
      </c>
      <c r="WLJ220" s="2" t="s">
        <v>63</v>
      </c>
      <c r="WLK220" s="2" t="s">
        <v>83</v>
      </c>
      <c r="WLL220" s="2" t="s">
        <v>63</v>
      </c>
      <c r="WLM220" s="24">
        <v>434</v>
      </c>
      <c r="WLN220" s="5">
        <v>46174</v>
      </c>
      <c r="WLO220" s="5">
        <v>46174</v>
      </c>
      <c r="WLP220" s="30">
        <f t="shared" ref="WLP220" si="1018">WLO220-WLN220</f>
        <v>0</v>
      </c>
      <c r="WLQ220" s="5" t="s">
        <v>317</v>
      </c>
      <c r="WLR220" s="2" t="s">
        <v>22</v>
      </c>
      <c r="WLS220" s="53" t="s">
        <v>334</v>
      </c>
      <c r="WLT220" s="2" t="s">
        <v>513</v>
      </c>
      <c r="WLU220" s="2" t="s">
        <v>25</v>
      </c>
      <c r="WLV220" s="2" t="s">
        <v>393</v>
      </c>
      <c r="WLW220" s="7">
        <v>-74.044305502618698</v>
      </c>
      <c r="WLX220" s="7">
        <v>4.6804459478222702</v>
      </c>
      <c r="WLY220" s="2" t="s">
        <v>357</v>
      </c>
      <c r="WLZ220" s="2" t="s">
        <v>63</v>
      </c>
      <c r="WMA220" s="2" t="s">
        <v>83</v>
      </c>
      <c r="WMB220" s="2" t="s">
        <v>63</v>
      </c>
      <c r="WMC220" s="24">
        <v>434</v>
      </c>
      <c r="WMD220" s="5">
        <v>46174</v>
      </c>
      <c r="WME220" s="5">
        <v>46174</v>
      </c>
      <c r="WMF220" s="30">
        <f t="shared" ref="WMF220" si="1019">WME220-WMD220</f>
        <v>0</v>
      </c>
      <c r="WMG220" s="5" t="s">
        <v>317</v>
      </c>
      <c r="WMH220" s="2" t="s">
        <v>22</v>
      </c>
      <c r="WMI220" s="53" t="s">
        <v>334</v>
      </c>
      <c r="WMJ220" s="2" t="s">
        <v>513</v>
      </c>
      <c r="WMK220" s="2" t="s">
        <v>25</v>
      </c>
      <c r="WML220" s="2" t="s">
        <v>393</v>
      </c>
      <c r="WMM220" s="7">
        <v>-74.044305502618698</v>
      </c>
      <c r="WMN220" s="7">
        <v>4.6804459478222702</v>
      </c>
      <c r="WMO220" s="2" t="s">
        <v>357</v>
      </c>
      <c r="WMP220" s="2" t="s">
        <v>63</v>
      </c>
      <c r="WMQ220" s="2" t="s">
        <v>83</v>
      </c>
      <c r="WMR220" s="2" t="s">
        <v>63</v>
      </c>
      <c r="WMS220" s="24">
        <v>434</v>
      </c>
      <c r="WMT220" s="5">
        <v>46174</v>
      </c>
      <c r="WMU220" s="5">
        <v>46174</v>
      </c>
      <c r="WMV220" s="30">
        <f t="shared" ref="WMV220" si="1020">WMU220-WMT220</f>
        <v>0</v>
      </c>
      <c r="WMW220" s="5" t="s">
        <v>317</v>
      </c>
      <c r="WMX220" s="2" t="s">
        <v>22</v>
      </c>
      <c r="WMY220" s="53" t="s">
        <v>334</v>
      </c>
      <c r="WMZ220" s="2" t="s">
        <v>513</v>
      </c>
      <c r="WNA220" s="2" t="s">
        <v>25</v>
      </c>
      <c r="WNB220" s="2" t="s">
        <v>393</v>
      </c>
      <c r="WNC220" s="7">
        <v>-74.044305502618698</v>
      </c>
      <c r="WND220" s="7">
        <v>4.6804459478222702</v>
      </c>
      <c r="WNE220" s="2" t="s">
        <v>357</v>
      </c>
      <c r="WNF220" s="2" t="s">
        <v>63</v>
      </c>
      <c r="WNG220" s="2" t="s">
        <v>83</v>
      </c>
      <c r="WNH220" s="2" t="s">
        <v>63</v>
      </c>
      <c r="WNI220" s="24">
        <v>434</v>
      </c>
      <c r="WNJ220" s="5">
        <v>46174</v>
      </c>
      <c r="WNK220" s="5">
        <v>46174</v>
      </c>
      <c r="WNL220" s="30">
        <f t="shared" ref="WNL220" si="1021">WNK220-WNJ220</f>
        <v>0</v>
      </c>
      <c r="WNM220" s="5" t="s">
        <v>317</v>
      </c>
      <c r="WNN220" s="2" t="s">
        <v>22</v>
      </c>
      <c r="WNO220" s="53" t="s">
        <v>334</v>
      </c>
      <c r="WNP220" s="2" t="s">
        <v>513</v>
      </c>
      <c r="WNQ220" s="2" t="s">
        <v>25</v>
      </c>
      <c r="WNR220" s="2" t="s">
        <v>393</v>
      </c>
      <c r="WNS220" s="7">
        <v>-74.044305502618698</v>
      </c>
      <c r="WNT220" s="7">
        <v>4.6804459478222702</v>
      </c>
      <c r="WNU220" s="2" t="s">
        <v>357</v>
      </c>
      <c r="WNV220" s="2" t="s">
        <v>63</v>
      </c>
      <c r="WNW220" s="2" t="s">
        <v>83</v>
      </c>
      <c r="WNX220" s="2" t="s">
        <v>63</v>
      </c>
      <c r="WNY220" s="24">
        <v>434</v>
      </c>
      <c r="WNZ220" s="5">
        <v>46174</v>
      </c>
      <c r="WOA220" s="5">
        <v>46174</v>
      </c>
      <c r="WOB220" s="30">
        <f t="shared" ref="WOB220" si="1022">WOA220-WNZ220</f>
        <v>0</v>
      </c>
      <c r="WOC220" s="5" t="s">
        <v>317</v>
      </c>
      <c r="WOD220" s="2" t="s">
        <v>22</v>
      </c>
      <c r="WOE220" s="53" t="s">
        <v>334</v>
      </c>
      <c r="WOF220" s="2" t="s">
        <v>513</v>
      </c>
      <c r="WOG220" s="2" t="s">
        <v>25</v>
      </c>
      <c r="WOH220" s="2" t="s">
        <v>393</v>
      </c>
      <c r="WOI220" s="7">
        <v>-74.044305502618698</v>
      </c>
      <c r="WOJ220" s="7">
        <v>4.6804459478222702</v>
      </c>
      <c r="WOK220" s="2" t="s">
        <v>357</v>
      </c>
      <c r="WOL220" s="2" t="s">
        <v>63</v>
      </c>
      <c r="WOM220" s="2" t="s">
        <v>83</v>
      </c>
      <c r="WON220" s="2" t="s">
        <v>63</v>
      </c>
      <c r="WOO220" s="24">
        <v>434</v>
      </c>
      <c r="WOP220" s="5">
        <v>46174</v>
      </c>
      <c r="WOQ220" s="5">
        <v>46174</v>
      </c>
      <c r="WOR220" s="30">
        <f t="shared" ref="WOR220" si="1023">WOQ220-WOP220</f>
        <v>0</v>
      </c>
      <c r="WOS220" s="5" t="s">
        <v>317</v>
      </c>
      <c r="WOT220" s="2" t="s">
        <v>22</v>
      </c>
      <c r="WOU220" s="53" t="s">
        <v>334</v>
      </c>
      <c r="WOV220" s="2" t="s">
        <v>513</v>
      </c>
      <c r="WOW220" s="2" t="s">
        <v>25</v>
      </c>
      <c r="WOX220" s="2" t="s">
        <v>393</v>
      </c>
      <c r="WOY220" s="7">
        <v>-74.044305502618698</v>
      </c>
      <c r="WOZ220" s="7">
        <v>4.6804459478222702</v>
      </c>
      <c r="WPA220" s="2" t="s">
        <v>357</v>
      </c>
      <c r="WPB220" s="2" t="s">
        <v>63</v>
      </c>
      <c r="WPC220" s="2" t="s">
        <v>83</v>
      </c>
      <c r="WPD220" s="2" t="s">
        <v>63</v>
      </c>
      <c r="WPE220" s="24">
        <v>434</v>
      </c>
      <c r="WPF220" s="5">
        <v>46174</v>
      </c>
      <c r="WPG220" s="5">
        <v>46174</v>
      </c>
      <c r="WPH220" s="30">
        <f t="shared" ref="WPH220" si="1024">WPG220-WPF220</f>
        <v>0</v>
      </c>
      <c r="WPI220" s="5" t="s">
        <v>317</v>
      </c>
      <c r="WPJ220" s="2" t="s">
        <v>22</v>
      </c>
      <c r="WPK220" s="53" t="s">
        <v>334</v>
      </c>
      <c r="WPL220" s="2" t="s">
        <v>513</v>
      </c>
      <c r="WPM220" s="2" t="s">
        <v>25</v>
      </c>
      <c r="WPN220" s="2" t="s">
        <v>393</v>
      </c>
      <c r="WPO220" s="7">
        <v>-74.044305502618698</v>
      </c>
      <c r="WPP220" s="7">
        <v>4.6804459478222702</v>
      </c>
      <c r="WPQ220" s="2" t="s">
        <v>357</v>
      </c>
      <c r="WPR220" s="2" t="s">
        <v>63</v>
      </c>
      <c r="WPS220" s="2" t="s">
        <v>83</v>
      </c>
      <c r="WPT220" s="2" t="s">
        <v>63</v>
      </c>
      <c r="WPU220" s="24">
        <v>434</v>
      </c>
      <c r="WPV220" s="5">
        <v>46174</v>
      </c>
      <c r="WPW220" s="5">
        <v>46174</v>
      </c>
      <c r="WPX220" s="30">
        <f t="shared" ref="WPX220" si="1025">WPW220-WPV220</f>
        <v>0</v>
      </c>
      <c r="WPY220" s="5" t="s">
        <v>317</v>
      </c>
      <c r="WPZ220" s="2" t="s">
        <v>22</v>
      </c>
      <c r="WQA220" s="53" t="s">
        <v>334</v>
      </c>
      <c r="WQB220" s="2" t="s">
        <v>513</v>
      </c>
      <c r="WQC220" s="2" t="s">
        <v>25</v>
      </c>
      <c r="WQD220" s="2" t="s">
        <v>393</v>
      </c>
      <c r="WQE220" s="7">
        <v>-74.044305502618698</v>
      </c>
      <c r="WQF220" s="7">
        <v>4.6804459478222702</v>
      </c>
      <c r="WQG220" s="2" t="s">
        <v>357</v>
      </c>
      <c r="WQH220" s="2" t="s">
        <v>63</v>
      </c>
      <c r="WQI220" s="2" t="s">
        <v>83</v>
      </c>
      <c r="WQJ220" s="2" t="s">
        <v>63</v>
      </c>
      <c r="WQK220" s="24">
        <v>434</v>
      </c>
      <c r="WQL220" s="5">
        <v>46174</v>
      </c>
      <c r="WQM220" s="5">
        <v>46174</v>
      </c>
      <c r="WQN220" s="30">
        <f t="shared" ref="WQN220" si="1026">WQM220-WQL220</f>
        <v>0</v>
      </c>
      <c r="WQO220" s="5" t="s">
        <v>317</v>
      </c>
      <c r="WQP220" s="2" t="s">
        <v>22</v>
      </c>
      <c r="WQQ220" s="53" t="s">
        <v>334</v>
      </c>
      <c r="WQR220" s="2" t="s">
        <v>513</v>
      </c>
      <c r="WQS220" s="2" t="s">
        <v>25</v>
      </c>
      <c r="WQT220" s="2" t="s">
        <v>393</v>
      </c>
      <c r="WQU220" s="7">
        <v>-74.044305502618698</v>
      </c>
      <c r="WQV220" s="7">
        <v>4.6804459478222702</v>
      </c>
      <c r="WQW220" s="2" t="s">
        <v>357</v>
      </c>
      <c r="WQX220" s="2" t="s">
        <v>63</v>
      </c>
      <c r="WQY220" s="2" t="s">
        <v>83</v>
      </c>
      <c r="WQZ220" s="2" t="s">
        <v>63</v>
      </c>
      <c r="WRA220" s="24">
        <v>434</v>
      </c>
      <c r="WRB220" s="5">
        <v>46174</v>
      </c>
      <c r="WRC220" s="5">
        <v>46174</v>
      </c>
      <c r="WRD220" s="30">
        <f t="shared" ref="WRD220" si="1027">WRC220-WRB220</f>
        <v>0</v>
      </c>
      <c r="WRE220" s="5" t="s">
        <v>317</v>
      </c>
      <c r="WRF220" s="2" t="s">
        <v>22</v>
      </c>
      <c r="WRG220" s="53" t="s">
        <v>334</v>
      </c>
      <c r="WRH220" s="2" t="s">
        <v>513</v>
      </c>
      <c r="WRI220" s="2" t="s">
        <v>25</v>
      </c>
      <c r="WRJ220" s="2" t="s">
        <v>393</v>
      </c>
      <c r="WRK220" s="7">
        <v>-74.044305502618698</v>
      </c>
      <c r="WRL220" s="7">
        <v>4.6804459478222702</v>
      </c>
      <c r="WRM220" s="2" t="s">
        <v>357</v>
      </c>
      <c r="WRN220" s="2" t="s">
        <v>63</v>
      </c>
      <c r="WRO220" s="2" t="s">
        <v>83</v>
      </c>
      <c r="WRP220" s="2" t="s">
        <v>63</v>
      </c>
      <c r="WRQ220" s="24">
        <v>434</v>
      </c>
      <c r="WRR220" s="5">
        <v>46174</v>
      </c>
      <c r="WRS220" s="5">
        <v>46174</v>
      </c>
      <c r="WRT220" s="30">
        <f t="shared" ref="WRT220" si="1028">WRS220-WRR220</f>
        <v>0</v>
      </c>
      <c r="WRU220" s="5" t="s">
        <v>317</v>
      </c>
      <c r="WRV220" s="2" t="s">
        <v>22</v>
      </c>
      <c r="WRW220" s="53" t="s">
        <v>334</v>
      </c>
      <c r="WRX220" s="2" t="s">
        <v>513</v>
      </c>
      <c r="WRY220" s="2" t="s">
        <v>25</v>
      </c>
      <c r="WRZ220" s="2" t="s">
        <v>393</v>
      </c>
      <c r="WSA220" s="7">
        <v>-74.044305502618698</v>
      </c>
      <c r="WSB220" s="7">
        <v>4.6804459478222702</v>
      </c>
      <c r="WSC220" s="2" t="s">
        <v>357</v>
      </c>
      <c r="WSD220" s="2" t="s">
        <v>63</v>
      </c>
      <c r="WSE220" s="2" t="s">
        <v>83</v>
      </c>
      <c r="WSF220" s="2" t="s">
        <v>63</v>
      </c>
      <c r="WSG220" s="24">
        <v>434</v>
      </c>
      <c r="WSH220" s="5">
        <v>46174</v>
      </c>
      <c r="WSI220" s="5">
        <v>46174</v>
      </c>
      <c r="WSJ220" s="30">
        <f t="shared" ref="WSJ220" si="1029">WSI220-WSH220</f>
        <v>0</v>
      </c>
      <c r="WSK220" s="5" t="s">
        <v>317</v>
      </c>
      <c r="WSL220" s="2" t="s">
        <v>22</v>
      </c>
      <c r="WSM220" s="53" t="s">
        <v>334</v>
      </c>
      <c r="WSN220" s="2" t="s">
        <v>513</v>
      </c>
      <c r="WSO220" s="2" t="s">
        <v>25</v>
      </c>
      <c r="WSP220" s="2" t="s">
        <v>393</v>
      </c>
      <c r="WSQ220" s="7">
        <v>-74.044305502618698</v>
      </c>
      <c r="WSR220" s="7">
        <v>4.6804459478222702</v>
      </c>
      <c r="WSS220" s="2" t="s">
        <v>357</v>
      </c>
      <c r="WST220" s="2" t="s">
        <v>63</v>
      </c>
      <c r="WSU220" s="2" t="s">
        <v>83</v>
      </c>
      <c r="WSV220" s="2" t="s">
        <v>63</v>
      </c>
      <c r="WSW220" s="24">
        <v>434</v>
      </c>
      <c r="WSX220" s="5">
        <v>46174</v>
      </c>
      <c r="WSY220" s="5">
        <v>46174</v>
      </c>
      <c r="WSZ220" s="30">
        <f t="shared" ref="WSZ220" si="1030">WSY220-WSX220</f>
        <v>0</v>
      </c>
      <c r="WTA220" s="5" t="s">
        <v>317</v>
      </c>
      <c r="WTB220" s="2" t="s">
        <v>22</v>
      </c>
      <c r="WTC220" s="53" t="s">
        <v>334</v>
      </c>
      <c r="WTD220" s="2" t="s">
        <v>513</v>
      </c>
      <c r="WTE220" s="2" t="s">
        <v>25</v>
      </c>
      <c r="WTF220" s="2" t="s">
        <v>393</v>
      </c>
      <c r="WTG220" s="7">
        <v>-74.044305502618698</v>
      </c>
      <c r="WTH220" s="7">
        <v>4.6804459478222702</v>
      </c>
      <c r="WTI220" s="2" t="s">
        <v>357</v>
      </c>
      <c r="WTJ220" s="2" t="s">
        <v>63</v>
      </c>
      <c r="WTK220" s="2" t="s">
        <v>83</v>
      </c>
      <c r="WTL220" s="2" t="s">
        <v>63</v>
      </c>
      <c r="WTM220" s="24">
        <v>434</v>
      </c>
      <c r="WTN220" s="5">
        <v>46174</v>
      </c>
      <c r="WTO220" s="5">
        <v>46174</v>
      </c>
      <c r="WTP220" s="30">
        <f t="shared" ref="WTP220" si="1031">WTO220-WTN220</f>
        <v>0</v>
      </c>
      <c r="WTQ220" s="5" t="s">
        <v>317</v>
      </c>
      <c r="WTR220" s="2" t="s">
        <v>22</v>
      </c>
      <c r="WTS220" s="53" t="s">
        <v>334</v>
      </c>
      <c r="WTT220" s="2" t="s">
        <v>513</v>
      </c>
      <c r="WTU220" s="2" t="s">
        <v>25</v>
      </c>
      <c r="WTV220" s="2" t="s">
        <v>393</v>
      </c>
      <c r="WTW220" s="7">
        <v>-74.044305502618698</v>
      </c>
      <c r="WTX220" s="7">
        <v>4.6804459478222702</v>
      </c>
      <c r="WTY220" s="2" t="s">
        <v>357</v>
      </c>
      <c r="WTZ220" s="2" t="s">
        <v>63</v>
      </c>
      <c r="WUA220" s="2" t="s">
        <v>83</v>
      </c>
      <c r="WUB220" s="2" t="s">
        <v>63</v>
      </c>
      <c r="WUC220" s="24">
        <v>434</v>
      </c>
      <c r="WUD220" s="5">
        <v>46174</v>
      </c>
      <c r="WUE220" s="5">
        <v>46174</v>
      </c>
      <c r="WUF220" s="30">
        <f t="shared" ref="WUF220" si="1032">WUE220-WUD220</f>
        <v>0</v>
      </c>
      <c r="WUG220" s="5" t="s">
        <v>317</v>
      </c>
      <c r="WUH220" s="2" t="s">
        <v>22</v>
      </c>
      <c r="WUI220" s="53" t="s">
        <v>334</v>
      </c>
      <c r="WUJ220" s="2" t="s">
        <v>513</v>
      </c>
      <c r="WUK220" s="2" t="s">
        <v>25</v>
      </c>
      <c r="WUL220" s="2" t="s">
        <v>393</v>
      </c>
      <c r="WUM220" s="7">
        <v>-74.044305502618698</v>
      </c>
      <c r="WUN220" s="7">
        <v>4.6804459478222702</v>
      </c>
      <c r="WUO220" s="2" t="s">
        <v>357</v>
      </c>
      <c r="WUP220" s="2" t="s">
        <v>63</v>
      </c>
      <c r="WUQ220" s="2" t="s">
        <v>83</v>
      </c>
      <c r="WUR220" s="2" t="s">
        <v>63</v>
      </c>
      <c r="WUS220" s="24">
        <v>434</v>
      </c>
      <c r="WUT220" s="5">
        <v>46174</v>
      </c>
      <c r="WUU220" s="5">
        <v>46174</v>
      </c>
      <c r="WUV220" s="30">
        <f t="shared" ref="WUV220" si="1033">WUU220-WUT220</f>
        <v>0</v>
      </c>
      <c r="WUW220" s="5" t="s">
        <v>317</v>
      </c>
      <c r="WUX220" s="2" t="s">
        <v>22</v>
      </c>
      <c r="WUY220" s="53" t="s">
        <v>334</v>
      </c>
      <c r="WUZ220" s="2" t="s">
        <v>513</v>
      </c>
      <c r="WVA220" s="2" t="s">
        <v>25</v>
      </c>
      <c r="WVB220" s="2" t="s">
        <v>393</v>
      </c>
      <c r="WVC220" s="7">
        <v>-74.044305502618698</v>
      </c>
      <c r="WVD220" s="7">
        <v>4.6804459478222702</v>
      </c>
      <c r="WVE220" s="2" t="s">
        <v>357</v>
      </c>
      <c r="WVF220" s="2" t="s">
        <v>63</v>
      </c>
      <c r="WVG220" s="2" t="s">
        <v>83</v>
      </c>
      <c r="WVH220" s="2" t="s">
        <v>63</v>
      </c>
      <c r="WVI220" s="24">
        <v>434</v>
      </c>
      <c r="WVJ220" s="5">
        <v>46174</v>
      </c>
      <c r="WVK220" s="5">
        <v>46174</v>
      </c>
      <c r="WVL220" s="30">
        <f t="shared" ref="WVL220" si="1034">WVK220-WVJ220</f>
        <v>0</v>
      </c>
      <c r="WVM220" s="5" t="s">
        <v>317</v>
      </c>
      <c r="WVN220" s="2" t="s">
        <v>22</v>
      </c>
      <c r="WVO220" s="53" t="s">
        <v>334</v>
      </c>
      <c r="WVP220" s="2" t="s">
        <v>513</v>
      </c>
      <c r="WVQ220" s="2" t="s">
        <v>25</v>
      </c>
      <c r="WVR220" s="2" t="s">
        <v>393</v>
      </c>
      <c r="WVS220" s="7">
        <v>-74.044305502618698</v>
      </c>
      <c r="WVT220" s="7">
        <v>4.6804459478222702</v>
      </c>
      <c r="WVU220" s="2" t="s">
        <v>357</v>
      </c>
      <c r="WVV220" s="2" t="s">
        <v>63</v>
      </c>
      <c r="WVW220" s="2" t="s">
        <v>83</v>
      </c>
      <c r="WVX220" s="2" t="s">
        <v>63</v>
      </c>
      <c r="WVY220" s="24">
        <v>434</v>
      </c>
      <c r="WVZ220" s="5">
        <v>46174</v>
      </c>
      <c r="WWA220" s="5">
        <v>46174</v>
      </c>
      <c r="WWB220" s="30">
        <f t="shared" ref="WWB220" si="1035">WWA220-WVZ220</f>
        <v>0</v>
      </c>
      <c r="WWC220" s="5" t="s">
        <v>317</v>
      </c>
      <c r="WWD220" s="2" t="s">
        <v>22</v>
      </c>
      <c r="WWE220" s="53" t="s">
        <v>334</v>
      </c>
      <c r="WWF220" s="2" t="s">
        <v>513</v>
      </c>
      <c r="WWG220" s="2" t="s">
        <v>25</v>
      </c>
      <c r="WWH220" s="2" t="s">
        <v>393</v>
      </c>
      <c r="WWI220" s="7">
        <v>-74.044305502618698</v>
      </c>
      <c r="WWJ220" s="7">
        <v>4.6804459478222702</v>
      </c>
      <c r="WWK220" s="2" t="s">
        <v>357</v>
      </c>
      <c r="WWL220" s="2" t="s">
        <v>63</v>
      </c>
      <c r="WWM220" s="2" t="s">
        <v>83</v>
      </c>
      <c r="WWN220" s="2" t="s">
        <v>63</v>
      </c>
      <c r="WWO220" s="24">
        <v>434</v>
      </c>
      <c r="WWP220" s="5">
        <v>46174</v>
      </c>
      <c r="WWQ220" s="5">
        <v>46174</v>
      </c>
      <c r="WWR220" s="30">
        <f t="shared" ref="WWR220" si="1036">WWQ220-WWP220</f>
        <v>0</v>
      </c>
      <c r="WWS220" s="5" t="s">
        <v>317</v>
      </c>
      <c r="WWT220" s="2" t="s">
        <v>22</v>
      </c>
      <c r="WWU220" s="53" t="s">
        <v>334</v>
      </c>
      <c r="WWV220" s="2" t="s">
        <v>513</v>
      </c>
      <c r="WWW220" s="2" t="s">
        <v>25</v>
      </c>
      <c r="WWX220" s="2" t="s">
        <v>393</v>
      </c>
      <c r="WWY220" s="7">
        <v>-74.044305502618698</v>
      </c>
      <c r="WWZ220" s="7">
        <v>4.6804459478222702</v>
      </c>
      <c r="WXA220" s="2" t="s">
        <v>357</v>
      </c>
      <c r="WXB220" s="2" t="s">
        <v>63</v>
      </c>
      <c r="WXC220" s="2" t="s">
        <v>83</v>
      </c>
      <c r="WXD220" s="2" t="s">
        <v>63</v>
      </c>
      <c r="WXE220" s="24">
        <v>434</v>
      </c>
      <c r="WXF220" s="5">
        <v>46174</v>
      </c>
      <c r="WXG220" s="5">
        <v>46174</v>
      </c>
      <c r="WXH220" s="30">
        <f t="shared" ref="WXH220" si="1037">WXG220-WXF220</f>
        <v>0</v>
      </c>
      <c r="WXI220" s="5" t="s">
        <v>317</v>
      </c>
      <c r="WXJ220" s="2" t="s">
        <v>22</v>
      </c>
      <c r="WXK220" s="53" t="s">
        <v>334</v>
      </c>
      <c r="WXL220" s="2" t="s">
        <v>513</v>
      </c>
      <c r="WXM220" s="2" t="s">
        <v>25</v>
      </c>
      <c r="WXN220" s="2" t="s">
        <v>393</v>
      </c>
      <c r="WXO220" s="7">
        <v>-74.044305502618698</v>
      </c>
      <c r="WXP220" s="7">
        <v>4.6804459478222702</v>
      </c>
      <c r="WXQ220" s="2" t="s">
        <v>357</v>
      </c>
      <c r="WXR220" s="2" t="s">
        <v>63</v>
      </c>
      <c r="WXS220" s="2" t="s">
        <v>83</v>
      </c>
      <c r="WXT220" s="2" t="s">
        <v>63</v>
      </c>
      <c r="WXU220" s="24">
        <v>434</v>
      </c>
      <c r="WXV220" s="5">
        <v>46174</v>
      </c>
      <c r="WXW220" s="5">
        <v>46174</v>
      </c>
      <c r="WXX220" s="30">
        <f t="shared" ref="WXX220" si="1038">WXW220-WXV220</f>
        <v>0</v>
      </c>
      <c r="WXY220" s="5" t="s">
        <v>317</v>
      </c>
      <c r="WXZ220" s="2" t="s">
        <v>22</v>
      </c>
      <c r="WYA220" s="53" t="s">
        <v>334</v>
      </c>
      <c r="WYB220" s="2" t="s">
        <v>513</v>
      </c>
      <c r="WYC220" s="2" t="s">
        <v>25</v>
      </c>
      <c r="WYD220" s="2" t="s">
        <v>393</v>
      </c>
      <c r="WYE220" s="7">
        <v>-74.044305502618698</v>
      </c>
      <c r="WYF220" s="7">
        <v>4.6804459478222702</v>
      </c>
      <c r="WYG220" s="2" t="s">
        <v>357</v>
      </c>
      <c r="WYH220" s="2" t="s">
        <v>63</v>
      </c>
      <c r="WYI220" s="2" t="s">
        <v>83</v>
      </c>
      <c r="WYJ220" s="2" t="s">
        <v>63</v>
      </c>
      <c r="WYK220" s="24">
        <v>434</v>
      </c>
      <c r="WYL220" s="5">
        <v>46174</v>
      </c>
      <c r="WYM220" s="5">
        <v>46174</v>
      </c>
      <c r="WYN220" s="30">
        <f t="shared" ref="WYN220" si="1039">WYM220-WYL220</f>
        <v>0</v>
      </c>
      <c r="WYO220" s="5" t="s">
        <v>317</v>
      </c>
      <c r="WYP220" s="2" t="s">
        <v>22</v>
      </c>
      <c r="WYQ220" s="53" t="s">
        <v>334</v>
      </c>
      <c r="WYR220" s="2" t="s">
        <v>513</v>
      </c>
      <c r="WYS220" s="2" t="s">
        <v>25</v>
      </c>
      <c r="WYT220" s="2" t="s">
        <v>393</v>
      </c>
      <c r="WYU220" s="7">
        <v>-74.044305502618698</v>
      </c>
      <c r="WYV220" s="7">
        <v>4.6804459478222702</v>
      </c>
      <c r="WYW220" s="2" t="s">
        <v>357</v>
      </c>
      <c r="WYX220" s="2" t="s">
        <v>63</v>
      </c>
      <c r="WYY220" s="2" t="s">
        <v>83</v>
      </c>
      <c r="WYZ220" s="2" t="s">
        <v>63</v>
      </c>
      <c r="WZA220" s="24">
        <v>434</v>
      </c>
      <c r="WZB220" s="5">
        <v>46174</v>
      </c>
      <c r="WZC220" s="5">
        <v>46174</v>
      </c>
      <c r="WZD220" s="30">
        <f t="shared" ref="WZD220" si="1040">WZC220-WZB220</f>
        <v>0</v>
      </c>
      <c r="WZE220" s="5" t="s">
        <v>317</v>
      </c>
      <c r="WZF220" s="2" t="s">
        <v>22</v>
      </c>
      <c r="WZG220" s="53" t="s">
        <v>334</v>
      </c>
      <c r="WZH220" s="2" t="s">
        <v>513</v>
      </c>
      <c r="WZI220" s="2" t="s">
        <v>25</v>
      </c>
      <c r="WZJ220" s="2" t="s">
        <v>393</v>
      </c>
      <c r="WZK220" s="7">
        <v>-74.044305502618698</v>
      </c>
      <c r="WZL220" s="7">
        <v>4.6804459478222702</v>
      </c>
      <c r="WZM220" s="2" t="s">
        <v>357</v>
      </c>
      <c r="WZN220" s="2" t="s">
        <v>63</v>
      </c>
      <c r="WZO220" s="2" t="s">
        <v>83</v>
      </c>
      <c r="WZP220" s="2" t="s">
        <v>63</v>
      </c>
      <c r="WZQ220" s="24">
        <v>434</v>
      </c>
      <c r="WZR220" s="5">
        <v>46174</v>
      </c>
      <c r="WZS220" s="5">
        <v>46174</v>
      </c>
      <c r="WZT220" s="30">
        <f t="shared" ref="WZT220" si="1041">WZS220-WZR220</f>
        <v>0</v>
      </c>
      <c r="WZU220" s="5" t="s">
        <v>317</v>
      </c>
      <c r="WZV220" s="2" t="s">
        <v>22</v>
      </c>
      <c r="WZW220" s="53" t="s">
        <v>334</v>
      </c>
      <c r="WZX220" s="2" t="s">
        <v>513</v>
      </c>
      <c r="WZY220" s="2" t="s">
        <v>25</v>
      </c>
      <c r="WZZ220" s="2" t="s">
        <v>393</v>
      </c>
      <c r="XAA220" s="7">
        <v>-74.044305502618698</v>
      </c>
      <c r="XAB220" s="7">
        <v>4.6804459478222702</v>
      </c>
      <c r="XAC220" s="2" t="s">
        <v>357</v>
      </c>
      <c r="XAD220" s="2" t="s">
        <v>63</v>
      </c>
      <c r="XAE220" s="2" t="s">
        <v>83</v>
      </c>
      <c r="XAF220" s="2" t="s">
        <v>63</v>
      </c>
      <c r="XAG220" s="24">
        <v>434</v>
      </c>
      <c r="XAH220" s="5">
        <v>46174</v>
      </c>
      <c r="XAI220" s="5">
        <v>46174</v>
      </c>
      <c r="XAJ220" s="30">
        <f t="shared" ref="XAJ220" si="1042">XAI220-XAH220</f>
        <v>0</v>
      </c>
      <c r="XAK220" s="5" t="s">
        <v>317</v>
      </c>
      <c r="XAL220" s="2" t="s">
        <v>22</v>
      </c>
      <c r="XAM220" s="53" t="s">
        <v>334</v>
      </c>
      <c r="XAN220" s="2" t="s">
        <v>513</v>
      </c>
      <c r="XAO220" s="2" t="s">
        <v>25</v>
      </c>
      <c r="XAP220" s="2" t="s">
        <v>393</v>
      </c>
      <c r="XAQ220" s="7">
        <v>-74.044305502618698</v>
      </c>
      <c r="XAR220" s="7">
        <v>4.6804459478222702</v>
      </c>
      <c r="XAS220" s="2" t="s">
        <v>357</v>
      </c>
      <c r="XAT220" s="2" t="s">
        <v>63</v>
      </c>
      <c r="XAU220" s="2" t="s">
        <v>83</v>
      </c>
      <c r="XAV220" s="2" t="s">
        <v>63</v>
      </c>
      <c r="XAW220" s="24">
        <v>434</v>
      </c>
      <c r="XAX220" s="5">
        <v>46174</v>
      </c>
      <c r="XAY220" s="5">
        <v>46174</v>
      </c>
      <c r="XAZ220" s="30">
        <f t="shared" ref="XAZ220" si="1043">XAY220-XAX220</f>
        <v>0</v>
      </c>
      <c r="XBA220" s="5" t="s">
        <v>317</v>
      </c>
      <c r="XBB220" s="2" t="s">
        <v>22</v>
      </c>
      <c r="XBC220" s="53" t="s">
        <v>334</v>
      </c>
      <c r="XBD220" s="2" t="s">
        <v>513</v>
      </c>
      <c r="XBE220" s="2" t="s">
        <v>25</v>
      </c>
      <c r="XBF220" s="2" t="s">
        <v>393</v>
      </c>
      <c r="XBG220" s="7">
        <v>-74.044305502618698</v>
      </c>
      <c r="XBH220" s="7">
        <v>4.6804459478222702</v>
      </c>
      <c r="XBI220" s="2" t="s">
        <v>357</v>
      </c>
      <c r="XBJ220" s="2" t="s">
        <v>63</v>
      </c>
      <c r="XBK220" s="2" t="s">
        <v>83</v>
      </c>
      <c r="XBL220" s="2" t="s">
        <v>63</v>
      </c>
      <c r="XBM220" s="24">
        <v>434</v>
      </c>
      <c r="XBN220" s="5">
        <v>46174</v>
      </c>
      <c r="XBO220" s="5">
        <v>46174</v>
      </c>
      <c r="XBP220" s="30">
        <f t="shared" ref="XBP220" si="1044">XBO220-XBN220</f>
        <v>0</v>
      </c>
      <c r="XBQ220" s="5" t="s">
        <v>317</v>
      </c>
      <c r="XBR220" s="2" t="s">
        <v>22</v>
      </c>
      <c r="XBS220" s="53" t="s">
        <v>334</v>
      </c>
      <c r="XBT220" s="2" t="s">
        <v>513</v>
      </c>
      <c r="XBU220" s="2" t="s">
        <v>25</v>
      </c>
      <c r="XBV220" s="2" t="s">
        <v>393</v>
      </c>
      <c r="XBW220" s="7">
        <v>-74.044305502618698</v>
      </c>
      <c r="XBX220" s="7">
        <v>4.6804459478222702</v>
      </c>
      <c r="XBY220" s="2" t="s">
        <v>357</v>
      </c>
      <c r="XBZ220" s="2" t="s">
        <v>63</v>
      </c>
      <c r="XCA220" s="2" t="s">
        <v>83</v>
      </c>
      <c r="XCB220" s="2" t="s">
        <v>63</v>
      </c>
      <c r="XCC220" s="24">
        <v>434</v>
      </c>
      <c r="XCD220" s="5">
        <v>46174</v>
      </c>
      <c r="XCE220" s="5">
        <v>46174</v>
      </c>
      <c r="XCF220" s="30">
        <f t="shared" ref="XCF220" si="1045">XCE220-XCD220</f>
        <v>0</v>
      </c>
      <c r="XCG220" s="5" t="s">
        <v>317</v>
      </c>
      <c r="XCH220" s="2" t="s">
        <v>22</v>
      </c>
      <c r="XCI220" s="53" t="s">
        <v>334</v>
      </c>
      <c r="XCJ220" s="2" t="s">
        <v>513</v>
      </c>
      <c r="XCK220" s="2" t="s">
        <v>25</v>
      </c>
      <c r="XCL220" s="2" t="s">
        <v>393</v>
      </c>
      <c r="XCM220" s="7">
        <v>-74.044305502618698</v>
      </c>
      <c r="XCN220" s="7">
        <v>4.6804459478222702</v>
      </c>
      <c r="XCO220" s="2" t="s">
        <v>357</v>
      </c>
      <c r="XCP220" s="2" t="s">
        <v>63</v>
      </c>
      <c r="XCQ220" s="2" t="s">
        <v>83</v>
      </c>
      <c r="XCR220" s="2" t="s">
        <v>63</v>
      </c>
      <c r="XCS220" s="24">
        <v>434</v>
      </c>
      <c r="XCT220" s="5">
        <v>46174</v>
      </c>
      <c r="XCU220" s="5">
        <v>46174</v>
      </c>
      <c r="XCV220" s="30">
        <f t="shared" ref="XCV220" si="1046">XCU220-XCT220</f>
        <v>0</v>
      </c>
      <c r="XCW220" s="5" t="s">
        <v>317</v>
      </c>
      <c r="XCX220" s="2" t="s">
        <v>22</v>
      </c>
      <c r="XCY220" s="53" t="s">
        <v>334</v>
      </c>
      <c r="XCZ220" s="2" t="s">
        <v>513</v>
      </c>
      <c r="XDA220" s="2" t="s">
        <v>25</v>
      </c>
      <c r="XDB220" s="2" t="s">
        <v>393</v>
      </c>
      <c r="XDC220" s="7">
        <v>-74.044305502618698</v>
      </c>
      <c r="XDD220" s="7">
        <v>4.6804459478222702</v>
      </c>
      <c r="XDE220" s="2" t="s">
        <v>357</v>
      </c>
      <c r="XDF220" s="2" t="s">
        <v>63</v>
      </c>
      <c r="XDG220" s="2" t="s">
        <v>83</v>
      </c>
      <c r="XDH220" s="2" t="s">
        <v>63</v>
      </c>
      <c r="XDI220" s="24">
        <v>434</v>
      </c>
      <c r="XDJ220" s="5">
        <v>46174</v>
      </c>
      <c r="XDK220" s="5">
        <v>46174</v>
      </c>
      <c r="XDL220" s="30">
        <f t="shared" ref="XDL220" si="1047">XDK220-XDJ220</f>
        <v>0</v>
      </c>
      <c r="XDM220" s="5" t="s">
        <v>317</v>
      </c>
      <c r="XDN220" s="2" t="s">
        <v>22</v>
      </c>
      <c r="XDO220" s="53" t="s">
        <v>334</v>
      </c>
      <c r="XDP220" s="2" t="s">
        <v>513</v>
      </c>
      <c r="XDQ220" s="2" t="s">
        <v>25</v>
      </c>
      <c r="XDR220" s="2" t="s">
        <v>393</v>
      </c>
      <c r="XDS220" s="7">
        <v>-74.044305502618698</v>
      </c>
      <c r="XDT220" s="7">
        <v>4.6804459478222702</v>
      </c>
      <c r="XDU220" s="2" t="s">
        <v>357</v>
      </c>
      <c r="XDV220" s="2" t="s">
        <v>63</v>
      </c>
      <c r="XDW220" s="2" t="s">
        <v>83</v>
      </c>
      <c r="XDX220" s="2" t="s">
        <v>63</v>
      </c>
      <c r="XDY220" s="24">
        <v>434</v>
      </c>
      <c r="XDZ220" s="5">
        <v>46174</v>
      </c>
      <c r="XEA220" s="5">
        <v>46174</v>
      </c>
      <c r="XEB220" s="30">
        <f t="shared" ref="XEB220" si="1048">XEA220-XDZ220</f>
        <v>0</v>
      </c>
      <c r="XEC220" s="5" t="s">
        <v>317</v>
      </c>
      <c r="XED220" s="2" t="s">
        <v>22</v>
      </c>
      <c r="XEE220" s="53" t="s">
        <v>334</v>
      </c>
      <c r="XEF220" s="2" t="s">
        <v>513</v>
      </c>
      <c r="XEG220" s="2" t="s">
        <v>25</v>
      </c>
      <c r="XEH220" s="2" t="s">
        <v>393</v>
      </c>
      <c r="XEI220" s="7">
        <v>-74.044305502618698</v>
      </c>
      <c r="XEJ220" s="7">
        <v>4.6804459478222702</v>
      </c>
      <c r="XEK220" s="2" t="s">
        <v>357</v>
      </c>
      <c r="XEL220" s="2" t="s">
        <v>63</v>
      </c>
      <c r="XEM220" s="2" t="s">
        <v>83</v>
      </c>
      <c r="XEN220" s="2" t="s">
        <v>63</v>
      </c>
      <c r="XEO220" s="24">
        <v>434</v>
      </c>
      <c r="XEP220" s="5">
        <v>46174</v>
      </c>
      <c r="XEQ220" s="5">
        <v>46174</v>
      </c>
      <c r="XER220" s="30">
        <f t="shared" ref="XER220" si="1049">XEQ220-XEP220</f>
        <v>0</v>
      </c>
      <c r="XES220" s="5" t="s">
        <v>317</v>
      </c>
      <c r="XET220" s="2" t="s">
        <v>22</v>
      </c>
      <c r="XEU220" s="53" t="s">
        <v>334</v>
      </c>
      <c r="XEV220" s="2" t="s">
        <v>513</v>
      </c>
      <c r="XEW220" s="2" t="s">
        <v>25</v>
      </c>
      <c r="XEX220" s="2" t="s">
        <v>393</v>
      </c>
      <c r="XEY220" s="7">
        <v>-74.044305502618698</v>
      </c>
      <c r="XEZ220" s="7">
        <v>4.6804459478222702</v>
      </c>
      <c r="XFA220" s="2" t="s">
        <v>357</v>
      </c>
      <c r="XFB220" s="2" t="s">
        <v>63</v>
      </c>
      <c r="XFC220" s="2" t="s">
        <v>83</v>
      </c>
      <c r="XFD220" s="2" t="s">
        <v>63</v>
      </c>
    </row>
    <row r="221" spans="1:16384" customFormat="1" ht="15" customHeight="1">
      <c r="A221" s="2">
        <v>221</v>
      </c>
      <c r="B221" s="5">
        <v>46182</v>
      </c>
      <c r="C221" s="5">
        <v>46182</v>
      </c>
      <c r="D221" s="30">
        <f t="shared" si="26"/>
        <v>0</v>
      </c>
      <c r="E221" s="5" t="s">
        <v>254</v>
      </c>
      <c r="F221" s="2" t="s">
        <v>22</v>
      </c>
      <c r="G221" s="17" t="s">
        <v>412</v>
      </c>
      <c r="H221" s="2" t="s">
        <v>514</v>
      </c>
      <c r="I221" s="2" t="s">
        <v>25</v>
      </c>
      <c r="J221" s="2" t="s">
        <v>33</v>
      </c>
      <c r="K221" s="7">
        <v>-74.078030400000003</v>
      </c>
      <c r="L221" s="45">
        <v>4.6936838999999999</v>
      </c>
      <c r="M221" s="17" t="s">
        <v>515</v>
      </c>
      <c r="N221" s="17" t="s">
        <v>40</v>
      </c>
      <c r="O221" s="17"/>
      <c r="P221" s="17"/>
      <c r="Q221" s="17"/>
    </row>
    <row r="222" spans="1:16384" customFormat="1" ht="15" customHeight="1">
      <c r="A222" s="2">
        <v>222</v>
      </c>
      <c r="B222" s="5">
        <v>46182</v>
      </c>
      <c r="C222" s="5">
        <v>46182</v>
      </c>
      <c r="D222" s="30">
        <f t="shared" si="26"/>
        <v>0</v>
      </c>
      <c r="E222" s="5" t="s">
        <v>254</v>
      </c>
      <c r="F222" s="2" t="s">
        <v>22</v>
      </c>
      <c r="G222" s="17" t="s">
        <v>274</v>
      </c>
      <c r="H222" s="2" t="s">
        <v>516</v>
      </c>
      <c r="I222" s="2" t="s">
        <v>25</v>
      </c>
      <c r="J222" s="2" t="s">
        <v>38</v>
      </c>
      <c r="K222" s="7">
        <v>-74.076282599999999</v>
      </c>
      <c r="L222" s="45">
        <v>4.6421019000000001</v>
      </c>
      <c r="M222" s="17" t="s">
        <v>517</v>
      </c>
      <c r="N222" s="17" t="s">
        <v>28</v>
      </c>
      <c r="O222" s="17"/>
      <c r="P222" s="17"/>
      <c r="Q222" s="17"/>
    </row>
    <row r="223" spans="1:16384" customFormat="1" ht="15" customHeight="1">
      <c r="A223" s="2">
        <v>223</v>
      </c>
      <c r="B223" s="5">
        <v>46182</v>
      </c>
      <c r="C223" s="5">
        <v>46182</v>
      </c>
      <c r="D223" s="30">
        <f t="shared" ref="D223:D235" si="1050">C223-B223</f>
        <v>0</v>
      </c>
      <c r="E223" s="5" t="s">
        <v>254</v>
      </c>
      <c r="F223" s="2" t="s">
        <v>22</v>
      </c>
      <c r="G223" s="17" t="s">
        <v>268</v>
      </c>
      <c r="H223" s="2" t="s">
        <v>518</v>
      </c>
      <c r="I223" s="2" t="s">
        <v>25</v>
      </c>
      <c r="J223" s="2" t="s">
        <v>325</v>
      </c>
      <c r="K223" s="10">
        <v>-74.071270150954604</v>
      </c>
      <c r="L223" s="45">
        <v>4.6615793113388797</v>
      </c>
      <c r="M223" s="17" t="s">
        <v>499</v>
      </c>
      <c r="N223" s="17" t="s">
        <v>63</v>
      </c>
      <c r="O223" s="17" t="s">
        <v>519</v>
      </c>
      <c r="P223" s="17" t="s">
        <v>63</v>
      </c>
      <c r="Q223" s="17" t="s">
        <v>520</v>
      </c>
      <c r="R223" s="2" t="s">
        <v>63</v>
      </c>
    </row>
    <row r="224" spans="1:16384" customFormat="1" ht="15" customHeight="1">
      <c r="A224" s="2">
        <v>224</v>
      </c>
      <c r="B224" s="5">
        <v>46182</v>
      </c>
      <c r="C224" s="5">
        <v>46184</v>
      </c>
      <c r="D224" s="30">
        <f t="shared" si="1050"/>
        <v>2</v>
      </c>
      <c r="E224" s="5" t="s">
        <v>317</v>
      </c>
      <c r="F224" s="2" t="s">
        <v>22</v>
      </c>
      <c r="G224" s="53" t="s">
        <v>261</v>
      </c>
      <c r="H224" s="2" t="s">
        <v>521</v>
      </c>
      <c r="I224" s="2" t="s">
        <v>25</v>
      </c>
      <c r="J224" s="2" t="s">
        <v>343</v>
      </c>
      <c r="K224" s="7">
        <v>-74.039874930512397</v>
      </c>
      <c r="L224" s="7">
        <v>4.6804434689838796</v>
      </c>
      <c r="M224" s="17" t="s">
        <v>469</v>
      </c>
      <c r="N224" s="17" t="s">
        <v>40</v>
      </c>
      <c r="O224" s="2"/>
      <c r="P224" s="2"/>
    </row>
    <row r="225" spans="1:30" ht="15" customHeight="1">
      <c r="A225" s="2">
        <v>225</v>
      </c>
      <c r="B225" s="5">
        <v>46182</v>
      </c>
      <c r="C225" s="5">
        <v>46185</v>
      </c>
      <c r="D225" s="30">
        <f t="shared" si="1050"/>
        <v>3</v>
      </c>
      <c r="E225" s="5" t="s">
        <v>317</v>
      </c>
      <c r="F225" s="2" t="s">
        <v>22</v>
      </c>
      <c r="G225" s="53" t="s">
        <v>261</v>
      </c>
      <c r="H225" s="2" t="s">
        <v>522</v>
      </c>
      <c r="I225" s="2" t="s">
        <v>25</v>
      </c>
      <c r="J225" s="2" t="s">
        <v>343</v>
      </c>
      <c r="K225" s="7">
        <v>-74.057155869253904</v>
      </c>
      <c r="L225" s="7">
        <v>4.6847164853299503</v>
      </c>
      <c r="M225" s="17" t="s">
        <v>523</v>
      </c>
      <c r="N225" s="17" t="s">
        <v>40</v>
      </c>
      <c r="O225" s="17" t="s">
        <v>524</v>
      </c>
      <c r="P225" s="17" t="s">
        <v>63</v>
      </c>
    </row>
    <row r="226" spans="1:30" ht="15" customHeight="1">
      <c r="A226" s="2">
        <v>226</v>
      </c>
      <c r="B226" s="5">
        <v>46185</v>
      </c>
      <c r="C226" s="5">
        <v>46189</v>
      </c>
      <c r="D226" s="30">
        <f t="shared" si="1050"/>
        <v>4</v>
      </c>
      <c r="E226" s="5" t="s">
        <v>317</v>
      </c>
      <c r="F226" s="2" t="s">
        <v>22</v>
      </c>
      <c r="G226" s="53" t="s">
        <v>283</v>
      </c>
      <c r="H226" s="2" t="s">
        <v>525</v>
      </c>
      <c r="I226" s="2" t="s">
        <v>25</v>
      </c>
      <c r="J226" s="2" t="s">
        <v>343</v>
      </c>
      <c r="K226" s="7">
        <v>-74.085490777058396</v>
      </c>
      <c r="L226" s="7">
        <v>4.6290417303313802</v>
      </c>
      <c r="M226" s="17" t="s">
        <v>526</v>
      </c>
      <c r="N226" s="17" t="s">
        <v>40</v>
      </c>
      <c r="O226" s="17" t="s">
        <v>527</v>
      </c>
      <c r="P226" s="17" t="s">
        <v>63</v>
      </c>
    </row>
    <row r="227" spans="1:30" ht="15" customHeight="1">
      <c r="A227" s="2">
        <v>227</v>
      </c>
      <c r="B227" s="5">
        <v>46185</v>
      </c>
      <c r="C227" s="5">
        <v>46189</v>
      </c>
      <c r="D227" s="30">
        <f t="shared" si="1050"/>
        <v>4</v>
      </c>
      <c r="E227" s="5" t="s">
        <v>317</v>
      </c>
      <c r="F227" s="2" t="s">
        <v>22</v>
      </c>
      <c r="G227" s="53" t="s">
        <v>261</v>
      </c>
      <c r="H227" s="2" t="s">
        <v>528</v>
      </c>
      <c r="I227" s="2" t="s">
        <v>25</v>
      </c>
      <c r="J227" s="2" t="s">
        <v>343</v>
      </c>
      <c r="K227" s="7">
        <v>-74.051572065841597</v>
      </c>
      <c r="L227" s="7">
        <v>4.6734415157695404</v>
      </c>
      <c r="M227" s="17" t="s">
        <v>529</v>
      </c>
      <c r="N227" s="17" t="s">
        <v>28</v>
      </c>
    </row>
    <row r="228" spans="1:30" ht="15" customHeight="1">
      <c r="A228" s="2">
        <v>228</v>
      </c>
      <c r="B228" s="5">
        <v>46192</v>
      </c>
      <c r="C228" s="5">
        <v>46192</v>
      </c>
      <c r="D228" s="30">
        <f t="shared" si="1050"/>
        <v>0</v>
      </c>
      <c r="E228" s="5" t="s">
        <v>317</v>
      </c>
      <c r="F228" s="2" t="s">
        <v>22</v>
      </c>
      <c r="G228" s="53" t="s">
        <v>261</v>
      </c>
      <c r="H228" s="2" t="s">
        <v>530</v>
      </c>
      <c r="I228" s="2" t="s">
        <v>25</v>
      </c>
      <c r="J228" s="2" t="s">
        <v>38</v>
      </c>
      <c r="K228" s="7">
        <v>-74.060955504833601</v>
      </c>
      <c r="L228" s="7">
        <v>4.6616431746006697</v>
      </c>
      <c r="M228" s="17" t="s">
        <v>531</v>
      </c>
      <c r="N228" s="17" t="s">
        <v>40</v>
      </c>
    </row>
    <row r="229" spans="1:30" ht="15" customHeight="1">
      <c r="A229" s="2">
        <v>229</v>
      </c>
      <c r="B229" s="5">
        <v>46195</v>
      </c>
      <c r="C229" s="5">
        <v>46196</v>
      </c>
      <c r="D229" s="30">
        <f t="shared" si="1050"/>
        <v>1</v>
      </c>
      <c r="E229" s="5" t="s">
        <v>317</v>
      </c>
      <c r="F229" s="2" t="s">
        <v>22</v>
      </c>
      <c r="G229" s="53" t="s">
        <v>283</v>
      </c>
      <c r="H229" s="2" t="s">
        <v>532</v>
      </c>
      <c r="I229" s="2" t="s">
        <v>25</v>
      </c>
      <c r="J229" s="2" t="s">
        <v>343</v>
      </c>
      <c r="K229" s="7">
        <v>-74.080098657396405</v>
      </c>
      <c r="L229" s="7">
        <v>4.6313127346370502</v>
      </c>
      <c r="M229" s="17" t="s">
        <v>527</v>
      </c>
      <c r="N229" s="17" t="s">
        <v>63</v>
      </c>
    </row>
    <row r="230" spans="1:30" ht="15" customHeight="1">
      <c r="A230" s="2">
        <v>230</v>
      </c>
      <c r="B230" s="5">
        <v>46195</v>
      </c>
      <c r="C230" s="5">
        <v>46196</v>
      </c>
      <c r="D230" s="30">
        <f t="shared" si="1050"/>
        <v>1</v>
      </c>
      <c r="E230" s="5" t="s">
        <v>317</v>
      </c>
      <c r="F230" s="2" t="s">
        <v>22</v>
      </c>
      <c r="G230" s="53" t="s">
        <v>415</v>
      </c>
      <c r="H230" s="2" t="s">
        <v>533</v>
      </c>
      <c r="I230" s="2" t="s">
        <v>25</v>
      </c>
      <c r="J230" s="2" t="s">
        <v>343</v>
      </c>
      <c r="K230" s="7">
        <v>-74.131839496410194</v>
      </c>
      <c r="L230" s="7">
        <v>4.6839251258273702</v>
      </c>
      <c r="M230" s="17" t="s">
        <v>534</v>
      </c>
      <c r="N230" s="17" t="s">
        <v>40</v>
      </c>
    </row>
    <row r="231" spans="1:30" ht="15" customHeight="1">
      <c r="A231" s="2">
        <v>231</v>
      </c>
      <c r="B231" s="5">
        <v>46199</v>
      </c>
      <c r="C231" s="5">
        <v>46204</v>
      </c>
      <c r="D231" s="30">
        <f t="shared" si="1050"/>
        <v>5</v>
      </c>
      <c r="E231" s="5" t="s">
        <v>317</v>
      </c>
      <c r="F231" s="2" t="s">
        <v>22</v>
      </c>
      <c r="G231" s="53" t="s">
        <v>535</v>
      </c>
      <c r="H231" s="2" t="s">
        <v>536</v>
      </c>
      <c r="I231" s="2" t="s">
        <v>25</v>
      </c>
      <c r="J231" s="2" t="s">
        <v>343</v>
      </c>
      <c r="K231" s="7">
        <v>-74.138122800000005</v>
      </c>
      <c r="L231" s="7">
        <v>4.5943773999999999</v>
      </c>
      <c r="M231" s="17" t="s">
        <v>537</v>
      </c>
      <c r="N231" s="17" t="s">
        <v>63</v>
      </c>
    </row>
    <row r="232" spans="1:30" ht="15" customHeight="1">
      <c r="A232" s="2">
        <v>232</v>
      </c>
      <c r="B232" s="5">
        <v>46199</v>
      </c>
      <c r="C232" s="5">
        <v>46204</v>
      </c>
      <c r="D232" s="30">
        <f t="shared" si="1050"/>
        <v>5</v>
      </c>
      <c r="E232" s="5" t="s">
        <v>317</v>
      </c>
      <c r="F232" s="2" t="s">
        <v>22</v>
      </c>
      <c r="G232" s="53" t="s">
        <v>261</v>
      </c>
      <c r="H232" s="2" t="s">
        <v>538</v>
      </c>
      <c r="I232" s="2" t="s">
        <v>25</v>
      </c>
      <c r="J232" s="2" t="s">
        <v>38</v>
      </c>
      <c r="K232" s="7">
        <v>-74.056285000000003</v>
      </c>
      <c r="L232" s="7">
        <v>4.6675659999999999</v>
      </c>
      <c r="M232" s="17" t="s">
        <v>66</v>
      </c>
      <c r="N232" s="17" t="s">
        <v>63</v>
      </c>
      <c r="O232" s="17" t="s">
        <v>305</v>
      </c>
      <c r="P232" s="17" t="s">
        <v>63</v>
      </c>
      <c r="Q232" s="17" t="s">
        <v>303</v>
      </c>
      <c r="R232" s="17" t="s">
        <v>63</v>
      </c>
    </row>
    <row r="233" spans="1:30" ht="15" customHeight="1">
      <c r="A233" s="2">
        <v>233</v>
      </c>
      <c r="B233" s="5">
        <v>46209</v>
      </c>
      <c r="C233" s="5">
        <v>46210</v>
      </c>
      <c r="D233" s="30">
        <f t="shared" si="1050"/>
        <v>1</v>
      </c>
      <c r="E233" s="5" t="s">
        <v>539</v>
      </c>
      <c r="F233" s="2" t="s">
        <v>22</v>
      </c>
      <c r="G233" s="17" t="s">
        <v>261</v>
      </c>
      <c r="H233" s="2" t="s">
        <v>540</v>
      </c>
      <c r="I233" s="2" t="s">
        <v>25</v>
      </c>
      <c r="J233" s="2" t="s">
        <v>541</v>
      </c>
      <c r="K233" s="10">
        <v>-74.052672647013296</v>
      </c>
      <c r="L233" s="7">
        <v>4.6750818273700698</v>
      </c>
      <c r="M233" s="17" t="s">
        <v>529</v>
      </c>
      <c r="N233" s="17" t="s">
        <v>40</v>
      </c>
      <c r="R233" s="17"/>
    </row>
    <row r="234" spans="1:30" ht="15" customHeight="1">
      <c r="A234" s="2">
        <v>234</v>
      </c>
      <c r="B234" s="5">
        <v>46209</v>
      </c>
      <c r="C234" s="5">
        <v>46211</v>
      </c>
      <c r="D234" s="30">
        <f t="shared" si="1050"/>
        <v>2</v>
      </c>
      <c r="E234" s="5" t="s">
        <v>539</v>
      </c>
      <c r="F234" s="2" t="s">
        <v>22</v>
      </c>
      <c r="G234" s="17" t="s">
        <v>261</v>
      </c>
      <c r="H234" s="2" t="s">
        <v>542</v>
      </c>
      <c r="I234" s="2" t="s">
        <v>25</v>
      </c>
      <c r="J234" s="2" t="s">
        <v>541</v>
      </c>
      <c r="K234" s="10">
        <v>-74.469213264629104</v>
      </c>
      <c r="L234" s="7">
        <v>4.6812568666386998</v>
      </c>
      <c r="M234" s="17" t="s">
        <v>83</v>
      </c>
      <c r="N234" s="17" t="s">
        <v>28</v>
      </c>
      <c r="R234" s="17"/>
    </row>
    <row r="235" spans="1:30" ht="15" customHeight="1">
      <c r="A235" s="2">
        <v>235</v>
      </c>
      <c r="B235" s="5">
        <v>46217</v>
      </c>
      <c r="C235" s="5">
        <v>46217</v>
      </c>
      <c r="D235" s="30">
        <f t="shared" si="1050"/>
        <v>0</v>
      </c>
      <c r="E235" s="5" t="s">
        <v>539</v>
      </c>
      <c r="F235" s="2" t="s">
        <v>22</v>
      </c>
      <c r="G235" s="17" t="s">
        <v>432</v>
      </c>
      <c r="H235" s="2" t="s">
        <v>543</v>
      </c>
      <c r="I235" s="2" t="s">
        <v>25</v>
      </c>
      <c r="J235" s="2" t="s">
        <v>33</v>
      </c>
      <c r="K235" s="10">
        <v>-74.046168746802806</v>
      </c>
      <c r="L235" s="7">
        <v>4.6988472442618798</v>
      </c>
      <c r="M235" s="17" t="s">
        <v>544</v>
      </c>
      <c r="N235" s="17" t="s">
        <v>40</v>
      </c>
      <c r="R235" s="17"/>
    </row>
    <row r="236" spans="1:30" ht="15" customHeight="1">
      <c r="A236" s="2">
        <v>240</v>
      </c>
      <c r="B236" s="5">
        <v>46226</v>
      </c>
      <c r="C236" s="5">
        <v>46234</v>
      </c>
      <c r="D236" s="30">
        <f t="shared" ref="D236:D244" si="1051">C236-B236</f>
        <v>8</v>
      </c>
      <c r="E236" s="5" t="s">
        <v>545</v>
      </c>
      <c r="F236" s="2" t="s">
        <v>22</v>
      </c>
      <c r="G236" s="17" t="s">
        <v>546</v>
      </c>
      <c r="H236" s="2" t="s">
        <v>547</v>
      </c>
      <c r="I236" s="2" t="s">
        <v>25</v>
      </c>
      <c r="J236" s="2" t="s">
        <v>343</v>
      </c>
      <c r="K236" s="10">
        <v>-74.116799512748798</v>
      </c>
      <c r="L236" s="7">
        <v>4.6417182979219804</v>
      </c>
      <c r="M236" s="2" t="s">
        <v>548</v>
      </c>
      <c r="N236" s="17" t="s">
        <v>40</v>
      </c>
      <c r="O236" s="78" t="s">
        <v>444</v>
      </c>
      <c r="P236" s="17" t="s">
        <v>40</v>
      </c>
      <c r="R236" s="17"/>
      <c r="AD236">
        <v>2</v>
      </c>
    </row>
    <row r="237" spans="1:30" ht="15" customHeight="1">
      <c r="A237" s="2">
        <v>241</v>
      </c>
      <c r="B237" s="5">
        <v>46230</v>
      </c>
      <c r="C237" s="5">
        <v>46230</v>
      </c>
      <c r="D237" s="30">
        <f t="shared" si="1051"/>
        <v>0</v>
      </c>
      <c r="E237" s="5" t="s">
        <v>545</v>
      </c>
      <c r="F237" s="2" t="s">
        <v>22</v>
      </c>
      <c r="G237" s="17" t="s">
        <v>268</v>
      </c>
      <c r="H237" s="2" t="s">
        <v>549</v>
      </c>
      <c r="I237" s="2" t="s">
        <v>25</v>
      </c>
      <c r="J237" s="2" t="s">
        <v>325</v>
      </c>
      <c r="K237" s="10">
        <v>-74.065167980244595</v>
      </c>
      <c r="L237" s="7">
        <v>4.6539134175123804</v>
      </c>
      <c r="M237" s="2" t="s">
        <v>275</v>
      </c>
      <c r="N237" s="17" t="s">
        <v>63</v>
      </c>
      <c r="P237" s="17"/>
      <c r="R237" s="17"/>
      <c r="AD237">
        <v>1</v>
      </c>
    </row>
    <row r="238" spans="1:30" ht="15" customHeight="1">
      <c r="A238" s="2">
        <v>242</v>
      </c>
      <c r="B238" s="5">
        <v>46232</v>
      </c>
      <c r="C238" s="5">
        <v>46233</v>
      </c>
      <c r="D238" s="30">
        <f t="shared" si="1051"/>
        <v>1</v>
      </c>
      <c r="E238" s="5" t="s">
        <v>545</v>
      </c>
      <c r="F238" s="2" t="s">
        <v>22</v>
      </c>
      <c r="G238" s="17" t="s">
        <v>261</v>
      </c>
      <c r="H238" s="2" t="s">
        <v>550</v>
      </c>
      <c r="I238" s="2" t="s">
        <v>25</v>
      </c>
      <c r="J238" s="2" t="s">
        <v>343</v>
      </c>
      <c r="K238" s="7">
        <v>-74.051377858839402</v>
      </c>
      <c r="L238" s="7">
        <v>4.6797218589755696</v>
      </c>
      <c r="M238" s="17" t="s">
        <v>551</v>
      </c>
      <c r="N238" s="17" t="s">
        <v>40</v>
      </c>
      <c r="O238" s="2" t="s">
        <v>401</v>
      </c>
      <c r="P238" s="17" t="s">
        <v>40</v>
      </c>
      <c r="R238" s="17"/>
      <c r="AD238">
        <v>2</v>
      </c>
    </row>
    <row r="239" spans="1:30" ht="15" customHeight="1">
      <c r="A239" s="2">
        <v>243</v>
      </c>
      <c r="B239" s="5">
        <v>46232</v>
      </c>
      <c r="C239" s="5">
        <v>46233</v>
      </c>
      <c r="D239" s="30">
        <f t="shared" si="1051"/>
        <v>1</v>
      </c>
      <c r="E239" s="5" t="s">
        <v>545</v>
      </c>
      <c r="F239" s="2" t="s">
        <v>22</v>
      </c>
      <c r="G239" s="17" t="s">
        <v>314</v>
      </c>
      <c r="H239" s="2" t="s">
        <v>552</v>
      </c>
      <c r="I239" s="2" t="s">
        <v>25</v>
      </c>
      <c r="J239" s="2" t="s">
        <v>343</v>
      </c>
      <c r="K239" s="7">
        <v>-74.145054512117696</v>
      </c>
      <c r="L239" s="7">
        <v>4.6724813334399098</v>
      </c>
      <c r="M239" s="2" t="s">
        <v>316</v>
      </c>
      <c r="N239" s="17" t="s">
        <v>63</v>
      </c>
      <c r="O239" s="2" t="s">
        <v>553</v>
      </c>
      <c r="P239" s="17" t="s">
        <v>63</v>
      </c>
      <c r="Q239" s="2" t="s">
        <v>350</v>
      </c>
      <c r="R239" s="17" t="s">
        <v>63</v>
      </c>
      <c r="AD239">
        <v>3</v>
      </c>
    </row>
    <row r="240" spans="1:30" ht="15" customHeight="1">
      <c r="A240" s="2">
        <v>244</v>
      </c>
      <c r="B240" s="5">
        <v>46237</v>
      </c>
      <c r="C240" s="5">
        <v>46237</v>
      </c>
      <c r="D240" s="30">
        <f t="shared" si="1051"/>
        <v>0</v>
      </c>
      <c r="E240" s="5" t="s">
        <v>545</v>
      </c>
      <c r="F240" s="2" t="s">
        <v>22</v>
      </c>
      <c r="G240" s="17" t="s">
        <v>261</v>
      </c>
      <c r="H240" s="2" t="s">
        <v>554</v>
      </c>
      <c r="I240" s="2" t="s">
        <v>25</v>
      </c>
      <c r="J240" s="2" t="s">
        <v>343</v>
      </c>
      <c r="K240" s="7">
        <v>-7.4053024928171798</v>
      </c>
      <c r="L240" s="80">
        <v>4.6798711636257098</v>
      </c>
      <c r="M240" s="17" t="s">
        <v>551</v>
      </c>
      <c r="N240" s="17" t="s">
        <v>28</v>
      </c>
      <c r="O240" s="17" t="s">
        <v>555</v>
      </c>
      <c r="P240" s="17" t="s">
        <v>63</v>
      </c>
      <c r="R240" s="17"/>
      <c r="AD240">
        <v>2</v>
      </c>
    </row>
    <row r="241" spans="1:30" ht="15" customHeight="1">
      <c r="A241" s="2">
        <v>245</v>
      </c>
      <c r="B241" s="5">
        <v>46237</v>
      </c>
      <c r="C241" s="5">
        <v>46238</v>
      </c>
      <c r="D241" s="30">
        <f t="shared" si="1051"/>
        <v>1</v>
      </c>
      <c r="E241" s="5" t="s">
        <v>545</v>
      </c>
      <c r="F241" s="2" t="s">
        <v>22</v>
      </c>
      <c r="G241" s="17" t="s">
        <v>261</v>
      </c>
      <c r="H241" s="2" t="s">
        <v>556</v>
      </c>
      <c r="I241" s="2" t="s">
        <v>25</v>
      </c>
      <c r="J241" s="2" t="s">
        <v>343</v>
      </c>
      <c r="K241" s="7">
        <v>-74.056970209342396</v>
      </c>
      <c r="L241" s="7">
        <v>4.6720045530536796</v>
      </c>
      <c r="M241" s="17" t="s">
        <v>354</v>
      </c>
      <c r="N241" s="17" t="s">
        <v>28</v>
      </c>
      <c r="O241" s="17"/>
      <c r="P241" s="17"/>
      <c r="R241" s="17"/>
      <c r="AD241">
        <v>1</v>
      </c>
    </row>
    <row r="242" spans="1:30" ht="15" customHeight="1">
      <c r="A242" s="2">
        <v>246</v>
      </c>
      <c r="B242" s="5">
        <v>46237</v>
      </c>
      <c r="C242" s="5">
        <v>46238</v>
      </c>
      <c r="D242" s="30">
        <f t="shared" si="1051"/>
        <v>1</v>
      </c>
      <c r="E242" s="5" t="s">
        <v>545</v>
      </c>
      <c r="F242" s="2" t="s">
        <v>22</v>
      </c>
      <c r="G242" s="17" t="s">
        <v>314</v>
      </c>
      <c r="H242" s="2" t="s">
        <v>557</v>
      </c>
      <c r="I242" s="2" t="s">
        <v>25</v>
      </c>
      <c r="J242" s="2" t="s">
        <v>343</v>
      </c>
      <c r="K242" s="7">
        <v>-74.146110079966704</v>
      </c>
      <c r="L242" s="7">
        <v>4.6722827360732504</v>
      </c>
      <c r="M242" s="17" t="s">
        <v>558</v>
      </c>
      <c r="N242" s="17" t="s">
        <v>28</v>
      </c>
      <c r="O242" s="17"/>
      <c r="P242" s="17"/>
      <c r="R242" s="17"/>
      <c r="AD242">
        <v>1</v>
      </c>
    </row>
    <row r="243" spans="1:30" ht="15" customHeight="1">
      <c r="A243" s="2">
        <v>247</v>
      </c>
      <c r="B243" s="5">
        <v>46237</v>
      </c>
      <c r="C243" s="5">
        <v>46239</v>
      </c>
      <c r="D243" s="30">
        <f t="shared" si="1051"/>
        <v>2</v>
      </c>
      <c r="E243" s="5" t="s">
        <v>545</v>
      </c>
      <c r="F243" s="2" t="s">
        <v>22</v>
      </c>
      <c r="G243" s="17" t="s">
        <v>314</v>
      </c>
      <c r="H243" s="2" t="s">
        <v>559</v>
      </c>
      <c r="I243" s="2" t="s">
        <v>25</v>
      </c>
      <c r="J243" s="2" t="s">
        <v>343</v>
      </c>
      <c r="K243" s="7">
        <v>-74.143100188734607</v>
      </c>
      <c r="L243" s="7">
        <v>4.6748251457772296</v>
      </c>
      <c r="M243" s="17" t="s">
        <v>316</v>
      </c>
      <c r="N243" s="17" t="s">
        <v>40</v>
      </c>
      <c r="O243" s="17"/>
      <c r="P243" s="17"/>
      <c r="R243" s="17"/>
      <c r="AD243">
        <v>1</v>
      </c>
    </row>
    <row r="244" spans="1:30" ht="15" customHeight="1">
      <c r="A244" s="2">
        <v>248</v>
      </c>
      <c r="B244" s="5">
        <v>46239</v>
      </c>
      <c r="C244" s="5">
        <v>46239</v>
      </c>
      <c r="D244" s="30">
        <f t="shared" si="1051"/>
        <v>0</v>
      </c>
      <c r="E244" s="5" t="s">
        <v>545</v>
      </c>
      <c r="F244" s="2" t="s">
        <v>560</v>
      </c>
      <c r="G244" s="17" t="s">
        <v>561</v>
      </c>
      <c r="H244" s="2" t="s">
        <v>562</v>
      </c>
      <c r="I244" s="2" t="s">
        <v>25</v>
      </c>
      <c r="J244" s="2" t="s">
        <v>393</v>
      </c>
      <c r="K244" s="7">
        <v>-75.688222089128402</v>
      </c>
      <c r="L244" s="7">
        <v>4.8082589374506997</v>
      </c>
      <c r="M244" s="17" t="s">
        <v>563</v>
      </c>
      <c r="N244" s="17" t="s">
        <v>28</v>
      </c>
      <c r="O244" s="17" t="s">
        <v>564</v>
      </c>
      <c r="P244" s="17" t="s">
        <v>28</v>
      </c>
      <c r="R244" s="17"/>
      <c r="AD244">
        <v>2</v>
      </c>
    </row>
    <row r="245" spans="1:30" ht="15" customHeight="1">
      <c r="A245" s="2">
        <v>249</v>
      </c>
      <c r="B245" s="5">
        <v>46244</v>
      </c>
      <c r="E245" s="5" t="s">
        <v>545</v>
      </c>
      <c r="F245" s="2" t="s">
        <v>22</v>
      </c>
      <c r="H245" s="17" t="s">
        <v>565</v>
      </c>
      <c r="I245" s="2" t="s">
        <v>25</v>
      </c>
      <c r="J245" s="2" t="s">
        <v>325</v>
      </c>
      <c r="M245" s="17" t="s">
        <v>500</v>
      </c>
      <c r="N245" s="17"/>
      <c r="O245" s="17" t="s">
        <v>515</v>
      </c>
      <c r="P245" s="17"/>
      <c r="R245" s="17"/>
    </row>
    <row r="246" spans="1:30" ht="15" customHeight="1">
      <c r="A246" s="2">
        <v>250</v>
      </c>
      <c r="B246" s="5">
        <v>46244</v>
      </c>
      <c r="E246" s="5" t="s">
        <v>545</v>
      </c>
      <c r="F246" s="2" t="s">
        <v>22</v>
      </c>
      <c r="H246" s="17" t="s">
        <v>566</v>
      </c>
      <c r="I246" s="2" t="s">
        <v>25</v>
      </c>
      <c r="J246" s="2" t="s">
        <v>325</v>
      </c>
      <c r="M246" s="17" t="s">
        <v>243</v>
      </c>
      <c r="N246" s="17" t="s">
        <v>40</v>
      </c>
      <c r="P246" s="17"/>
      <c r="R246" s="17"/>
    </row>
    <row r="247" spans="1:30" ht="15" customHeight="1">
      <c r="A247" s="2">
        <v>251</v>
      </c>
      <c r="B247" s="5">
        <v>46225</v>
      </c>
      <c r="C247" s="5">
        <v>46226</v>
      </c>
      <c r="D247" s="30">
        <f t="shared" ref="D247:D250" si="1052">C247-B247</f>
        <v>1</v>
      </c>
      <c r="E247" s="5" t="s">
        <v>567</v>
      </c>
      <c r="F247" s="2" t="s">
        <v>22</v>
      </c>
      <c r="G247" s="53" t="s">
        <v>286</v>
      </c>
      <c r="H247" s="2" t="s">
        <v>568</v>
      </c>
      <c r="I247" s="2" t="s">
        <v>25</v>
      </c>
      <c r="J247" s="2" t="s">
        <v>569</v>
      </c>
      <c r="K247" s="77">
        <v>-74.068089542329901</v>
      </c>
      <c r="L247" s="7">
        <v>4.6220284091986201</v>
      </c>
      <c r="M247" s="17" t="s">
        <v>570</v>
      </c>
      <c r="N247" s="17" t="s">
        <v>40</v>
      </c>
      <c r="O247" s="17"/>
      <c r="P247" s="17"/>
      <c r="R247" s="17"/>
    </row>
    <row r="248" spans="1:30" ht="15" customHeight="1">
      <c r="A248" s="2">
        <v>252</v>
      </c>
      <c r="B248" s="5">
        <v>46227</v>
      </c>
      <c r="C248" s="5">
        <v>46227</v>
      </c>
      <c r="D248" s="30">
        <f t="shared" si="1052"/>
        <v>0</v>
      </c>
      <c r="E248" s="5" t="s">
        <v>567</v>
      </c>
      <c r="F248" s="2" t="s">
        <v>22</v>
      </c>
      <c r="G248" s="53" t="s">
        <v>270</v>
      </c>
      <c r="H248" s="2" t="s">
        <v>571</v>
      </c>
      <c r="I248" s="2" t="s">
        <v>25</v>
      </c>
      <c r="J248" s="2" t="s">
        <v>38</v>
      </c>
      <c r="K248" s="7">
        <v>-74.0656474074638</v>
      </c>
      <c r="L248" s="7">
        <v>4.6360185529159299</v>
      </c>
      <c r="M248" s="17" t="s">
        <v>572</v>
      </c>
      <c r="N248" s="17" t="s">
        <v>28</v>
      </c>
      <c r="P248" s="17"/>
      <c r="R248" s="17"/>
    </row>
    <row r="249" spans="1:30" ht="15" customHeight="1">
      <c r="A249" s="2">
        <v>253</v>
      </c>
      <c r="B249" s="5">
        <v>46227</v>
      </c>
      <c r="C249" s="5">
        <v>46227</v>
      </c>
      <c r="D249" s="30">
        <f t="shared" si="1052"/>
        <v>0</v>
      </c>
      <c r="E249" s="5" t="s">
        <v>567</v>
      </c>
      <c r="F249" s="2" t="s">
        <v>22</v>
      </c>
      <c r="G249" s="53" t="s">
        <v>270</v>
      </c>
      <c r="H249" s="2" t="s">
        <v>573</v>
      </c>
      <c r="I249" s="2" t="s">
        <v>25</v>
      </c>
      <c r="J249" s="2" t="s">
        <v>38</v>
      </c>
      <c r="K249" s="7">
        <v>-74.065016328233696</v>
      </c>
      <c r="L249" s="7">
        <v>4.6395272423589997</v>
      </c>
      <c r="M249" s="17" t="s">
        <v>574</v>
      </c>
      <c r="N249" s="17" t="s">
        <v>40</v>
      </c>
      <c r="P249" s="17"/>
      <c r="R249" s="17"/>
    </row>
    <row r="250" spans="1:30" ht="15" customHeight="1">
      <c r="A250" s="2">
        <v>254</v>
      </c>
      <c r="B250" s="5">
        <v>46237</v>
      </c>
      <c r="C250" s="5">
        <v>46237</v>
      </c>
      <c r="D250" s="30">
        <f t="shared" si="1052"/>
        <v>0</v>
      </c>
      <c r="E250" s="5" t="s">
        <v>567</v>
      </c>
      <c r="F250" s="2" t="s">
        <v>22</v>
      </c>
      <c r="G250" s="53" t="s">
        <v>286</v>
      </c>
      <c r="H250" s="2" t="s">
        <v>575</v>
      </c>
      <c r="I250" s="2" t="s">
        <v>25</v>
      </c>
      <c r="J250" s="2" t="s">
        <v>569</v>
      </c>
      <c r="K250" s="7">
        <v>-74.068041033945093</v>
      </c>
      <c r="L250" s="7">
        <v>4.6260447043223998</v>
      </c>
      <c r="M250" s="17" t="s">
        <v>576</v>
      </c>
      <c r="N250" s="17" t="s">
        <v>63</v>
      </c>
      <c r="P250" s="17"/>
      <c r="R250" s="17"/>
    </row>
    <row r="251" spans="1:30" ht="15" customHeight="1">
      <c r="A251" s="2">
        <v>255</v>
      </c>
      <c r="B251" s="5">
        <v>46238</v>
      </c>
      <c r="C251" s="5">
        <v>46238</v>
      </c>
      <c r="D251" s="81" t="s">
        <v>577</v>
      </c>
      <c r="E251" s="5" t="s">
        <v>567</v>
      </c>
      <c r="F251" s="2" t="s">
        <v>22</v>
      </c>
      <c r="G251" s="53" t="s">
        <v>578</v>
      </c>
      <c r="H251" s="2" t="s">
        <v>579</v>
      </c>
      <c r="I251" s="2" t="s">
        <v>25</v>
      </c>
      <c r="J251" s="2" t="s">
        <v>569</v>
      </c>
      <c r="K251" s="7">
        <v>-74.106449683355294</v>
      </c>
      <c r="L251" s="7">
        <v>4.6711296365333004</v>
      </c>
      <c r="M251" s="17" t="s">
        <v>580</v>
      </c>
      <c r="N251" s="17" t="s">
        <v>40</v>
      </c>
      <c r="P251" s="17"/>
      <c r="R251" s="17"/>
    </row>
    <row r="252" spans="1:30" ht="15" customHeight="1">
      <c r="A252" s="2">
        <v>256</v>
      </c>
      <c r="B252" s="5">
        <v>46238</v>
      </c>
      <c r="C252" s="5">
        <v>46239</v>
      </c>
      <c r="D252" s="83">
        <f>C252-B252</f>
        <v>1</v>
      </c>
      <c r="E252" s="5" t="s">
        <v>567</v>
      </c>
      <c r="F252" s="2" t="s">
        <v>22</v>
      </c>
      <c r="G252" s="53" t="s">
        <v>281</v>
      </c>
      <c r="H252" s="2" t="s">
        <v>581</v>
      </c>
      <c r="I252" s="2" t="s">
        <v>25</v>
      </c>
      <c r="J252" s="2" t="s">
        <v>569</v>
      </c>
      <c r="K252" s="7">
        <v>-74.028370322132702</v>
      </c>
      <c r="L252" s="7">
        <v>4.7352936613691998</v>
      </c>
      <c r="M252" s="17" t="s">
        <v>282</v>
      </c>
      <c r="N252" s="17" t="s">
        <v>28</v>
      </c>
      <c r="P252" s="17"/>
      <c r="R252" s="17"/>
    </row>
    <row r="253" spans="1:30" ht="15" customHeight="1">
      <c r="A253" s="2">
        <v>257</v>
      </c>
      <c r="B253" s="5">
        <v>46239</v>
      </c>
      <c r="C253" s="5">
        <v>46244</v>
      </c>
      <c r="D253" s="83">
        <v>5</v>
      </c>
      <c r="E253" s="5" t="s">
        <v>567</v>
      </c>
      <c r="F253" s="2" t="s">
        <v>22</v>
      </c>
      <c r="G253" s="53" t="s">
        <v>582</v>
      </c>
      <c r="H253" s="2" t="s">
        <v>583</v>
      </c>
      <c r="I253" s="2" t="s">
        <v>25</v>
      </c>
      <c r="J253" s="2" t="s">
        <v>584</v>
      </c>
      <c r="K253" s="7">
        <v>-74.119741277599303</v>
      </c>
      <c r="L253" s="7">
        <v>4.6853287623087798</v>
      </c>
      <c r="M253" s="17" t="s">
        <v>585</v>
      </c>
      <c r="N253" s="17" t="s">
        <v>28</v>
      </c>
      <c r="P253" s="17"/>
      <c r="R253" s="17"/>
    </row>
    <row r="254" spans="1:30" ht="15" customHeight="1">
      <c r="A254" s="2">
        <v>258</v>
      </c>
      <c r="B254" s="5">
        <v>46245</v>
      </c>
      <c r="C254" s="5">
        <v>46246</v>
      </c>
      <c r="D254" s="83">
        <f t="shared" ref="D254:D256" si="1053">C254-B254</f>
        <v>1</v>
      </c>
      <c r="E254" s="5" t="s">
        <v>567</v>
      </c>
      <c r="F254" s="2" t="s">
        <v>22</v>
      </c>
      <c r="G254" s="53" t="s">
        <v>471</v>
      </c>
      <c r="H254" s="2" t="s">
        <v>586</v>
      </c>
      <c r="I254" s="2" t="s">
        <v>25</v>
      </c>
      <c r="J254" s="2" t="s">
        <v>569</v>
      </c>
      <c r="K254" s="7">
        <v>-74.064033548185805</v>
      </c>
      <c r="L254" s="7">
        <v>4.6885869920992498</v>
      </c>
      <c r="M254" s="17" t="s">
        <v>587</v>
      </c>
      <c r="N254" s="17" t="s">
        <v>28</v>
      </c>
      <c r="P254" s="17"/>
      <c r="R254" s="17"/>
    </row>
    <row r="255" spans="1:30" ht="15" customHeight="1">
      <c r="A255" s="2">
        <v>259</v>
      </c>
      <c r="B255" s="5">
        <v>46245</v>
      </c>
      <c r="C255" s="5">
        <v>46246</v>
      </c>
      <c r="D255" s="82">
        <f t="shared" si="1053"/>
        <v>1</v>
      </c>
      <c r="E255" s="5" t="s">
        <v>567</v>
      </c>
      <c r="F255" s="2" t="s">
        <v>22</v>
      </c>
      <c r="G255" s="53" t="s">
        <v>408</v>
      </c>
      <c r="H255" s="2" t="s">
        <v>588</v>
      </c>
      <c r="I255" s="2" t="s">
        <v>25</v>
      </c>
      <c r="J255" s="2" t="s">
        <v>80</v>
      </c>
      <c r="K255" s="7">
        <v>-74.100561957671204</v>
      </c>
      <c r="L255" s="7">
        <v>4.5978197390696796</v>
      </c>
      <c r="M255" s="17" t="s">
        <v>410</v>
      </c>
      <c r="N255" s="17" t="s">
        <v>63</v>
      </c>
      <c r="P255" s="17"/>
      <c r="R255" s="17"/>
    </row>
    <row r="256" spans="1:30" ht="15" customHeight="1">
      <c r="A256" s="2">
        <v>260</v>
      </c>
      <c r="B256" s="5">
        <v>46245</v>
      </c>
      <c r="C256" s="5">
        <v>46246</v>
      </c>
      <c r="D256" s="82">
        <f t="shared" si="1053"/>
        <v>1</v>
      </c>
      <c r="E256" s="5" t="s">
        <v>567</v>
      </c>
      <c r="F256" s="2" t="s">
        <v>22</v>
      </c>
      <c r="G256" s="53" t="s">
        <v>294</v>
      </c>
      <c r="H256" s="2" t="s">
        <v>589</v>
      </c>
      <c r="I256" s="2" t="s">
        <v>25</v>
      </c>
      <c r="J256" s="2" t="s">
        <v>80</v>
      </c>
      <c r="K256" s="7">
        <v>-74.069683026986795</v>
      </c>
      <c r="L256" s="7">
        <v>4.6109795351958702</v>
      </c>
      <c r="M256" s="2">
        <v>724</v>
      </c>
      <c r="N256" s="17" t="s">
        <v>63</v>
      </c>
      <c r="O256" t="s">
        <v>79</v>
      </c>
      <c r="P256" s="17" t="s">
        <v>28</v>
      </c>
      <c r="R256" s="17"/>
    </row>
    <row r="257" spans="14:18" ht="15" customHeight="1">
      <c r="N257" s="17"/>
      <c r="P257" s="17"/>
      <c r="R257" s="17"/>
    </row>
    <row r="258" spans="14:18" ht="15" customHeight="1">
      <c r="N258" s="17"/>
      <c r="P258" s="17"/>
      <c r="R258" s="17"/>
    </row>
    <row r="259" spans="14:18" ht="15" customHeight="1">
      <c r="N259" s="17"/>
      <c r="P259" s="17"/>
      <c r="R259" s="17"/>
    </row>
    <row r="260" spans="14:18" ht="15" customHeight="1">
      <c r="N260" s="17"/>
      <c r="R260" s="17"/>
    </row>
    <row r="261" spans="14:18" ht="15" customHeight="1">
      <c r="N261" s="17"/>
      <c r="R261" s="17"/>
    </row>
    <row r="262" spans="14:18" ht="15" customHeight="1">
      <c r="N262" s="17"/>
      <c r="R262" s="17"/>
    </row>
    <row r="263" spans="14:18" ht="15" customHeight="1">
      <c r="N263" s="17"/>
      <c r="R263" s="17"/>
    </row>
    <row r="264" spans="14:18" ht="15" customHeight="1">
      <c r="N264" s="17"/>
      <c r="R264" s="17"/>
    </row>
    <row r="265" spans="14:18" ht="15" customHeight="1">
      <c r="N265" s="17"/>
    </row>
    <row r="266" spans="14:18" ht="15" customHeight="1">
      <c r="N266" s="17"/>
    </row>
    <row r="267" spans="14:18" ht="15" customHeight="1">
      <c r="N267" s="17"/>
    </row>
    <row r="268" spans="14:18" ht="15" customHeight="1">
      <c r="N268" s="17"/>
    </row>
    <row r="269" spans="14:18" ht="15" customHeight="1">
      <c r="N269" s="17"/>
    </row>
    <row r="270" spans="14:18" ht="15" customHeight="1">
      <c r="N270" s="17"/>
    </row>
    <row r="271" spans="14:18" ht="15" customHeight="1">
      <c r="N271" s="17"/>
    </row>
    <row r="272" spans="14:18" ht="15" customHeight="1">
      <c r="N272" s="17"/>
    </row>
    <row r="273" spans="14:14" ht="15" customHeight="1">
      <c r="N273" s="17"/>
    </row>
    <row r="274" spans="14:14" ht="15" customHeight="1">
      <c r="N274" s="17"/>
    </row>
    <row r="275" spans="14:14" ht="15" customHeight="1">
      <c r="N275" s="17"/>
    </row>
    <row r="276" spans="14:14" ht="15" customHeight="1">
      <c r="N276" s="17"/>
    </row>
    <row r="277" spans="14:14" ht="15" customHeight="1">
      <c r="N277" s="17"/>
    </row>
    <row r="278" spans="14:14" ht="15" customHeight="1">
      <c r="N278" s="17"/>
    </row>
    <row r="279" spans="14:14" ht="15" customHeight="1">
      <c r="N279" s="17"/>
    </row>
    <row r="280" spans="14:14" ht="15" customHeight="1">
      <c r="N280" s="17"/>
    </row>
    <row r="281" spans="14:14" ht="15" customHeight="1">
      <c r="N281" s="17"/>
    </row>
    <row r="282" spans="14:14" ht="15" customHeight="1">
      <c r="N282" s="17"/>
    </row>
    <row r="283" spans="14:14" ht="15" customHeight="1">
      <c r="N283" s="17"/>
    </row>
    <row r="284" spans="14:14" ht="15" customHeight="1">
      <c r="N284" s="17"/>
    </row>
    <row r="285" spans="14:14" ht="15" customHeight="1">
      <c r="N285" s="17"/>
    </row>
    <row r="286" spans="14:14" ht="15" customHeight="1">
      <c r="N286" s="17"/>
    </row>
    <row r="287" spans="14:14" ht="15" customHeight="1">
      <c r="N287" s="17"/>
    </row>
    <row r="288" spans="14:14" ht="15" customHeight="1">
      <c r="N288" s="17"/>
    </row>
    <row r="289" spans="13:14" ht="15" customHeight="1">
      <c r="N289" s="17"/>
    </row>
    <row r="290" spans="13:14" ht="15" customHeight="1">
      <c r="N290" s="17"/>
    </row>
    <row r="291" spans="13:14" ht="15" customHeight="1">
      <c r="N291" s="17"/>
    </row>
    <row r="292" spans="13:14" ht="15" customHeight="1">
      <c r="N292" s="17"/>
    </row>
    <row r="293" spans="13:14" ht="15" customHeight="1">
      <c r="N293" s="17"/>
    </row>
    <row r="294" spans="13:14" ht="15" customHeight="1">
      <c r="N294" s="17"/>
    </row>
    <row r="295" spans="13:14" ht="15" customHeight="1">
      <c r="N295" s="17"/>
    </row>
    <row r="296" spans="13:14" ht="15" customHeight="1">
      <c r="N296" s="17"/>
    </row>
    <row r="297" spans="13:14" ht="15" customHeight="1">
      <c r="N297" s="17"/>
    </row>
    <row r="298" spans="13:14" ht="15" customHeight="1">
      <c r="N298" s="17"/>
    </row>
    <row r="299" spans="13:14" ht="15" customHeight="1">
      <c r="N299" s="17"/>
    </row>
    <row r="300" spans="13:14" ht="15" customHeight="1">
      <c r="M300">
        <v>4.6461041100858198</v>
      </c>
      <c r="N300" s="17"/>
    </row>
    <row r="301" spans="13:14" ht="15" customHeight="1">
      <c r="N301" s="17"/>
    </row>
    <row r="302" spans="13:14" ht="15" customHeight="1">
      <c r="N302" s="17"/>
    </row>
    <row r="303" spans="13:14" ht="15" customHeight="1">
      <c r="N303" s="17"/>
    </row>
    <row r="304" spans="13:14" ht="15" customHeight="1">
      <c r="N304" s="17"/>
    </row>
    <row r="305" spans="14:14" ht="15" customHeight="1">
      <c r="N305" s="17"/>
    </row>
    <row r="306" spans="14:14" ht="15" customHeight="1">
      <c r="N306" s="17"/>
    </row>
    <row r="307" spans="14:14" ht="15" customHeight="1">
      <c r="N307" s="17"/>
    </row>
    <row r="308" spans="14:14" ht="15" customHeight="1">
      <c r="N308" s="17"/>
    </row>
    <row r="309" spans="14:14" ht="15" customHeight="1">
      <c r="N309" s="17"/>
    </row>
    <row r="310" spans="14:14" ht="15" customHeight="1">
      <c r="N310" s="17"/>
    </row>
    <row r="311" spans="14:14" ht="15" customHeight="1">
      <c r="N311" s="17"/>
    </row>
    <row r="312" spans="14:14" ht="15" customHeight="1">
      <c r="N312" s="17"/>
    </row>
    <row r="313" spans="14:14" ht="15" customHeight="1">
      <c r="N313" s="17"/>
    </row>
    <row r="314" spans="14:14" ht="15" customHeight="1">
      <c r="N314" s="17"/>
    </row>
    <row r="315" spans="14:14" ht="15" customHeight="1">
      <c r="N315" s="17"/>
    </row>
    <row r="316" spans="14:14" ht="15" customHeight="1">
      <c r="N316" s="17"/>
    </row>
    <row r="317" spans="14:14" ht="15" customHeight="1">
      <c r="N317" s="17"/>
    </row>
    <row r="318" spans="14:14" ht="15" customHeight="1">
      <c r="N318" s="17"/>
    </row>
    <row r="319" spans="14:14" ht="15" customHeight="1">
      <c r="N319" s="17"/>
    </row>
    <row r="320" spans="14:14" ht="15" customHeight="1">
      <c r="N320" s="17"/>
    </row>
    <row r="321" spans="12:14" ht="15" customHeight="1">
      <c r="N321" s="17"/>
    </row>
    <row r="322" spans="12:14" ht="15" customHeight="1">
      <c r="N322" s="17"/>
    </row>
    <row r="323" spans="12:14" ht="15" customHeight="1">
      <c r="N323" s="17"/>
    </row>
    <row r="324" spans="12:14" ht="15" customHeight="1">
      <c r="N324" s="17"/>
    </row>
    <row r="325" spans="12:14" ht="15" customHeight="1">
      <c r="N325" s="17"/>
    </row>
    <row r="326" spans="12:14" ht="15" customHeight="1">
      <c r="N326" s="17"/>
    </row>
    <row r="327" spans="12:14" ht="15" customHeight="1">
      <c r="N327" s="17"/>
    </row>
    <row r="328" spans="12:14" ht="15" customHeight="1">
      <c r="N328" s="17"/>
    </row>
    <row r="329" spans="12:14" ht="15" customHeight="1">
      <c r="N329" s="17"/>
    </row>
    <row r="330" spans="12:14" ht="15" customHeight="1">
      <c r="N330" s="17"/>
    </row>
    <row r="331" spans="12:14" ht="15" customHeight="1">
      <c r="N331" s="17"/>
    </row>
    <row r="332" spans="12:14" ht="15" customHeight="1">
      <c r="N332" s="17"/>
    </row>
    <row r="333" spans="12:14" ht="15" customHeight="1">
      <c r="L333" s="7">
        <v>-74.097382680053997</v>
      </c>
      <c r="M333">
        <v>4.6246155696130096</v>
      </c>
      <c r="N333" s="17"/>
    </row>
    <row r="334" spans="12:14" ht="15" customHeight="1">
      <c r="N334" s="17"/>
    </row>
    <row r="335" spans="12:14" ht="15" customHeight="1">
      <c r="N335" s="17"/>
    </row>
    <row r="336" spans="12:14" ht="15" customHeight="1">
      <c r="N336" s="17"/>
    </row>
    <row r="337" spans="14:14" ht="15" customHeight="1">
      <c r="N337" s="17"/>
    </row>
    <row r="338" spans="14:14" ht="15" customHeight="1">
      <c r="N338" s="17"/>
    </row>
    <row r="339" spans="14:14" ht="15" customHeight="1">
      <c r="N339" s="17"/>
    </row>
    <row r="340" spans="14:14" ht="15" customHeight="1">
      <c r="N340" s="17"/>
    </row>
    <row r="341" spans="14:14" ht="15" customHeight="1">
      <c r="N341" s="17"/>
    </row>
    <row r="342" spans="14:14" ht="15" customHeight="1">
      <c r="N342" s="17"/>
    </row>
    <row r="343" spans="14:14" ht="15" customHeight="1">
      <c r="N343" s="17"/>
    </row>
    <row r="344" spans="14:14" ht="15" customHeight="1">
      <c r="N344" s="17"/>
    </row>
    <row r="345" spans="14:14" ht="15" customHeight="1">
      <c r="N345" s="17"/>
    </row>
    <row r="346" spans="14:14" ht="15" customHeight="1">
      <c r="N346" s="17"/>
    </row>
    <row r="347" spans="14:14" ht="15" customHeight="1">
      <c r="N347" s="17"/>
    </row>
    <row r="348" spans="14:14" ht="15" customHeight="1">
      <c r="N348" s="17"/>
    </row>
    <row r="349" spans="14:14" ht="15" customHeight="1">
      <c r="N349" s="17"/>
    </row>
    <row r="350" spans="14:14" ht="15" customHeight="1">
      <c r="N350" s="17"/>
    </row>
    <row r="351" spans="14:14" ht="15" customHeight="1">
      <c r="N351" s="17"/>
    </row>
    <row r="352" spans="14:14" ht="15" customHeight="1">
      <c r="N352" s="17"/>
    </row>
    <row r="353" spans="14:14" ht="15" customHeight="1">
      <c r="N353" s="17"/>
    </row>
    <row r="354" spans="14:14" ht="15" customHeight="1">
      <c r="N354" s="17"/>
    </row>
    <row r="355" spans="14:14" ht="15" customHeight="1">
      <c r="N355" s="17"/>
    </row>
    <row r="356" spans="14:14" ht="15" customHeight="1">
      <c r="N356" s="17"/>
    </row>
    <row r="357" spans="14:14" ht="15" customHeight="1">
      <c r="N357" s="17"/>
    </row>
    <row r="358" spans="14:14" ht="15" customHeight="1">
      <c r="N358" s="17"/>
    </row>
    <row r="359" spans="14:14" ht="15" customHeight="1">
      <c r="N359" s="17"/>
    </row>
    <row r="360" spans="14:14" ht="15" customHeight="1">
      <c r="N360" s="17"/>
    </row>
    <row r="361" spans="14:14" ht="15" customHeight="1">
      <c r="N361" s="17"/>
    </row>
    <row r="362" spans="14:14" ht="15" customHeight="1">
      <c r="N362" s="17"/>
    </row>
    <row r="363" spans="14:14" ht="15" customHeight="1">
      <c r="N363" s="17"/>
    </row>
    <row r="364" spans="14:14" ht="15" customHeight="1">
      <c r="N364" s="17"/>
    </row>
    <row r="365" spans="14:14" ht="15" customHeight="1">
      <c r="N365" s="17"/>
    </row>
    <row r="366" spans="14:14" ht="15" customHeight="1">
      <c r="N366" s="17"/>
    </row>
    <row r="367" spans="14:14" ht="15" customHeight="1">
      <c r="N367" s="17"/>
    </row>
    <row r="368" spans="14:14" ht="15" customHeight="1">
      <c r="N368" s="17"/>
    </row>
    <row r="369" spans="14:14" ht="15" customHeight="1">
      <c r="N369" s="17"/>
    </row>
    <row r="370" spans="14:14" ht="15" customHeight="1">
      <c r="N370" s="17"/>
    </row>
    <row r="371" spans="14:14" ht="15" customHeight="1">
      <c r="N371" s="17"/>
    </row>
    <row r="372" spans="14:14" ht="15" customHeight="1">
      <c r="N372" s="17"/>
    </row>
    <row r="373" spans="14:14" ht="15" customHeight="1">
      <c r="N373" s="17"/>
    </row>
    <row r="374" spans="14:14" ht="15" customHeight="1">
      <c r="N374" s="17"/>
    </row>
    <row r="375" spans="14:14" ht="15" customHeight="1">
      <c r="N375" s="17"/>
    </row>
    <row r="376" spans="14:14" ht="15" customHeight="1">
      <c r="N376" s="17"/>
    </row>
    <row r="377" spans="14:14" ht="15" customHeight="1">
      <c r="N377" s="17"/>
    </row>
    <row r="378" spans="14:14" ht="15" customHeight="1">
      <c r="N378" s="17"/>
    </row>
    <row r="379" spans="14:14" ht="15" customHeight="1">
      <c r="N379" s="17"/>
    </row>
    <row r="380" spans="14:14" ht="15" customHeight="1">
      <c r="N380" s="17"/>
    </row>
    <row r="381" spans="14:14" ht="15" customHeight="1">
      <c r="N381" s="17"/>
    </row>
    <row r="382" spans="14:14" ht="15" customHeight="1">
      <c r="N382" s="17"/>
    </row>
    <row r="383" spans="14:14" ht="15" customHeight="1">
      <c r="N383" s="17"/>
    </row>
    <row r="384" spans="14:14" ht="15" customHeight="1">
      <c r="N384" s="17"/>
    </row>
    <row r="385" spans="14:14" ht="15" customHeight="1">
      <c r="N385" s="17"/>
    </row>
    <row r="386" spans="14:14" ht="15" customHeight="1">
      <c r="N386" s="17"/>
    </row>
    <row r="387" spans="14:14" ht="15" customHeight="1">
      <c r="N387" s="17"/>
    </row>
    <row r="388" spans="14:14" ht="15" customHeight="1">
      <c r="N388" s="17"/>
    </row>
    <row r="389" spans="14:14" ht="15" customHeight="1">
      <c r="N389" s="17"/>
    </row>
    <row r="390" spans="14:14" ht="15" customHeight="1">
      <c r="N390" s="17"/>
    </row>
    <row r="391" spans="14:14" ht="15" customHeight="1">
      <c r="N391" s="17"/>
    </row>
    <row r="392" spans="14:14" ht="15" customHeight="1">
      <c r="N392" s="17"/>
    </row>
    <row r="393" spans="14:14" ht="15" customHeight="1">
      <c r="N393" s="17"/>
    </row>
    <row r="394" spans="14:14" ht="15" customHeight="1">
      <c r="N394" s="17"/>
    </row>
    <row r="395" spans="14:14" ht="15" customHeight="1">
      <c r="N395" s="17"/>
    </row>
    <row r="396" spans="14:14" ht="15" customHeight="1">
      <c r="N396" s="17"/>
    </row>
    <row r="397" spans="14:14" ht="15" customHeight="1">
      <c r="N397" s="17"/>
    </row>
    <row r="398" spans="14:14" ht="15" customHeight="1">
      <c r="N398" s="17"/>
    </row>
    <row r="399" spans="14:14" ht="15" customHeight="1">
      <c r="N399" s="17"/>
    </row>
    <row r="400" spans="14:14" ht="15" customHeight="1">
      <c r="N400" s="17"/>
    </row>
    <row r="401" spans="14:14" ht="15" customHeight="1">
      <c r="N401" s="17"/>
    </row>
    <row r="402" spans="14:14" ht="15" customHeight="1">
      <c r="N402" s="17"/>
    </row>
    <row r="403" spans="14:14" ht="15" customHeight="1">
      <c r="N403" s="17"/>
    </row>
    <row r="404" spans="14:14" ht="15" customHeight="1">
      <c r="N404" s="17"/>
    </row>
    <row r="405" spans="14:14" ht="15" customHeight="1">
      <c r="N405" s="17"/>
    </row>
    <row r="406" spans="14:14" ht="15" customHeight="1">
      <c r="N406" s="17"/>
    </row>
    <row r="407" spans="14:14" ht="15" customHeight="1">
      <c r="N407" s="17"/>
    </row>
    <row r="408" spans="14:14" ht="15" customHeight="1">
      <c r="N408" s="17"/>
    </row>
    <row r="409" spans="14:14" ht="15" customHeight="1">
      <c r="N409" s="17"/>
    </row>
    <row r="410" spans="14:14" ht="15" customHeight="1">
      <c r="N410" s="17"/>
    </row>
    <row r="411" spans="14:14" ht="15" customHeight="1">
      <c r="N411" s="17"/>
    </row>
    <row r="412" spans="14:14" ht="15" customHeight="1">
      <c r="N412" s="17"/>
    </row>
    <row r="413" spans="14:14" ht="15" customHeight="1">
      <c r="N413" s="17"/>
    </row>
    <row r="414" spans="14:14" ht="15" customHeight="1">
      <c r="N414" s="17"/>
    </row>
    <row r="415" spans="14:14" ht="15" customHeight="1">
      <c r="N415" s="17"/>
    </row>
    <row r="416" spans="14:14" ht="15" customHeight="1">
      <c r="N416" s="17"/>
    </row>
    <row r="417" spans="14:14" ht="15" customHeight="1">
      <c r="N417" s="17"/>
    </row>
    <row r="418" spans="14:14" ht="15" customHeight="1">
      <c r="N418" s="17"/>
    </row>
    <row r="419" spans="14:14" ht="15" customHeight="1">
      <c r="N419" s="17"/>
    </row>
    <row r="420" spans="14:14" ht="15" customHeight="1">
      <c r="N420" s="17"/>
    </row>
    <row r="421" spans="14:14" ht="15" customHeight="1">
      <c r="N421" s="17"/>
    </row>
    <row r="422" spans="14:14" ht="15" customHeight="1">
      <c r="N422" s="17"/>
    </row>
    <row r="423" spans="14:14" ht="15" customHeight="1">
      <c r="N423" s="17"/>
    </row>
    <row r="424" spans="14:14" ht="15" customHeight="1">
      <c r="N424" s="17"/>
    </row>
    <row r="425" spans="14:14" ht="15" customHeight="1">
      <c r="N425" s="17"/>
    </row>
    <row r="426" spans="14:14" ht="15" customHeight="1">
      <c r="N426" s="17"/>
    </row>
    <row r="427" spans="14:14" ht="15" customHeight="1">
      <c r="N427" s="17"/>
    </row>
    <row r="428" spans="14:14" ht="15" customHeight="1">
      <c r="N428" s="17"/>
    </row>
    <row r="429" spans="14:14" ht="15" customHeight="1">
      <c r="N429" s="17"/>
    </row>
    <row r="430" spans="14:14" ht="15" customHeight="1">
      <c r="N430" s="17"/>
    </row>
    <row r="431" spans="14:14" ht="15" customHeight="1">
      <c r="N431" s="17"/>
    </row>
    <row r="432" spans="14:14" ht="15" customHeight="1">
      <c r="N432" s="17"/>
    </row>
    <row r="433" spans="14:14" ht="15" customHeight="1">
      <c r="N433" s="17"/>
    </row>
    <row r="434" spans="14:14" ht="15" customHeight="1">
      <c r="N434" s="17"/>
    </row>
    <row r="435" spans="14:14" ht="15" customHeight="1">
      <c r="N435" s="17"/>
    </row>
    <row r="436" spans="14:14" ht="15" customHeight="1">
      <c r="N436" s="17"/>
    </row>
    <row r="437" spans="14:14" ht="15" customHeight="1">
      <c r="N437" s="17"/>
    </row>
    <row r="438" spans="14:14" ht="15" customHeight="1">
      <c r="N438" s="17"/>
    </row>
    <row r="439" spans="14:14" ht="15" customHeight="1">
      <c r="N439" s="17"/>
    </row>
    <row r="440" spans="14:14" ht="15" customHeight="1">
      <c r="N440" s="17"/>
    </row>
    <row r="441" spans="14:14" ht="15" customHeight="1">
      <c r="N441" s="17"/>
    </row>
    <row r="442" spans="14:14" ht="15" customHeight="1">
      <c r="N442" s="17"/>
    </row>
    <row r="443" spans="14:14" ht="15" customHeight="1">
      <c r="N443" s="17"/>
    </row>
    <row r="444" spans="14:14" ht="15" customHeight="1">
      <c r="N444" s="17"/>
    </row>
    <row r="445" spans="14:14" ht="15" customHeight="1">
      <c r="N445" s="17"/>
    </row>
    <row r="446" spans="14:14" ht="15" customHeight="1">
      <c r="N446" s="17"/>
    </row>
    <row r="447" spans="14:14" ht="15" customHeight="1">
      <c r="N447" s="17"/>
    </row>
    <row r="448" spans="14:14" ht="15" customHeight="1">
      <c r="N448" s="17"/>
    </row>
    <row r="449" spans="14:14" ht="15" customHeight="1">
      <c r="N449" s="17"/>
    </row>
    <row r="450" spans="14:14" ht="15" customHeight="1">
      <c r="N450" s="17"/>
    </row>
    <row r="451" spans="14:14" ht="15" customHeight="1">
      <c r="N451" s="17"/>
    </row>
    <row r="452" spans="14:14" ht="15" customHeight="1">
      <c r="N452" s="17"/>
    </row>
    <row r="453" spans="14:14" ht="15" customHeight="1">
      <c r="N453" s="17"/>
    </row>
    <row r="454" spans="14:14" ht="15" customHeight="1">
      <c r="N454" s="17"/>
    </row>
    <row r="455" spans="14:14" ht="15" customHeight="1">
      <c r="N455" s="17"/>
    </row>
    <row r="456" spans="14:14" ht="15" customHeight="1">
      <c r="N456" s="17"/>
    </row>
    <row r="457" spans="14:14" ht="15" customHeight="1">
      <c r="N457" s="17"/>
    </row>
    <row r="458" spans="14:14" ht="15" customHeight="1">
      <c r="N458" s="17"/>
    </row>
    <row r="459" spans="14:14" ht="15" customHeight="1">
      <c r="N459" s="17"/>
    </row>
    <row r="460" spans="14:14" ht="15" customHeight="1">
      <c r="N460" s="17"/>
    </row>
    <row r="461" spans="14:14" ht="15" customHeight="1">
      <c r="N461" s="17"/>
    </row>
    <row r="462" spans="14:14" ht="15" customHeight="1">
      <c r="N462" s="17"/>
    </row>
    <row r="463" spans="14:14" ht="15" customHeight="1">
      <c r="N463" s="17"/>
    </row>
    <row r="464" spans="14:14" ht="15" customHeight="1">
      <c r="N464" s="17"/>
    </row>
    <row r="465" spans="14:14" ht="15" customHeight="1">
      <c r="N465" s="17"/>
    </row>
    <row r="466" spans="14:14" ht="15" customHeight="1">
      <c r="N466" s="17"/>
    </row>
    <row r="467" spans="14:14" ht="15" customHeight="1">
      <c r="N467" s="17"/>
    </row>
    <row r="468" spans="14:14" ht="15" customHeight="1">
      <c r="N468" s="17"/>
    </row>
    <row r="469" spans="14:14" ht="15" customHeight="1">
      <c r="N469" s="17"/>
    </row>
    <row r="470" spans="14:14" ht="15" customHeight="1">
      <c r="N470" s="17"/>
    </row>
    <row r="471" spans="14:14" ht="15" customHeight="1">
      <c r="N471" s="17"/>
    </row>
    <row r="472" spans="14:14" ht="15" customHeight="1">
      <c r="N472" s="17"/>
    </row>
    <row r="473" spans="14:14" ht="15" customHeight="1">
      <c r="N473" s="17"/>
    </row>
    <row r="474" spans="14:14" ht="15" customHeight="1">
      <c r="N474" s="17"/>
    </row>
    <row r="475" spans="14:14" ht="15" customHeight="1">
      <c r="N475" s="17"/>
    </row>
    <row r="476" spans="14:14" ht="15" customHeight="1">
      <c r="N476" s="17"/>
    </row>
    <row r="477" spans="14:14" ht="15" customHeight="1">
      <c r="N477" s="17"/>
    </row>
  </sheetData>
  <autoFilter ref="A1:AE86" xr:uid="{F2CD9E42-5133-4435-8623-0A9C1F4F495F}"/>
  <phoneticPr fontId="2" type="noConversion"/>
  <conditionalFormatting sqref="H152 I157:I178 H179:I179">
    <cfRule type="containsText" dxfId="180" priority="445" operator="containsText" text="Solicitado">
      <formula>NOT(ISERROR(SEARCH("Solicitado",H152)))</formula>
    </cfRule>
    <cfRule type="containsText" dxfId="179" priority="447" operator="containsText" text="Entregado">
      <formula>NOT(ISERROR(SEARCH("Entregado",H152)))</formula>
    </cfRule>
    <cfRule type="containsText" dxfId="178" priority="446" operator="containsText" text="Revisión">
      <formula>NOT(ISERROR(SEARCH("Revisión",H152)))</formula>
    </cfRule>
  </conditionalFormatting>
  <conditionalFormatting sqref="H162">
    <cfRule type="containsText" dxfId="177" priority="394" operator="containsText" text="Solicitado">
      <formula>NOT(ISERROR(SEARCH("Solicitado",H162)))</formula>
    </cfRule>
    <cfRule type="containsText" dxfId="176" priority="396" operator="containsText" text="Entregado">
      <formula>NOT(ISERROR(SEARCH("Entregado",H162)))</formula>
    </cfRule>
    <cfRule type="containsText" dxfId="175" priority="395" operator="containsText" text="Revisión">
      <formula>NOT(ISERROR(SEARCH("Revisión",H162)))</formula>
    </cfRule>
  </conditionalFormatting>
  <conditionalFormatting sqref="H193">
    <cfRule type="containsText" dxfId="174" priority="224" operator="containsText" text="Revisión">
      <formula>NOT(ISERROR(SEARCH("Revisión",H193)))</formula>
    </cfRule>
    <cfRule type="containsText" dxfId="173" priority="223" operator="containsText" text="Solicitado">
      <formula>NOT(ISERROR(SEARCH("Solicitado",H193)))</formula>
    </cfRule>
    <cfRule type="containsText" dxfId="172" priority="225" operator="containsText" text="Entregado">
      <formula>NOT(ISERROR(SEARCH("Entregado",H193)))</formula>
    </cfRule>
  </conditionalFormatting>
  <conditionalFormatting sqref="I1:I130 I134:I149 I152:I156 H183 I185:I187 H219 I257:I1048576">
    <cfRule type="containsText" dxfId="171" priority="534" operator="containsText" text="Solicitado">
      <formula>NOT(ISERROR(SEARCH("Solicitado",H1)))</formula>
    </cfRule>
    <cfRule type="containsText" dxfId="170" priority="533" operator="containsText" text="Entregado">
      <formula>NOT(ISERROR(SEARCH("Entregado",H1)))</formula>
    </cfRule>
    <cfRule type="containsText" dxfId="169" priority="532" operator="containsText" text="Revisión">
      <formula>NOT(ISERROR(SEARCH("Revisión",H1)))</formula>
    </cfRule>
  </conditionalFormatting>
  <conditionalFormatting sqref="I131:I133">
    <cfRule type="containsText" dxfId="168" priority="522" operator="containsText" text="Entregado">
      <formula>NOT(ISERROR(SEARCH("Entregado",I131)))</formula>
    </cfRule>
    <cfRule type="containsText" dxfId="167" priority="521" operator="containsText" text="Revisión">
      <formula>NOT(ISERROR(SEARCH("Revisión",I131)))</formula>
    </cfRule>
    <cfRule type="containsText" dxfId="166" priority="520" operator="containsText" text="Solicitado">
      <formula>NOT(ISERROR(SEARCH("Solicitado",I131)))</formula>
    </cfRule>
  </conditionalFormatting>
  <conditionalFormatting sqref="I150:I151">
    <cfRule type="containsText" dxfId="165" priority="433" operator="containsText" text="Solicitado">
      <formula>NOT(ISERROR(SEARCH("Solicitado",I150)))</formula>
    </cfRule>
    <cfRule type="containsText" dxfId="164" priority="434" operator="containsText" text="Revisión">
      <formula>NOT(ISERROR(SEARCH("Revisión",I150)))</formula>
    </cfRule>
    <cfRule type="containsText" dxfId="163" priority="435" operator="containsText" text="Entregado">
      <formula>NOT(ISERROR(SEARCH("Entregado",I150)))</formula>
    </cfRule>
  </conditionalFormatting>
  <conditionalFormatting sqref="I180:I184">
    <cfRule type="containsText" dxfId="162" priority="259" operator="containsText" text="Solicitado">
      <formula>NOT(ISERROR(SEARCH("Solicitado",I180)))</formula>
    </cfRule>
    <cfRule type="containsText" dxfId="161" priority="261" operator="containsText" text="Entregado">
      <formula>NOT(ISERROR(SEARCH("Entregado",I180)))</formula>
    </cfRule>
    <cfRule type="containsText" dxfId="160" priority="260" operator="containsText" text="Revisión">
      <formula>NOT(ISERROR(SEARCH("Revisión",I180)))</formula>
    </cfRule>
  </conditionalFormatting>
  <conditionalFormatting sqref="I188:I256">
    <cfRule type="containsText" dxfId="159" priority="29" operator="containsText" text="Revisión">
      <formula>NOT(ISERROR(SEARCH("Revisión",I188)))</formula>
    </cfRule>
    <cfRule type="containsText" dxfId="158" priority="30" operator="containsText" text="Entregado">
      <formula>NOT(ISERROR(SEARCH("Entregado",I188)))</formula>
    </cfRule>
    <cfRule type="containsText" dxfId="157" priority="28" operator="containsText" text="Solicitado">
      <formula>NOT(ISERROR(SEARCH("Solicitado",I188)))</formula>
    </cfRule>
  </conditionalFormatting>
  <conditionalFormatting sqref="N2:N205 N207:N477 R232:R264">
    <cfRule type="cellIs" dxfId="156" priority="142" operator="equal">
      <formula>"Bajo"</formula>
    </cfRule>
    <cfRule type="cellIs" dxfId="155" priority="143" operator="equal">
      <formula>"Medio"</formula>
    </cfRule>
    <cfRule type="cellIs" dxfId="154" priority="144" operator="equal">
      <formula>"Alto"</formula>
    </cfRule>
  </conditionalFormatting>
  <conditionalFormatting sqref="P147">
    <cfRule type="cellIs" dxfId="153" priority="343" operator="equal">
      <formula>"Bajo"</formula>
    </cfRule>
    <cfRule type="cellIs" dxfId="152" priority="344" operator="equal">
      <formula>"Medio"</formula>
    </cfRule>
    <cfRule type="cellIs" dxfId="151" priority="345" operator="equal">
      <formula>"Alto"</formula>
    </cfRule>
  </conditionalFormatting>
  <conditionalFormatting sqref="P151:P152">
    <cfRule type="cellIs" dxfId="150" priority="366" operator="equal">
      <formula>"Alto"</formula>
    </cfRule>
    <cfRule type="cellIs" dxfId="149" priority="365" operator="equal">
      <formula>"Medio"</formula>
    </cfRule>
    <cfRule type="cellIs" dxfId="148" priority="364" operator="equal">
      <formula>"Bajo"</formula>
    </cfRule>
  </conditionalFormatting>
  <conditionalFormatting sqref="P155">
    <cfRule type="cellIs" dxfId="147" priority="415" operator="equal">
      <formula>"Bajo"</formula>
    </cfRule>
    <cfRule type="cellIs" dxfId="146" priority="416" operator="equal">
      <formula>"Medio"</formula>
    </cfRule>
    <cfRule type="cellIs" dxfId="145" priority="417" operator="equal">
      <formula>"Alto"</formula>
    </cfRule>
  </conditionalFormatting>
  <conditionalFormatting sqref="P157">
    <cfRule type="cellIs" dxfId="144" priority="408" operator="equal">
      <formula>"Alto"</formula>
    </cfRule>
    <cfRule type="cellIs" dxfId="143" priority="407" operator="equal">
      <formula>"Medio"</formula>
    </cfRule>
    <cfRule type="cellIs" dxfId="142" priority="406" operator="equal">
      <formula>"Bajo"</formula>
    </cfRule>
  </conditionalFormatting>
  <conditionalFormatting sqref="P159">
    <cfRule type="cellIs" dxfId="141" priority="351" operator="equal">
      <formula>"Alto"</formula>
    </cfRule>
    <cfRule type="cellIs" dxfId="140" priority="349" operator="equal">
      <formula>"Bajo"</formula>
    </cfRule>
    <cfRule type="cellIs" dxfId="139" priority="350" operator="equal">
      <formula>"Medio"</formula>
    </cfRule>
  </conditionalFormatting>
  <conditionalFormatting sqref="P161:P163">
    <cfRule type="cellIs" dxfId="138" priority="393" operator="equal">
      <formula>"Alto"</formula>
    </cfRule>
    <cfRule type="cellIs" dxfId="137" priority="392" operator="equal">
      <formula>"Medio"</formula>
    </cfRule>
    <cfRule type="cellIs" dxfId="136" priority="391" operator="equal">
      <formula>"Bajo"</formula>
    </cfRule>
  </conditionalFormatting>
  <conditionalFormatting sqref="P166:P167">
    <cfRule type="cellIs" dxfId="135" priority="363" operator="equal">
      <formula>"Alto"</formula>
    </cfRule>
    <cfRule type="cellIs" dxfId="134" priority="362" operator="equal">
      <formula>"Medio"</formula>
    </cfRule>
    <cfRule type="cellIs" dxfId="133" priority="361" operator="equal">
      <formula>"Bajo"</formula>
    </cfRule>
  </conditionalFormatting>
  <conditionalFormatting sqref="P169:P172">
    <cfRule type="cellIs" dxfId="132" priority="311" operator="equal">
      <formula>"Medio"</formula>
    </cfRule>
    <cfRule type="cellIs" dxfId="131" priority="312" operator="equal">
      <formula>"Alto"</formula>
    </cfRule>
    <cfRule type="cellIs" dxfId="130" priority="310" operator="equal">
      <formula>"Bajo"</formula>
    </cfRule>
  </conditionalFormatting>
  <conditionalFormatting sqref="P175:P176">
    <cfRule type="cellIs" dxfId="129" priority="300" operator="equal">
      <formula>"Alto"</formula>
    </cfRule>
    <cfRule type="cellIs" dxfId="128" priority="298" operator="equal">
      <formula>"Bajo"</formula>
    </cfRule>
    <cfRule type="cellIs" dxfId="127" priority="299" operator="equal">
      <formula>"Medio"</formula>
    </cfRule>
  </conditionalFormatting>
  <conditionalFormatting sqref="P180:P183">
    <cfRule type="cellIs" dxfId="126" priority="234" operator="equal">
      <formula>"Alto"</formula>
    </cfRule>
    <cfRule type="cellIs" dxfId="125" priority="233" operator="equal">
      <formula>"Medio"</formula>
    </cfRule>
    <cfRule type="cellIs" dxfId="124" priority="232" operator="equal">
      <formula>"Bajo"</formula>
    </cfRule>
  </conditionalFormatting>
  <conditionalFormatting sqref="P185">
    <cfRule type="cellIs" dxfId="123" priority="249" operator="equal">
      <formula>"Alto"</formula>
    </cfRule>
    <cfRule type="cellIs" dxfId="122" priority="247" operator="equal">
      <formula>"Bajo"</formula>
    </cfRule>
    <cfRule type="cellIs" dxfId="121" priority="248" operator="equal">
      <formula>"Medio"</formula>
    </cfRule>
  </conditionalFormatting>
  <conditionalFormatting sqref="P187">
    <cfRule type="cellIs" dxfId="120" priority="240" operator="equal">
      <formula>"Alto"</formula>
    </cfRule>
    <cfRule type="cellIs" dxfId="119" priority="239" operator="equal">
      <formula>"Medio"</formula>
    </cfRule>
    <cfRule type="cellIs" dxfId="118" priority="238" operator="equal">
      <formula>"Bajo"</formula>
    </cfRule>
  </conditionalFormatting>
  <conditionalFormatting sqref="P199:P200">
    <cfRule type="cellIs" dxfId="117" priority="200" operator="equal">
      <formula>"Medio"</formula>
    </cfRule>
    <cfRule type="cellIs" dxfId="116" priority="201" operator="equal">
      <formula>"Alto"</formula>
    </cfRule>
    <cfRule type="cellIs" dxfId="115" priority="199" operator="equal">
      <formula>"Bajo"</formula>
    </cfRule>
  </conditionalFormatting>
  <conditionalFormatting sqref="P204">
    <cfRule type="cellIs" dxfId="114" priority="141" operator="equal">
      <formula>"Alto"</formula>
    </cfRule>
    <cfRule type="cellIs" dxfId="113" priority="140" operator="equal">
      <formula>"Medio"</formula>
    </cfRule>
    <cfRule type="cellIs" dxfId="112" priority="139" operator="equal">
      <formula>"Bajo"</formula>
    </cfRule>
  </conditionalFormatting>
  <conditionalFormatting sqref="P209:P210">
    <cfRule type="cellIs" dxfId="111" priority="151" operator="equal">
      <formula>"Bajo"</formula>
    </cfRule>
    <cfRule type="cellIs" dxfId="110" priority="153" operator="equal">
      <formula>"Alto"</formula>
    </cfRule>
    <cfRule type="cellIs" dxfId="109" priority="152" operator="equal">
      <formula>"Medio"</formula>
    </cfRule>
  </conditionalFormatting>
  <conditionalFormatting sqref="P214">
    <cfRule type="cellIs" dxfId="108" priority="159" operator="equal">
      <formula>"Alto"</formula>
    </cfRule>
    <cfRule type="cellIs" dxfId="107" priority="158" operator="equal">
      <formula>"Medio"</formula>
    </cfRule>
    <cfRule type="cellIs" dxfId="106" priority="157" operator="equal">
      <formula>"Bajo"</formula>
    </cfRule>
  </conditionalFormatting>
  <conditionalFormatting sqref="P220 AF220 AV220 BL220 CB220 CR220 DH220 DX220 EN220 FD220 FT220 GJ220 GZ220 HP220 IF220 IV220 JL220 KB220 KR220 LH220 LX220 MN220 ND220 NT220 OJ220 OZ220 PP220 QF220 QV220 RL220 SB220 SR220 TH220 TX220 UN220 VD220 VT220 WJ220 WZ220 XP220 YF220 YV220 ZL220 AAB220 AAR220 ABH220 ABX220 ACN220 ADD220 ADT220 AEJ220 AEZ220 AFP220 AGF220 AGV220 AHL220 AIB220 AIR220 AJH220 AJX220 AKN220 ALD220 ALT220 AMJ220 AMZ220 ANP220 AOF220 AOV220 APL220 AQB220 AQR220 ARH220 ARX220 ASN220 ATD220 ATT220 AUJ220 AUZ220 AVP220 AWF220 AWV220 AXL220 AYB220 AYR220 AZH220 AZX220 BAN220 BBD220 BBT220 BCJ220 BCZ220 BDP220 BEF220 BEV220 BFL220 BGB220 BGR220 BHH220 BHX220 BIN220 BJD220 BJT220 BKJ220 BKZ220 BLP220 BMF220 BMV220 BNL220 BOB220 BOR220 BPH220 BPX220 BQN220 BRD220 BRT220 BSJ220 BSZ220 BTP220 BUF220 BUV220 BVL220 BWB220 BWR220 BXH220 BXX220 BYN220 BZD220 BZT220 CAJ220 CAZ220 CBP220 CCF220 CCV220 CDL220 CEB220 CER220 CFH220 CFX220 CGN220 CHD220 CHT220 CIJ220 CIZ220 CJP220 CKF220 CKV220 CLL220 CMB220 CMR220 CNH220 CNX220 CON220 CPD220 CPT220 CQJ220 CQZ220 CRP220 CSF220 CSV220 CTL220 CUB220 CUR220 CVH220 CVX220 CWN220 CXD220 CXT220 CYJ220 CYZ220 CZP220 DAF220 DAV220 DBL220 DCB220 DCR220 DDH220 DDX220 DEN220 DFD220 DFT220 DGJ220 DGZ220 DHP220 DIF220 DIV220 DJL220 DKB220 DKR220 DLH220 DLX220 DMN220 DND220 DNT220 DOJ220 DOZ220 DPP220 DQF220 DQV220 DRL220 DSB220 DSR220 DTH220 DTX220 DUN220 DVD220 DVT220 DWJ220 DWZ220 DXP220 DYF220 DYV220 DZL220 EAB220 EAR220 EBH220 EBX220 ECN220 EDD220 EDT220 EEJ220 EEZ220 EFP220 EGF220 EGV220 EHL220 EIB220 EIR220 EJH220 EJX220 EKN220 ELD220 ELT220 EMJ220 EMZ220 ENP220 EOF220 EOV220 EPL220 EQB220 EQR220 ERH220 ERX220 ESN220 ETD220 ETT220 EUJ220 EUZ220 EVP220 EWF220 EWV220 EXL220 EYB220 EYR220 EZH220 EZX220 FAN220 FBD220 FBT220 FCJ220 FCZ220 FDP220 FEF220 FEV220 FFL220 FGB220 FGR220 FHH220 FHX220 FIN220 FJD220 FJT220 FKJ220 FKZ220 FLP220 FMF220 FMV220 FNL220 FOB220 FOR220 FPH220 FPX220 FQN220 FRD220 FRT220 FSJ220 FSZ220 FTP220 FUF220 FUV220 FVL220 FWB220 FWR220 FXH220 FXX220 FYN220 FZD220 FZT220 GAJ220 GAZ220 GBP220 GCF220 GCV220 GDL220 GEB220 GER220 GFH220 GFX220 GGN220 GHD220 GHT220 GIJ220 GIZ220 GJP220 GKF220 GKV220 GLL220 GMB220 GMR220 GNH220 GNX220 GON220 GPD220 GPT220 GQJ220 GQZ220 GRP220 GSF220 GSV220 GTL220 GUB220 GUR220 GVH220 GVX220 GWN220 GXD220 GXT220 GYJ220 GYZ220 GZP220 HAF220 HAV220 HBL220 HCB220 HCR220 HDH220 HDX220 HEN220 HFD220 HFT220 HGJ220 HGZ220 HHP220 HIF220 HIV220 HJL220 HKB220 HKR220 HLH220 HLX220 HMN220 HND220 HNT220 HOJ220 HOZ220 HPP220 HQF220 HQV220 HRL220 HSB220 HSR220 HTH220 HTX220 HUN220 HVD220 HVT220 HWJ220 HWZ220 HXP220 HYF220 HYV220 HZL220 IAB220 IAR220 IBH220 IBX220 ICN220 IDD220 IDT220 IEJ220 IEZ220 IFP220 IGF220 IGV220 IHL220 IIB220 IIR220 IJH220 IJX220 IKN220 ILD220 ILT220 IMJ220 IMZ220 INP220 IOF220 IOV220 IPL220 IQB220 IQR220 IRH220 IRX220 ISN220 ITD220 ITT220 IUJ220 IUZ220 IVP220 IWF220 IWV220 IXL220 IYB220 IYR220 IZH220 IZX220 JAN220 JBD220 JBT220 JCJ220 JCZ220 JDP220 JEF220 JEV220 JFL220 JGB220 JGR220 JHH220 JHX220 JIN220 JJD220 JJT220 JKJ220 JKZ220 JLP220 JMF220 JMV220 JNL220 JOB220 JOR220 JPH220 JPX220 JQN220 JRD220 JRT220 JSJ220 JSZ220 JTP220 JUF220 JUV220 JVL220 JWB220 JWR220 JXH220 JXX220 JYN220 JZD220 JZT220 KAJ220 KAZ220 KBP220 KCF220 KCV220 KDL220 KEB220 KER220 KFH220 KFX220 KGN220 KHD220 KHT220 KIJ220 KIZ220 KJP220 KKF220 KKV220 KLL220 KMB220 KMR220 KNH220 KNX220 KON220 KPD220 KPT220 KQJ220 KQZ220 KRP220 KSF220 KSV220 KTL220 KUB220 KUR220 KVH220 KVX220 KWN220 KXD220 KXT220 KYJ220 KYZ220 KZP220 LAF220 LAV220 LBL220 LCB220 LCR220 LDH220 LDX220 LEN220 LFD220 LFT220 LGJ220 LGZ220 LHP220 LIF220 LIV220 LJL220 LKB220 LKR220 LLH220 LLX220 LMN220 LND220 LNT220 LOJ220 LOZ220 LPP220 LQF220 LQV220 LRL220 LSB220 LSR220 LTH220 LTX220 LUN220 LVD220 LVT220 LWJ220 LWZ220 LXP220 LYF220 LYV220 LZL220 MAB220 MAR220 MBH220 MBX220 MCN220 MDD220 MDT220 MEJ220 MEZ220 MFP220 MGF220 MGV220 MHL220 MIB220 MIR220 MJH220 MJX220 MKN220 MLD220 MLT220 MMJ220 MMZ220 MNP220 MOF220 MOV220 MPL220 MQB220 MQR220 MRH220 MRX220 MSN220 MTD220 MTT220 MUJ220 MUZ220 MVP220 MWF220 MWV220 MXL220 MYB220 MYR220 MZH220 MZX220 NAN220 NBD220 NBT220 NCJ220 NCZ220 NDP220 NEF220 NEV220 NFL220 NGB220 NGR220 NHH220 NHX220 NIN220 NJD220 NJT220 NKJ220 NKZ220 NLP220 NMF220 NMV220 NNL220 NOB220 NOR220 NPH220 NPX220 NQN220 NRD220 NRT220 NSJ220 NSZ220 NTP220 NUF220 NUV220 NVL220 NWB220 NWR220 NXH220 NXX220 NYN220 NZD220 NZT220 OAJ220 OAZ220 OBP220 OCF220 OCV220 ODL220 OEB220 OER220 OFH220 OFX220 OGN220 OHD220 OHT220 OIJ220 OIZ220 OJP220 OKF220 OKV220 OLL220 OMB220 OMR220 ONH220 ONX220 OON220 OPD220 OPT220 OQJ220 OQZ220 ORP220 OSF220 OSV220 OTL220 OUB220 OUR220 OVH220 OVX220 OWN220 OXD220 OXT220 OYJ220 OYZ220 OZP220 PAF220 PAV220 PBL220 PCB220 PCR220 PDH220 PDX220 PEN220 PFD220 PFT220 PGJ220 PGZ220 PHP220 PIF220 PIV220 PJL220 PKB220 PKR220 PLH220 PLX220 PMN220 PND220 PNT220 POJ220 POZ220 PPP220 PQF220 PQV220 PRL220 PSB220 PSR220 PTH220 PTX220 PUN220 PVD220 PVT220 PWJ220 PWZ220 PXP220 PYF220 PYV220 PZL220 QAB220 QAR220 QBH220 QBX220 QCN220 QDD220 QDT220 QEJ220 QEZ220 QFP220 QGF220 QGV220 QHL220 QIB220 QIR220 QJH220 QJX220 QKN220 QLD220 QLT220 QMJ220 QMZ220 QNP220 QOF220 QOV220 QPL220 QQB220 QQR220 QRH220 QRX220 QSN220 QTD220 QTT220 QUJ220 QUZ220 QVP220 QWF220 QWV220 QXL220 QYB220 QYR220 QZH220 QZX220 RAN220 RBD220 RBT220 RCJ220 RCZ220 RDP220 REF220 REV220 RFL220 RGB220 RGR220 RHH220 RHX220 RIN220 RJD220 RJT220 RKJ220 RKZ220 RLP220 RMF220 RMV220 RNL220 ROB220 ROR220 RPH220 RPX220 RQN220 RRD220 RRT220 RSJ220 RSZ220 RTP220 RUF220 RUV220 RVL220 RWB220 RWR220 RXH220 RXX220 RYN220 RZD220 RZT220 SAJ220 SAZ220 SBP220 SCF220 SCV220 SDL220 SEB220 SER220 SFH220 SFX220 SGN220 SHD220 SHT220 SIJ220 SIZ220 SJP220 SKF220 SKV220 SLL220 SMB220 SMR220 SNH220 SNX220 SON220 SPD220 SPT220 SQJ220 SQZ220 SRP220 SSF220 SSV220 STL220 SUB220 SUR220 SVH220 SVX220 SWN220 SXD220 SXT220 SYJ220 SYZ220 SZP220 TAF220 TAV220 TBL220 TCB220 TCR220 TDH220 TDX220 TEN220 TFD220 TFT220 TGJ220 TGZ220 THP220 TIF220 TIV220 TJL220 TKB220 TKR220 TLH220 TLX220 TMN220 TND220 TNT220 TOJ220 TOZ220 TPP220 TQF220 TQV220 TRL220 TSB220 TSR220 TTH220 TTX220 TUN220 TVD220 TVT220 TWJ220 TWZ220 TXP220 TYF220 TYV220 TZL220 UAB220 UAR220 UBH220 UBX220 UCN220 UDD220 UDT220 UEJ220 UEZ220 UFP220 UGF220 UGV220 UHL220 UIB220 UIR220 UJH220 UJX220 UKN220 ULD220 ULT220 UMJ220 UMZ220 UNP220 UOF220 UOV220 UPL220 UQB220 UQR220 URH220 URX220 USN220 UTD220 UTT220 UUJ220 UUZ220 UVP220 UWF220 UWV220 UXL220 UYB220 UYR220 UZH220 UZX220 VAN220 VBD220 VBT220 VCJ220 VCZ220 VDP220 VEF220 VEV220 VFL220 VGB220 VGR220 VHH220 VHX220 VIN220 VJD220 VJT220 VKJ220 VKZ220 VLP220 VMF220 VMV220 VNL220 VOB220 VOR220 VPH220 VPX220 VQN220 VRD220 VRT220 VSJ220 VSZ220 VTP220 VUF220 VUV220 VVL220 VWB220 VWR220 VXH220 VXX220 VYN220 VZD220 VZT220 WAJ220 WAZ220 WBP220 WCF220 WCV220 WDL220 WEB220 WER220 WFH220 WFX220 WGN220 WHD220 WHT220 WIJ220 WIZ220 WJP220 WKF220 WKV220 WLL220 WMB220 WMR220 WNH220 WNX220 WON220 WPD220 WPT220 WQJ220 WQZ220 WRP220 WSF220 WSV220 WTL220 WUB220 WUR220 WVH220 WVX220 WWN220 WXD220 WXT220 WYJ220 WYZ220 WZP220 XAF220 XAV220 XBL220 XCB220 XCR220 XDH220 XDX220 XEN220 XFD220">
    <cfRule type="cellIs" dxfId="105" priority="89" operator="equal">
      <formula>"Medio"</formula>
    </cfRule>
    <cfRule type="cellIs" dxfId="104" priority="90" operator="equal">
      <formula>"Alto"</formula>
    </cfRule>
    <cfRule type="cellIs" dxfId="103" priority="88" operator="equal">
      <formula>"Bajo"</formula>
    </cfRule>
  </conditionalFormatting>
  <conditionalFormatting sqref="P223:P226">
    <cfRule type="cellIs" dxfId="102" priority="73" operator="equal">
      <formula>"Bajo"</formula>
    </cfRule>
    <cfRule type="cellIs" dxfId="101" priority="75" operator="equal">
      <formula>"Alto"</formula>
    </cfRule>
    <cfRule type="cellIs" dxfId="100" priority="74" operator="equal">
      <formula>"Medio"</formula>
    </cfRule>
  </conditionalFormatting>
  <conditionalFormatting sqref="P232">
    <cfRule type="cellIs" dxfId="99" priority="52" operator="equal">
      <formula>"Bajo"</formula>
    </cfRule>
    <cfRule type="cellIs" dxfId="98" priority="53" operator="equal">
      <formula>"Medio"</formula>
    </cfRule>
    <cfRule type="cellIs" dxfId="97" priority="54" operator="equal">
      <formula>"Alto"</formula>
    </cfRule>
  </conditionalFormatting>
  <conditionalFormatting sqref="P236:P259">
    <cfRule type="cellIs" dxfId="96" priority="36" operator="equal">
      <formula>"Alto"</formula>
    </cfRule>
    <cfRule type="cellIs" dxfId="95" priority="34" operator="equal">
      <formula>"Bajo"</formula>
    </cfRule>
    <cfRule type="cellIs" dxfId="94" priority="35" operator="equal">
      <formula>"Medio"</formula>
    </cfRule>
  </conditionalFormatting>
  <conditionalFormatting sqref="P2:Q23 S2:T122 V2:W122 Y2:Z122 AB2:AC122 P27:Q122">
    <cfRule type="cellIs" dxfId="93" priority="555" operator="equal">
      <formula>"Medio"</formula>
    </cfRule>
    <cfRule type="cellIs" dxfId="92" priority="556" operator="equal">
      <formula>"Alto"</formula>
    </cfRule>
    <cfRule type="cellIs" dxfId="91" priority="554" operator="equal">
      <formula>"Bajo"</formula>
    </cfRule>
  </conditionalFormatting>
  <conditionalFormatting sqref="P125:Q128">
    <cfRule type="cellIs" dxfId="90" priority="545" operator="equal">
      <formula>"Bajo"</formula>
    </cfRule>
    <cfRule type="cellIs" dxfId="89" priority="546" operator="equal">
      <formula>"Medio"</formula>
    </cfRule>
    <cfRule type="cellIs" dxfId="88" priority="547" operator="equal">
      <formula>"Alto"</formula>
    </cfRule>
  </conditionalFormatting>
  <conditionalFormatting sqref="P131:Q140">
    <cfRule type="cellIs" dxfId="87" priority="486" operator="equal">
      <formula>"Alto"</formula>
    </cfRule>
    <cfRule type="cellIs" dxfId="86" priority="485" operator="equal">
      <formula>"Medio"</formula>
    </cfRule>
    <cfRule type="cellIs" dxfId="85" priority="484" operator="equal">
      <formula>"Bajo"</formula>
    </cfRule>
  </conditionalFormatting>
  <conditionalFormatting sqref="P142:Q142">
    <cfRule type="cellIs" dxfId="84" priority="477" operator="equal">
      <formula>"Alto"</formula>
    </cfRule>
    <cfRule type="cellIs" dxfId="83" priority="475" operator="equal">
      <formula>"Bajo"</formula>
    </cfRule>
    <cfRule type="cellIs" dxfId="82" priority="476" operator="equal">
      <formula>"Medio"</formula>
    </cfRule>
  </conditionalFormatting>
  <conditionalFormatting sqref="P144:Q144">
    <cfRule type="cellIs" dxfId="81" priority="464" operator="equal">
      <formula>"Medio"</formula>
    </cfRule>
    <cfRule type="cellIs" dxfId="80" priority="465" operator="equal">
      <formula>"Alto"</formula>
    </cfRule>
    <cfRule type="cellIs" dxfId="79" priority="463" operator="equal">
      <formula>"Bajo"</formula>
    </cfRule>
  </conditionalFormatting>
  <conditionalFormatting sqref="P148:Q148">
    <cfRule type="cellIs" dxfId="78" priority="442" operator="equal">
      <formula>"Bajo"</formula>
    </cfRule>
    <cfRule type="cellIs" dxfId="77" priority="443" operator="equal">
      <formula>"Medio"</formula>
    </cfRule>
    <cfRule type="cellIs" dxfId="76" priority="444" operator="equal">
      <formula>"Alto"</formula>
    </cfRule>
  </conditionalFormatting>
  <conditionalFormatting sqref="R157">
    <cfRule type="cellIs" dxfId="75" priority="404" operator="equal">
      <formula>"Medio"</formula>
    </cfRule>
    <cfRule type="cellIs" dxfId="74" priority="403" operator="equal">
      <formula>"Bajo"</formula>
    </cfRule>
    <cfRule type="cellIs" dxfId="73" priority="405" operator="equal">
      <formula>"Alto"</formula>
    </cfRule>
  </conditionalFormatting>
  <conditionalFormatting sqref="R163">
    <cfRule type="cellIs" dxfId="72" priority="384" operator="equal">
      <formula>"Alto"</formula>
    </cfRule>
    <cfRule type="cellIs" dxfId="71" priority="382" operator="equal">
      <formula>"Bajo"</formula>
    </cfRule>
    <cfRule type="cellIs" dxfId="70" priority="383" operator="equal">
      <formula>"Medio"</formula>
    </cfRule>
  </conditionalFormatting>
  <conditionalFormatting sqref="R169">
    <cfRule type="cellIs" dxfId="69" priority="370" operator="equal">
      <formula>"Bajo"</formula>
    </cfRule>
    <cfRule type="cellIs" dxfId="68" priority="371" operator="equal">
      <formula>"Medio"</formula>
    </cfRule>
    <cfRule type="cellIs" dxfId="67" priority="372" operator="equal">
      <formula>"Alto"</formula>
    </cfRule>
  </conditionalFormatting>
  <conditionalFormatting sqref="R175">
    <cfRule type="cellIs" dxfId="66" priority="297" operator="equal">
      <formula>"Alto"</formula>
    </cfRule>
    <cfRule type="cellIs" dxfId="65" priority="296" operator="equal">
      <formula>"Medio"</formula>
    </cfRule>
    <cfRule type="cellIs" dxfId="64" priority="295" operator="equal">
      <formula>"Bajo"</formula>
    </cfRule>
  </conditionalFormatting>
  <conditionalFormatting sqref="R199">
    <cfRule type="cellIs" dxfId="63" priority="204" operator="equal">
      <formula>"Alto"</formula>
    </cfRule>
    <cfRule type="cellIs" dxfId="62" priority="203" operator="equal">
      <formula>"Medio"</formula>
    </cfRule>
    <cfRule type="cellIs" dxfId="61" priority="202" operator="equal">
      <formula>"Bajo"</formula>
    </cfRule>
  </conditionalFormatting>
  <conditionalFormatting sqref="R223">
    <cfRule type="cellIs" dxfId="60" priority="117" operator="equal">
      <formula>"Alto"</formula>
    </cfRule>
    <cfRule type="cellIs" dxfId="59" priority="116" operator="equal">
      <formula>"Medio"</formula>
    </cfRule>
    <cfRule type="cellIs" dxfId="58" priority="115" operator="equal">
      <formula>"Bajo"</formula>
    </cfRule>
  </conditionalFormatting>
  <conditionalFormatting sqref="S152">
    <cfRule type="cellIs" dxfId="57" priority="378" operator="equal">
      <formula>"Alto"</formula>
    </cfRule>
    <cfRule type="cellIs" dxfId="56" priority="377" operator="equal">
      <formula>"Medio"</formula>
    </cfRule>
    <cfRule type="cellIs" dxfId="55" priority="376" operator="equal">
      <formula>"Bajo"</formula>
    </cfRule>
  </conditionalFormatting>
  <conditionalFormatting sqref="S125:T125">
    <cfRule type="cellIs" dxfId="54" priority="543" operator="equal">
      <formula>"Medio"</formula>
    </cfRule>
    <cfRule type="cellIs" dxfId="53" priority="542" operator="equal">
      <formula>"Bajo"</formula>
    </cfRule>
    <cfRule type="cellIs" dxfId="52" priority="544" operator="equal">
      <formula>"Alto"</formula>
    </cfRule>
  </conditionalFormatting>
  <conditionalFormatting sqref="S131:T132">
    <cfRule type="cellIs" dxfId="51" priority="516" operator="equal">
      <formula>"Alto"</formula>
    </cfRule>
    <cfRule type="cellIs" dxfId="50" priority="515" operator="equal">
      <formula>"Medio"</formula>
    </cfRule>
    <cfRule type="cellIs" dxfId="49" priority="514" operator="equal">
      <formula>"Bajo"</formula>
    </cfRule>
  </conditionalFormatting>
  <conditionalFormatting sqref="S134:T134">
    <cfRule type="cellIs" dxfId="48" priority="510" operator="equal">
      <formula>"Alto"</formula>
    </cfRule>
    <cfRule type="cellIs" dxfId="47" priority="508" operator="equal">
      <formula>"Bajo"</formula>
    </cfRule>
    <cfRule type="cellIs" dxfId="46" priority="509" operator="equal">
      <formula>"Medio"</formula>
    </cfRule>
  </conditionalFormatting>
  <conditionalFormatting sqref="S137:T138">
    <cfRule type="cellIs" dxfId="45" priority="498" operator="equal">
      <formula>"Alto"</formula>
    </cfRule>
    <cfRule type="cellIs" dxfId="44" priority="496" operator="equal">
      <formula>"Bajo"</formula>
    </cfRule>
    <cfRule type="cellIs" dxfId="43" priority="497" operator="equal">
      <formula>"Medio"</formula>
    </cfRule>
  </conditionalFormatting>
  <conditionalFormatting sqref="S142:T142">
    <cfRule type="cellIs" dxfId="42" priority="472" operator="equal">
      <formula>"Bajo"</formula>
    </cfRule>
    <cfRule type="cellIs" dxfId="41" priority="473" operator="equal">
      <formula>"Medio"</formula>
    </cfRule>
    <cfRule type="cellIs" dxfId="40" priority="474" operator="equal">
      <formula>"Alto"</formula>
    </cfRule>
  </conditionalFormatting>
  <conditionalFormatting sqref="S144:T144">
    <cfRule type="cellIs" dxfId="39" priority="462" operator="equal">
      <formula>"Alto"</formula>
    </cfRule>
    <cfRule type="cellIs" dxfId="38" priority="460" operator="equal">
      <formula>"Bajo"</formula>
    </cfRule>
    <cfRule type="cellIs" dxfId="37" priority="461" operator="equal">
      <formula>"Medio"</formula>
    </cfRule>
  </conditionalFormatting>
  <conditionalFormatting sqref="V125:W125">
    <cfRule type="cellIs" dxfId="36" priority="539" operator="equal">
      <formula>"Bajo"</formula>
    </cfRule>
    <cfRule type="cellIs" dxfId="35" priority="540" operator="equal">
      <formula>"Medio"</formula>
    </cfRule>
    <cfRule type="cellIs" dxfId="34" priority="541" operator="equal">
      <formula>"Alto"</formula>
    </cfRule>
  </conditionalFormatting>
  <conditionalFormatting sqref="V144:W144">
    <cfRule type="cellIs" dxfId="33" priority="459" operator="equal">
      <formula>"Alto"</formula>
    </cfRule>
    <cfRule type="cellIs" dxfId="32" priority="458" operator="equal">
      <formula>"Medio"</formula>
    </cfRule>
    <cfRule type="cellIs" dxfId="31" priority="457" operator="equal">
      <formula>"Bajo"</formula>
    </cfRule>
  </conditionalFormatting>
  <conditionalFormatting sqref="Y220 AO220 BE220 BU220 CK220 DA220 DQ220 EG220 EW220 FM220 GC220 GS220 HI220 HY220 IO220 JE220 JU220 KK220 LA220 LQ220 MG220 MW220 NM220 OC220 OS220 PI220 PY220 QO220 RE220 RU220 SK220 TA220 TQ220 UG220 UW220 VM220 WC220 WS220 XI220 XY220 YO220 ZE220 ZU220 AAK220 ABA220 ABQ220 ACG220 ACW220 ADM220 AEC220 AES220 AFI220 AFY220 AGO220 AHE220 AHU220 AIK220 AJA220 AJQ220 AKG220 AKW220 ALM220 AMC220 AMS220 ANI220 ANY220 AOO220 APE220 APU220 AQK220 ARA220 ARQ220 ASG220 ASW220 ATM220 AUC220 AUS220 AVI220 AVY220 AWO220 AXE220 AXU220 AYK220 AZA220 AZQ220 BAG220 BAW220 BBM220 BCC220 BCS220 BDI220 BDY220 BEO220 BFE220 BFU220 BGK220 BHA220 BHQ220 BIG220 BIW220 BJM220 BKC220 BKS220 BLI220 BLY220 BMO220 BNE220 BNU220 BOK220 BPA220 BPQ220 BQG220 BQW220 BRM220 BSC220 BSS220 BTI220 BTY220 BUO220 BVE220 BVU220 BWK220 BXA220 BXQ220 BYG220 BYW220 BZM220 CAC220 CAS220 CBI220 CBY220 CCO220 CDE220 CDU220 CEK220 CFA220 CFQ220 CGG220 CGW220 CHM220 CIC220 CIS220 CJI220 CJY220 CKO220 CLE220 CLU220 CMK220 CNA220 CNQ220 COG220 COW220 CPM220 CQC220 CQS220 CRI220 CRY220 CSO220 CTE220 CTU220 CUK220 CVA220 CVQ220 CWG220 CWW220 CXM220 CYC220 CYS220 CZI220 CZY220 DAO220 DBE220 DBU220 DCK220 DDA220 DDQ220 DEG220 DEW220 DFM220 DGC220 DGS220 DHI220 DHY220 DIO220 DJE220 DJU220 DKK220 DLA220 DLQ220 DMG220 DMW220 DNM220 DOC220 DOS220 DPI220 DPY220 DQO220 DRE220 DRU220 DSK220 DTA220 DTQ220 DUG220 DUW220 DVM220 DWC220 DWS220 DXI220 DXY220 DYO220 DZE220 DZU220 EAK220 EBA220 EBQ220 ECG220 ECW220 EDM220 EEC220 EES220 EFI220 EFY220 EGO220 EHE220 EHU220 EIK220 EJA220 EJQ220 EKG220 EKW220 ELM220 EMC220 EMS220 ENI220 ENY220 EOO220 EPE220 EPU220 EQK220 ERA220 ERQ220 ESG220 ESW220 ETM220 EUC220 EUS220 EVI220 EVY220 EWO220 EXE220 EXU220 EYK220 EZA220 EZQ220 FAG220 FAW220 FBM220 FCC220 FCS220 FDI220 FDY220 FEO220 FFE220 FFU220 FGK220 FHA220 FHQ220 FIG220 FIW220 FJM220 FKC220 FKS220 FLI220 FLY220 FMO220 FNE220 FNU220 FOK220 FPA220 FPQ220 FQG220 FQW220 FRM220 FSC220 FSS220 FTI220 FTY220 FUO220 FVE220 FVU220 FWK220 FXA220 FXQ220 FYG220 FYW220 FZM220 GAC220 GAS220 GBI220 GBY220 GCO220 GDE220 GDU220 GEK220 GFA220 GFQ220 GGG220 GGW220 GHM220 GIC220 GIS220 GJI220 GJY220 GKO220 GLE220 GLU220 GMK220 GNA220 GNQ220 GOG220 GOW220 GPM220 GQC220 GQS220 GRI220 GRY220 GSO220 GTE220 GTU220 GUK220 GVA220 GVQ220 GWG220 GWW220 GXM220 GYC220 GYS220 GZI220 GZY220 HAO220 HBE220 HBU220 HCK220 HDA220 HDQ220 HEG220 HEW220 HFM220 HGC220 HGS220 HHI220 HHY220 HIO220 HJE220 HJU220 HKK220 HLA220 HLQ220 HMG220 HMW220 HNM220 HOC220 HOS220 HPI220 HPY220 HQO220 HRE220 HRU220 HSK220 HTA220 HTQ220 HUG220 HUW220 HVM220 HWC220 HWS220 HXI220 HXY220 HYO220 HZE220 HZU220 IAK220 IBA220 IBQ220 ICG220 ICW220 IDM220 IEC220 IES220 IFI220 IFY220 IGO220 IHE220 IHU220 IIK220 IJA220 IJQ220 IKG220 IKW220 ILM220 IMC220 IMS220 INI220 INY220 IOO220 IPE220 IPU220 IQK220 IRA220 IRQ220 ISG220 ISW220 ITM220 IUC220 IUS220 IVI220 IVY220 IWO220 IXE220 IXU220 IYK220 IZA220 IZQ220 JAG220 JAW220 JBM220 JCC220 JCS220 JDI220 JDY220 JEO220 JFE220 JFU220 JGK220 JHA220 JHQ220 JIG220 JIW220 JJM220 JKC220 JKS220 JLI220 JLY220 JMO220 JNE220 JNU220 JOK220 JPA220 JPQ220 JQG220 JQW220 JRM220 JSC220 JSS220 JTI220 JTY220 JUO220 JVE220 JVU220 JWK220 JXA220 JXQ220 JYG220 JYW220 JZM220 KAC220 KAS220 KBI220 KBY220 KCO220 KDE220 KDU220 KEK220 KFA220 KFQ220 KGG220 KGW220 KHM220 KIC220 KIS220 KJI220 KJY220 KKO220 KLE220 KLU220 KMK220 KNA220 KNQ220 KOG220 KOW220 KPM220 KQC220 KQS220 KRI220 KRY220 KSO220 KTE220 KTU220 KUK220 KVA220 KVQ220 KWG220 KWW220 KXM220 KYC220 KYS220 KZI220 KZY220 LAO220 LBE220 LBU220 LCK220 LDA220 LDQ220 LEG220 LEW220 LFM220 LGC220 LGS220 LHI220 LHY220 LIO220 LJE220 LJU220 LKK220 LLA220 LLQ220 LMG220 LMW220 LNM220 LOC220 LOS220 LPI220 LPY220 LQO220 LRE220 LRU220 LSK220 LTA220 LTQ220 LUG220 LUW220 LVM220 LWC220 LWS220 LXI220 LXY220 LYO220 LZE220 LZU220 MAK220 MBA220 MBQ220 MCG220 MCW220 MDM220 MEC220 MES220 MFI220 MFY220 MGO220 MHE220 MHU220 MIK220 MJA220 MJQ220 MKG220 MKW220 MLM220 MMC220 MMS220 MNI220 MNY220 MOO220 MPE220 MPU220 MQK220 MRA220 MRQ220 MSG220 MSW220 MTM220 MUC220 MUS220 MVI220 MVY220 MWO220 MXE220 MXU220 MYK220 MZA220 MZQ220 NAG220 NAW220 NBM220 NCC220 NCS220 NDI220 NDY220 NEO220 NFE220 NFU220 NGK220 NHA220 NHQ220 NIG220 NIW220 NJM220 NKC220 NKS220 NLI220 NLY220 NMO220 NNE220 NNU220 NOK220 NPA220 NPQ220 NQG220 NQW220 NRM220 NSC220 NSS220 NTI220 NTY220 NUO220 NVE220 NVU220 NWK220 NXA220 NXQ220 NYG220 NYW220 NZM220 OAC220 OAS220 OBI220 OBY220 OCO220 ODE220 ODU220 OEK220 OFA220 OFQ220 OGG220 OGW220 OHM220 OIC220 OIS220 OJI220 OJY220 OKO220 OLE220 OLU220 OMK220 ONA220 ONQ220 OOG220 OOW220 OPM220 OQC220 OQS220 ORI220 ORY220 OSO220 OTE220 OTU220 OUK220 OVA220 OVQ220 OWG220 OWW220 OXM220 OYC220 OYS220 OZI220 OZY220 PAO220 PBE220 PBU220 PCK220 PDA220 PDQ220 PEG220 PEW220 PFM220 PGC220 PGS220 PHI220 PHY220 PIO220 PJE220 PJU220 PKK220 PLA220 PLQ220 PMG220 PMW220 PNM220 POC220 POS220 PPI220 PPY220 PQO220 PRE220 PRU220 PSK220 PTA220 PTQ220 PUG220 PUW220 PVM220 PWC220 PWS220 PXI220 PXY220 PYO220 PZE220 PZU220 QAK220 QBA220 QBQ220 QCG220 QCW220 QDM220 QEC220 QES220 QFI220 QFY220 QGO220 QHE220 QHU220 QIK220 QJA220 QJQ220 QKG220 QKW220 QLM220 QMC220 QMS220 QNI220 QNY220 QOO220 QPE220 QPU220 QQK220 QRA220 QRQ220 QSG220 QSW220 QTM220 QUC220 QUS220 QVI220 QVY220 QWO220 QXE220 QXU220 QYK220 QZA220 QZQ220 RAG220 RAW220 RBM220 RCC220 RCS220 RDI220 RDY220 REO220 RFE220 RFU220 RGK220 RHA220 RHQ220 RIG220 RIW220 RJM220 RKC220 RKS220 RLI220 RLY220 RMO220 RNE220 RNU220 ROK220 RPA220 RPQ220 RQG220 RQW220 RRM220 RSC220 RSS220 RTI220 RTY220 RUO220 RVE220 RVU220 RWK220 RXA220 RXQ220 RYG220 RYW220 RZM220 SAC220 SAS220 SBI220 SBY220 SCO220 SDE220 SDU220 SEK220 SFA220 SFQ220 SGG220 SGW220 SHM220 SIC220 SIS220 SJI220 SJY220 SKO220 SLE220 SLU220 SMK220 SNA220 SNQ220 SOG220 SOW220 SPM220 SQC220 SQS220 SRI220 SRY220 SSO220 STE220 STU220 SUK220 SVA220 SVQ220 SWG220 SWW220 SXM220 SYC220 SYS220 SZI220 SZY220 TAO220 TBE220 TBU220 TCK220 TDA220 TDQ220 TEG220 TEW220 TFM220 TGC220 TGS220 THI220 THY220 TIO220 TJE220 TJU220 TKK220 TLA220 TLQ220 TMG220 TMW220 TNM220 TOC220 TOS220 TPI220 TPY220 TQO220 TRE220 TRU220 TSK220 TTA220 TTQ220 TUG220 TUW220 TVM220 TWC220 TWS220 TXI220 TXY220 TYO220 TZE220 TZU220 UAK220 UBA220 UBQ220 UCG220 UCW220 UDM220 UEC220 UES220 UFI220 UFY220 UGO220 UHE220 UHU220 UIK220 UJA220 UJQ220 UKG220 UKW220 ULM220 UMC220 UMS220 UNI220 UNY220 UOO220 UPE220 UPU220 UQK220 URA220 URQ220 USG220 USW220 UTM220 UUC220 UUS220 UVI220 UVY220 UWO220 UXE220 UXU220 UYK220 UZA220 UZQ220 VAG220 VAW220 VBM220 VCC220 VCS220 VDI220 VDY220 VEO220 VFE220 VFU220 VGK220 VHA220 VHQ220 VIG220 VIW220 VJM220 VKC220 VKS220 VLI220 VLY220 VMO220 VNE220 VNU220 VOK220 VPA220 VPQ220 VQG220 VQW220 VRM220 VSC220 VSS220 VTI220 VTY220 VUO220 VVE220 VVU220 VWK220 VXA220 VXQ220 VYG220 VYW220 VZM220 WAC220 WAS220 WBI220 WBY220 WCO220 WDE220 WDU220 WEK220 WFA220 WFQ220 WGG220 WGW220 WHM220 WIC220 WIS220 WJI220 WJY220 WKO220 WLE220 WLU220 WMK220 WNA220 WNQ220 WOG220 WOW220 WPM220 WQC220 WQS220 WRI220 WRY220 WSO220 WTE220 WTU220 WUK220 WVA220 WVQ220 WWG220 WWW220 WXM220 WYC220 WYS220 WZI220 WZY220 XAO220 XBE220 XBU220 XCK220 XDA220 XDQ220 XEG220 XEW220">
    <cfRule type="containsText" dxfId="30" priority="96" operator="containsText" text="Entregado">
      <formula>NOT(ISERROR(SEARCH("Entregado",Y220)))</formula>
    </cfRule>
    <cfRule type="containsText" dxfId="29" priority="94" operator="containsText" text="Solicitado">
      <formula>NOT(ISERROR(SEARCH("Solicitado",Y220)))</formula>
    </cfRule>
    <cfRule type="containsText" dxfId="28" priority="95" operator="containsText" text="Revisión">
      <formula>NOT(ISERROR(SEARCH("Revisión",Y220)))</formula>
    </cfRule>
  </conditionalFormatting>
  <conditionalFormatting sqref="Y144:Z144">
    <cfRule type="cellIs" dxfId="27" priority="456" operator="equal">
      <formula>"Alto"</formula>
    </cfRule>
    <cfRule type="cellIs" dxfId="26" priority="455" operator="equal">
      <formula>"Medio"</formula>
    </cfRule>
    <cfRule type="cellIs" dxfId="25" priority="454" operator="equal">
      <formula>"Bajo"</formula>
    </cfRule>
  </conditionalFormatting>
  <conditionalFormatting sqref="AD220 AT220 BJ220 BZ220 CP220 DF220 DV220 EL220 FB220 FR220 GH220 GX220 HN220 ID220 IT220 JJ220 JZ220 KP220 LF220 LV220 ML220 NB220 NR220 OH220 OX220 PN220 QD220 QT220 RJ220 RZ220 SP220 TF220 TV220 UL220 VB220 VR220 WH220 WX220 XN220 YD220 YT220 ZJ220 ZZ220 AAP220 ABF220 ABV220 ACL220 ADB220 ADR220 AEH220 AEX220 AFN220 AGD220 AGT220 AHJ220 AHZ220 AIP220 AJF220 AJV220 AKL220 ALB220 ALR220 AMH220 AMX220 ANN220 AOD220 AOT220 APJ220 APZ220 AQP220 ARF220 ARV220 ASL220 ATB220 ATR220 AUH220 AUX220 AVN220 AWD220 AWT220 AXJ220 AXZ220 AYP220 AZF220 AZV220 BAL220 BBB220 BBR220 BCH220 BCX220 BDN220 BED220 BET220 BFJ220 BFZ220 BGP220 BHF220 BHV220 BIL220 BJB220 BJR220 BKH220 BKX220 BLN220 BMD220 BMT220 BNJ220 BNZ220 BOP220 BPF220 BPV220 BQL220 BRB220 BRR220 BSH220 BSX220 BTN220 BUD220 BUT220 BVJ220 BVZ220 BWP220 BXF220 BXV220 BYL220 BZB220 BZR220 CAH220 CAX220 CBN220 CCD220 CCT220 CDJ220 CDZ220 CEP220 CFF220 CFV220 CGL220 CHB220 CHR220 CIH220 CIX220 CJN220 CKD220 CKT220 CLJ220 CLZ220 CMP220 CNF220 CNV220 COL220 CPB220 CPR220 CQH220 CQX220 CRN220 CSD220 CST220 CTJ220 CTZ220 CUP220 CVF220 CVV220 CWL220 CXB220 CXR220 CYH220 CYX220 CZN220 DAD220 DAT220 DBJ220 DBZ220 DCP220 DDF220 DDV220 DEL220 DFB220 DFR220 DGH220 DGX220 DHN220 DID220 DIT220 DJJ220 DJZ220 DKP220 DLF220 DLV220 DML220 DNB220 DNR220 DOH220 DOX220 DPN220 DQD220 DQT220 DRJ220 DRZ220 DSP220 DTF220 DTV220 DUL220 DVB220 DVR220 DWH220 DWX220 DXN220 DYD220 DYT220 DZJ220 DZZ220 EAP220 EBF220 EBV220 ECL220 EDB220 EDR220 EEH220 EEX220 EFN220 EGD220 EGT220 EHJ220 EHZ220 EIP220 EJF220 EJV220 EKL220 ELB220 ELR220 EMH220 EMX220 ENN220 EOD220 EOT220 EPJ220 EPZ220 EQP220 ERF220 ERV220 ESL220 ETB220 ETR220 EUH220 EUX220 EVN220 EWD220 EWT220 EXJ220 EXZ220 EYP220 EZF220 EZV220 FAL220 FBB220 FBR220 FCH220 FCX220 FDN220 FED220 FET220 FFJ220 FFZ220 FGP220 FHF220 FHV220 FIL220 FJB220 FJR220 FKH220 FKX220 FLN220 FMD220 FMT220 FNJ220 FNZ220 FOP220 FPF220 FPV220 FQL220 FRB220 FRR220 FSH220 FSX220 FTN220 FUD220 FUT220 FVJ220 FVZ220 FWP220 FXF220 FXV220 FYL220 FZB220 FZR220 GAH220 GAX220 GBN220 GCD220 GCT220 GDJ220 GDZ220 GEP220 GFF220 GFV220 GGL220 GHB220 GHR220 GIH220 GIX220 GJN220 GKD220 GKT220 GLJ220 GLZ220 GMP220 GNF220 GNV220 GOL220 GPB220 GPR220 GQH220 GQX220 GRN220 GSD220 GST220 GTJ220 GTZ220 GUP220 GVF220 GVV220 GWL220 GXB220 GXR220 GYH220 GYX220 GZN220 HAD220 HAT220 HBJ220 HBZ220 HCP220 HDF220 HDV220 HEL220 HFB220 HFR220 HGH220 HGX220 HHN220 HID220 HIT220 HJJ220 HJZ220 HKP220 HLF220 HLV220 HML220 HNB220 HNR220 HOH220 HOX220 HPN220 HQD220 HQT220 HRJ220 HRZ220 HSP220 HTF220 HTV220 HUL220 HVB220 HVR220 HWH220 HWX220 HXN220 HYD220 HYT220 HZJ220 HZZ220 IAP220 IBF220 IBV220 ICL220 IDB220 IDR220 IEH220 IEX220 IFN220 IGD220 IGT220 IHJ220 IHZ220 IIP220 IJF220 IJV220 IKL220 ILB220 ILR220 IMH220 IMX220 INN220 IOD220 IOT220 IPJ220 IPZ220 IQP220 IRF220 IRV220 ISL220 ITB220 ITR220 IUH220 IUX220 IVN220 IWD220 IWT220 IXJ220 IXZ220 IYP220 IZF220 IZV220 JAL220 JBB220 JBR220 JCH220 JCX220 JDN220 JED220 JET220 JFJ220 JFZ220 JGP220 JHF220 JHV220 JIL220 JJB220 JJR220 JKH220 JKX220 JLN220 JMD220 JMT220 JNJ220 JNZ220 JOP220 JPF220 JPV220 JQL220 JRB220 JRR220 JSH220 JSX220 JTN220 JUD220 JUT220 JVJ220 JVZ220 JWP220 JXF220 JXV220 JYL220 JZB220 JZR220 KAH220 KAX220 KBN220 KCD220 KCT220 KDJ220 KDZ220 KEP220 KFF220 KFV220 KGL220 KHB220 KHR220 KIH220 KIX220 KJN220 KKD220 KKT220 KLJ220 KLZ220 KMP220 KNF220 KNV220 KOL220 KPB220 KPR220 KQH220 KQX220 KRN220 KSD220 KST220 KTJ220 KTZ220 KUP220 KVF220 KVV220 KWL220 KXB220 KXR220 KYH220 KYX220 KZN220 LAD220 LAT220 LBJ220 LBZ220 LCP220 LDF220 LDV220 LEL220 LFB220 LFR220 LGH220 LGX220 LHN220 LID220 LIT220 LJJ220 LJZ220 LKP220 LLF220 LLV220 LML220 LNB220 LNR220 LOH220 LOX220 LPN220 LQD220 LQT220 LRJ220 LRZ220 LSP220 LTF220 LTV220 LUL220 LVB220 LVR220 LWH220 LWX220 LXN220 LYD220 LYT220 LZJ220 LZZ220 MAP220 MBF220 MBV220 MCL220 MDB220 MDR220 MEH220 MEX220 MFN220 MGD220 MGT220 MHJ220 MHZ220 MIP220 MJF220 MJV220 MKL220 MLB220 MLR220 MMH220 MMX220 MNN220 MOD220 MOT220 MPJ220 MPZ220 MQP220 MRF220 MRV220 MSL220 MTB220 MTR220 MUH220 MUX220 MVN220 MWD220 MWT220 MXJ220 MXZ220 MYP220 MZF220 MZV220 NAL220 NBB220 NBR220 NCH220 NCX220 NDN220 NED220 NET220 NFJ220 NFZ220 NGP220 NHF220 NHV220 NIL220 NJB220 NJR220 NKH220 NKX220 NLN220 NMD220 NMT220 NNJ220 NNZ220 NOP220 NPF220 NPV220 NQL220 NRB220 NRR220 NSH220 NSX220 NTN220 NUD220 NUT220 NVJ220 NVZ220 NWP220 NXF220 NXV220 NYL220 NZB220 NZR220 OAH220 OAX220 OBN220 OCD220 OCT220 ODJ220 ODZ220 OEP220 OFF220 OFV220 OGL220 OHB220 OHR220 OIH220 OIX220 OJN220 OKD220 OKT220 OLJ220 OLZ220 OMP220 ONF220 ONV220 OOL220 OPB220 OPR220 OQH220 OQX220 ORN220 OSD220 OST220 OTJ220 OTZ220 OUP220 OVF220 OVV220 OWL220 OXB220 OXR220 OYH220 OYX220 OZN220 PAD220 PAT220 PBJ220 PBZ220 PCP220 PDF220 PDV220 PEL220 PFB220 PFR220 PGH220 PGX220 PHN220 PID220 PIT220 PJJ220 PJZ220 PKP220 PLF220 PLV220 PML220 PNB220 PNR220 POH220 POX220 PPN220 PQD220 PQT220 PRJ220 PRZ220 PSP220 PTF220 PTV220 PUL220 PVB220 PVR220 PWH220 PWX220 PXN220 PYD220 PYT220 PZJ220 PZZ220 QAP220 QBF220 QBV220 QCL220 QDB220 QDR220 QEH220 QEX220 QFN220 QGD220 QGT220 QHJ220 QHZ220 QIP220 QJF220 QJV220 QKL220 QLB220 QLR220 QMH220 QMX220 QNN220 QOD220 QOT220 QPJ220 QPZ220 QQP220 QRF220 QRV220 QSL220 QTB220 QTR220 QUH220 QUX220 QVN220 QWD220 QWT220 QXJ220 QXZ220 QYP220 QZF220 QZV220 RAL220 RBB220 RBR220 RCH220 RCX220 RDN220 RED220 RET220 RFJ220 RFZ220 RGP220 RHF220 RHV220 RIL220 RJB220 RJR220 RKH220 RKX220 RLN220 RMD220 RMT220 RNJ220 RNZ220 ROP220 RPF220 RPV220 RQL220 RRB220 RRR220 RSH220 RSX220 RTN220 RUD220 RUT220 RVJ220 RVZ220 RWP220 RXF220 RXV220 RYL220 RZB220 RZR220 SAH220 SAX220 SBN220 SCD220 SCT220 SDJ220 SDZ220 SEP220 SFF220 SFV220 SGL220 SHB220 SHR220 SIH220 SIX220 SJN220 SKD220 SKT220 SLJ220 SLZ220 SMP220 SNF220 SNV220 SOL220 SPB220 SPR220 SQH220 SQX220 SRN220 SSD220 SST220 STJ220 STZ220 SUP220 SVF220 SVV220 SWL220 SXB220 SXR220 SYH220 SYX220 SZN220 TAD220 TAT220 TBJ220 TBZ220 TCP220 TDF220 TDV220 TEL220 TFB220 TFR220 TGH220 TGX220 THN220 TID220 TIT220 TJJ220 TJZ220 TKP220 TLF220 TLV220 TML220 TNB220 TNR220 TOH220 TOX220 TPN220 TQD220 TQT220 TRJ220 TRZ220 TSP220 TTF220 TTV220 TUL220 TVB220 TVR220 TWH220 TWX220 TXN220 TYD220 TYT220 TZJ220 TZZ220 UAP220 UBF220 UBV220 UCL220 UDB220 UDR220 UEH220 UEX220 UFN220 UGD220 UGT220 UHJ220 UHZ220 UIP220 UJF220 UJV220 UKL220 ULB220 ULR220 UMH220 UMX220 UNN220 UOD220 UOT220 UPJ220 UPZ220 UQP220 URF220 URV220 USL220 UTB220 UTR220 UUH220 UUX220 UVN220 UWD220 UWT220 UXJ220 UXZ220 UYP220 UZF220 UZV220 VAL220 VBB220 VBR220 VCH220 VCX220 VDN220 VED220 VET220 VFJ220 VFZ220 VGP220 VHF220 VHV220 VIL220 VJB220 VJR220 VKH220 VKX220 VLN220 VMD220 VMT220 VNJ220 VNZ220 VOP220 VPF220 VPV220 VQL220 VRB220 VRR220 VSH220 VSX220 VTN220 VUD220 VUT220 VVJ220 VVZ220 VWP220 VXF220 VXV220 VYL220 VZB220 VZR220 WAH220 WAX220 WBN220 WCD220 WCT220 WDJ220 WDZ220 WEP220 WFF220 WFV220 WGL220 WHB220 WHR220 WIH220 WIX220 WJN220 WKD220 WKT220 WLJ220 WLZ220 WMP220 WNF220 WNV220 WOL220 WPB220 WPR220 WQH220 WQX220 WRN220 WSD220 WST220 WTJ220 WTZ220 WUP220 WVF220 WVV220 WWL220 WXB220 WXR220 WYH220 WYX220 WZN220 XAD220 XAT220 XBJ220 XBZ220 XCP220 XDF220 XDV220 XEL220 XFB220">
    <cfRule type="cellIs" dxfId="24" priority="91" operator="equal">
      <formula>"Bajo"</formula>
    </cfRule>
    <cfRule type="cellIs" dxfId="23" priority="92" operator="equal">
      <formula>"Medio"</formula>
    </cfRule>
    <cfRule type="cellIs" dxfId="22" priority="93" operator="equal">
      <formula>"Alto"</formula>
    </cfRule>
  </conditionalFormatting>
  <dataValidations count="1">
    <dataValidation type="list" allowBlank="1" showInputMessage="1" showErrorMessage="1" sqref="M228:M232 O232 Q232" xr:uid="{A40B7EA5-6F5F-4181-B7A0-1CA6EFCE3AF2}">
      <formula1>Tiendas</formula1>
    </dataValidation>
  </dataValidations>
  <pageMargins left="0.7" right="0.7" top="0.75" bottom="0.75" header="0.3" footer="0.3"/>
  <headerFooter>
    <oddFooter>&amp;C_x000D_&amp;1#&amp;"Calibri"&amp;10&amp;K000000 OXXO | Uso Interno</oddFooter>
  </headerFooter>
  <extLst>
    <ext xmlns:x14="http://schemas.microsoft.com/office/spreadsheetml/2009/9/main" uri="{CCE6A557-97BC-4b89-ADB6-D9C93CAAB3DF}">
      <x14:dataValidations xmlns:xm="http://schemas.microsoft.com/office/excel/2006/main" count="8">
        <x14:dataValidation type="list" allowBlank="1" showInputMessage="1" showErrorMessage="1" xr:uid="{0FF65D73-DD3B-4AFC-8042-B0927B6E43CD}">
          <x14:formula1>
            <xm:f>'Tiendas operando '!$G$3:$G$6</xm:f>
          </x14:formula1>
          <xm:sqref>A1 I2:I133 I150:I151</xm:sqref>
        </x14:dataValidation>
        <x14:dataValidation type="list" allowBlank="1" showInputMessage="1" showErrorMessage="1" xr:uid="{A9737744-F154-468C-BA4B-149197179FEA}">
          <x14:formula1>
            <xm:f>'Tiendas operando '!$G$9:$G$24</xm:f>
          </x14:formula1>
          <xm:sqref>J2:J23 J88:J122 J125 J131:J133 J136</xm:sqref>
        </x14:dataValidation>
        <x14:dataValidation type="list" allowBlank="1" showInputMessage="1" showErrorMessage="1" xr:uid="{978EDABA-B283-4A7A-B9A4-1B46E7ED491A}">
          <x14:formula1>
            <xm:f>'Tiendas operando '!$G$28:$G$30</xm:f>
          </x14:formula1>
          <xm:sqref>P2:Q23 V2:W122 AB2:AC122 S2:T122 Y2:Z122 N2:N122 P27:Q122 P125:Q128 S125:T125 V125:W125 P133:Q138 S134:T134 N135 S137:T138 P140:Q140 P142:Q142 S142:T142 P144:Q144 S144:T144 V144:W144 Y144:Z144 P148:Q148 S152 P155 P157 R157 P161:P163 R163 P151:P152 P166:P167 P159 P147 R169 P169:P172 P175:P176 R175 P180:P183 P185 P187 P199:P200 R199 P214 P209:P210 N137:N205 P204 R223 P223:P226 XFB220 P220 AF220 AV220 BL220 CB220 CR220 DH220 DX220 EN220 FD220 FT220 GJ220 GZ220 HP220 IF220 IV220 JL220 KB220 KR220 LH220 LX220 MN220 ND220 NT220 OJ220 OZ220 PP220 QF220 QV220 RL220 SB220 SR220 TH220 TX220 UN220 VD220 VT220 WJ220 WZ220 XP220 YF220 YV220 ZL220 AAB220 AAR220 ABH220 ABX220 ACN220 ADD220 ADT220 AEJ220 AEZ220 AFP220 AGF220 AGV220 AHL220 AIB220 AIR220 AJH220 AJX220 AKN220 ALD220 ALT220 AMJ220 AMZ220 ANP220 AOF220 AOV220 APL220 AQB220 AQR220 ARH220 ARX220 ASN220 ATD220 ATT220 AUJ220 AUZ220 AVP220 AWF220 AWV220 AXL220 AYB220 AYR220 AZH220 AZX220 BAN220 BBD220 BBT220 BCJ220 BCZ220 BDP220 BEF220 BEV220 BFL220 BGB220 BGR220 BHH220 BHX220 BIN220 BJD220 BJT220 BKJ220 BKZ220 BLP220 BMF220 BMV220 BNL220 BOB220 BOR220 BPH220 BPX220 BQN220 BRD220 BRT220 BSJ220 BSZ220 BTP220 BUF220 BUV220 BVL220 BWB220 BWR220 BXH220 BXX220 BYN220 BZD220 BZT220 CAJ220 CAZ220 CBP220 CCF220 CCV220 CDL220 CEB220 CER220 CFH220 CFX220 CGN220 CHD220 CHT220 CIJ220 CIZ220 CJP220 CKF220 CKV220 CLL220 CMB220 CMR220 CNH220 CNX220 CON220 CPD220 CPT220 CQJ220 CQZ220 CRP220 CSF220 CSV220 CTL220 CUB220 CUR220 CVH220 CVX220 CWN220 CXD220 CXT220 CYJ220 CYZ220 CZP220 DAF220 DAV220 DBL220 DCB220 DCR220 DDH220 DDX220 DEN220 DFD220 DFT220 DGJ220 DGZ220 DHP220 DIF220 DIV220 DJL220 DKB220 DKR220 DLH220 DLX220 DMN220 DND220 DNT220 DOJ220 DOZ220 DPP220 DQF220 DQV220 DRL220 DSB220 DSR220 DTH220 DTX220 DUN220 DVD220 DVT220 DWJ220 DWZ220 DXP220 DYF220 DYV220 DZL220 EAB220 EAR220 EBH220 EBX220 ECN220 EDD220 EDT220 EEJ220 EEZ220 EFP220 EGF220 EGV220 EHL220 EIB220 EIR220 EJH220 EJX220 EKN220 ELD220 ELT220 EMJ220 EMZ220 ENP220 EOF220 EOV220 EPL220 EQB220 EQR220 ERH220 ERX220 ESN220 ETD220 ETT220 EUJ220 EUZ220 EVP220 EWF220 EWV220 EXL220 EYB220 EYR220 EZH220 EZX220 FAN220 FBD220 FBT220 FCJ220 FCZ220 FDP220 FEF220 FEV220 FFL220 FGB220 FGR220 FHH220 FHX220 FIN220 FJD220 FJT220 FKJ220 FKZ220 FLP220 FMF220 FMV220 FNL220 FOB220 FOR220 FPH220 FPX220 FQN220 FRD220 FRT220 FSJ220 FSZ220 FTP220 FUF220 FUV220 FVL220 FWB220 FWR220 FXH220 FXX220 FYN220 FZD220 FZT220 GAJ220 GAZ220 GBP220 GCF220 GCV220 GDL220 GEB220 GER220 GFH220 GFX220 GGN220 GHD220 GHT220 GIJ220 GIZ220 GJP220 GKF220 GKV220 GLL220 GMB220 GMR220 GNH220 GNX220 GON220 GPD220 GPT220 GQJ220 GQZ220 GRP220 GSF220 GSV220 GTL220 GUB220 GUR220 GVH220 GVX220 GWN220 GXD220 GXT220 GYJ220 GYZ220 GZP220 HAF220 HAV220 HBL220 HCB220 HCR220 HDH220 HDX220 HEN220 HFD220 HFT220 HGJ220 HGZ220 HHP220 HIF220 HIV220 HJL220 HKB220 HKR220 HLH220 HLX220 HMN220 HND220 HNT220 HOJ220 HOZ220 HPP220 HQF220 HQV220 HRL220 HSB220 HSR220 HTH220 HTX220 HUN220 HVD220 HVT220 HWJ220 HWZ220 HXP220 HYF220 HYV220 HZL220 IAB220 IAR220 IBH220 IBX220 ICN220 IDD220 IDT220 IEJ220 IEZ220 IFP220 IGF220 IGV220 IHL220 IIB220 IIR220 IJH220 IJX220 IKN220 ILD220 ILT220 IMJ220 IMZ220 INP220 IOF220 IOV220 IPL220 IQB220 IQR220 IRH220 IRX220 ISN220 ITD220 ITT220 IUJ220 IUZ220 IVP220 IWF220 IWV220 IXL220 IYB220 IYR220 IZH220 IZX220 JAN220 JBD220 JBT220 JCJ220 JCZ220 JDP220 JEF220 JEV220 JFL220 JGB220 JGR220 JHH220 JHX220 JIN220 JJD220 JJT220 JKJ220 JKZ220 JLP220 JMF220 JMV220 JNL220 JOB220 JOR220 JPH220 JPX220 JQN220 JRD220 JRT220 JSJ220 JSZ220 JTP220 JUF220 JUV220 JVL220 JWB220 JWR220 JXH220 JXX220 JYN220 JZD220 JZT220 KAJ220 KAZ220 KBP220 KCF220 KCV220 KDL220 KEB220 KER220 KFH220 KFX220 KGN220 KHD220 KHT220 KIJ220 KIZ220 KJP220 KKF220 KKV220 KLL220 KMB220 KMR220 KNH220 KNX220 KON220 KPD220 KPT220 KQJ220 KQZ220 KRP220 KSF220 KSV220 KTL220 KUB220 KUR220 KVH220 KVX220 KWN220 KXD220 KXT220 KYJ220 KYZ220 KZP220 LAF220 LAV220 LBL220 LCB220 LCR220 LDH220 LDX220 LEN220 LFD220 LFT220 LGJ220 LGZ220 LHP220 LIF220 LIV220 LJL220 LKB220 LKR220 LLH220 LLX220 LMN220 LND220 LNT220 LOJ220 LOZ220 LPP220 LQF220 LQV220 LRL220 LSB220 LSR220 LTH220 LTX220 LUN220 LVD220 LVT220 LWJ220 LWZ220 LXP220 LYF220 LYV220 LZL220 MAB220 MAR220 MBH220 MBX220 MCN220 MDD220 MDT220 MEJ220 MEZ220 MFP220 MGF220 MGV220 MHL220 MIB220 MIR220 MJH220 MJX220 MKN220 MLD220 MLT220 MMJ220 MMZ220 MNP220 MOF220 MOV220 MPL220 MQB220 MQR220 MRH220 MRX220 MSN220 MTD220 MTT220 MUJ220 MUZ220 MVP220 MWF220 MWV220 MXL220 MYB220 MYR220 MZH220 MZX220 NAN220 NBD220 NBT220 NCJ220 NCZ220 NDP220 NEF220 NEV220 NFL220 NGB220 NGR220 NHH220 NHX220 NIN220 NJD220 NJT220 NKJ220 NKZ220 NLP220 NMF220 NMV220 NNL220 NOB220 NOR220 NPH220 NPX220 NQN220 NRD220 NRT220 NSJ220 NSZ220 NTP220 NUF220 NUV220 NVL220 NWB220 NWR220 NXH220 NXX220 NYN220 NZD220 NZT220 OAJ220 OAZ220 OBP220 OCF220 OCV220 ODL220 OEB220 OER220 OFH220 OFX220 OGN220 OHD220 OHT220 OIJ220 OIZ220 OJP220 OKF220 OKV220 OLL220 OMB220 OMR220 ONH220 ONX220 OON220 OPD220 OPT220 OQJ220 OQZ220 ORP220 OSF220 OSV220 OTL220 OUB220 OUR220 OVH220 OVX220 OWN220 OXD220 OXT220 OYJ220 OYZ220 OZP220 PAF220 PAV220 PBL220 PCB220 PCR220 PDH220 PDX220 PEN220 PFD220 PFT220 PGJ220 PGZ220 PHP220 PIF220 PIV220 PJL220 PKB220 PKR220 PLH220 PLX220 PMN220 PND220 PNT220 POJ220 POZ220 PPP220 PQF220 PQV220 PRL220 PSB220 PSR220 PTH220 PTX220 PUN220 PVD220 PVT220 PWJ220 PWZ220 PXP220 PYF220 PYV220 PZL220 QAB220 QAR220 QBH220 QBX220 QCN220 QDD220 QDT220 QEJ220 QEZ220 QFP220 QGF220 QGV220 QHL220 QIB220 QIR220 QJH220 QJX220 QKN220 QLD220 QLT220 QMJ220 QMZ220 QNP220 QOF220 QOV220 QPL220 QQB220 QQR220 QRH220 QRX220 QSN220 QTD220 QTT220 QUJ220 QUZ220 QVP220 QWF220 QWV220 QXL220 QYB220 QYR220 QZH220 QZX220 RAN220 RBD220 RBT220 RCJ220 RCZ220 RDP220 REF220 REV220 RFL220 RGB220 RGR220 RHH220 RHX220 RIN220 RJD220 RJT220 RKJ220 RKZ220 RLP220 RMF220 RMV220 RNL220 ROB220 ROR220 RPH220 RPX220 RQN220 RRD220 RRT220 RSJ220 RSZ220 RTP220 RUF220 RUV220 RVL220 RWB220 RWR220 RXH220 RXX220 RYN220 RZD220 RZT220 SAJ220 SAZ220 SBP220 SCF220 SCV220 SDL220 SEB220 SER220 SFH220 SFX220 SGN220 SHD220 SHT220 SIJ220 SIZ220 SJP220 SKF220 SKV220 SLL220 SMB220 SMR220 SNH220 SNX220 SON220 SPD220 SPT220 SQJ220 SQZ220 SRP220 SSF220 SSV220 STL220 SUB220 SUR220 SVH220 SVX220 SWN220 SXD220 SXT220 SYJ220 SYZ220 SZP220 TAF220 TAV220 TBL220 TCB220 TCR220 TDH220 TDX220 TEN220 TFD220 TFT220 TGJ220 TGZ220 THP220 TIF220 TIV220 TJL220 TKB220 TKR220 TLH220 TLX220 TMN220 TND220 TNT220 TOJ220 TOZ220 TPP220 TQF220 TQV220 TRL220 TSB220 TSR220 TTH220 TTX220 TUN220 TVD220 TVT220 TWJ220 TWZ220 TXP220 TYF220 TYV220 TZL220 UAB220 UAR220 UBH220 UBX220 UCN220 UDD220 UDT220 UEJ220 UEZ220 UFP220 UGF220 UGV220 UHL220 UIB220 UIR220 UJH220 UJX220 UKN220 ULD220 ULT220 UMJ220 UMZ220 UNP220 UOF220 UOV220 UPL220 UQB220 UQR220 URH220 URX220 USN220 UTD220 UTT220 UUJ220 UUZ220 UVP220 UWF220 UWV220 UXL220 UYB220 UYR220 UZH220 UZX220 VAN220 VBD220 VBT220 VCJ220 VCZ220 VDP220 VEF220 VEV220 VFL220 VGB220 VGR220 VHH220 VHX220 VIN220 VJD220 VJT220 VKJ220 VKZ220 VLP220 VMF220 VMV220 VNL220 VOB220 VOR220 VPH220 VPX220 VQN220 VRD220 VRT220 VSJ220 VSZ220 VTP220 VUF220 VUV220 VVL220 VWB220 VWR220 VXH220 VXX220 VYN220 VZD220 VZT220 WAJ220 WAZ220 WBP220 WCF220 WCV220 WDL220 WEB220 WER220 WFH220 WFX220 WGN220 WHD220 WHT220 WIJ220 WIZ220 WJP220 WKF220 WKV220 WLL220 WMB220 WMR220 WNH220 WNX220 WON220 WPD220 WPT220 WQJ220 WQZ220 WRP220 WSF220 WSV220 WTL220 WUB220 WUR220 WVH220 WVX220 WWN220 WXD220 WXT220 WYJ220 WYZ220 WZP220 XAF220 XAV220 XBL220 XCB220 XCR220 XDH220 XDX220 XEN220 XFD220 AD220 AT220 BJ220 BZ220 CP220 DF220 DV220 EL220 FB220 FR220 GH220 GX220 HN220 ID220 IT220 JJ220 JZ220 KP220 LF220 LV220 ML220 NB220 NR220 OH220 OX220 PN220 QD220 QT220 RJ220 RZ220 SP220 TF220 TV220 UL220 VB220 VR220 WH220 WX220 XN220 YD220 YT220 ZJ220 ZZ220 AAP220 ABF220 ABV220 ACL220 ADB220 ADR220 AEH220 AEX220 AFN220 AGD220 AGT220 AHJ220 AHZ220 AIP220 AJF220 AJV220 AKL220 ALB220 ALR220 AMH220 AMX220 ANN220 AOD220 AOT220 APJ220 APZ220 AQP220 ARF220 ARV220 ASL220 ATB220 ATR220 AUH220 AUX220 AVN220 AWD220 AWT220 AXJ220 AXZ220 AYP220 AZF220 AZV220 BAL220 BBB220 BBR220 BCH220 BCX220 BDN220 BED220 BET220 BFJ220 BFZ220 BGP220 BHF220 BHV220 BIL220 BJB220 BJR220 BKH220 BKX220 BLN220 BMD220 BMT220 BNJ220 BNZ220 BOP220 BPF220 BPV220 BQL220 BRB220 BRR220 BSH220 BSX220 BTN220 BUD220 BUT220 BVJ220 BVZ220 BWP220 BXF220 BXV220 BYL220 BZB220 BZR220 CAH220 CAX220 CBN220 CCD220 CCT220 CDJ220 CDZ220 CEP220 CFF220 CFV220 CGL220 CHB220 CHR220 CIH220 CIX220 CJN220 CKD220 CKT220 CLJ220 CLZ220 CMP220 CNF220 CNV220 COL220 CPB220 CPR220 CQH220 CQX220 CRN220 CSD220 CST220 CTJ220 CTZ220 CUP220 CVF220 CVV220 CWL220 CXB220 CXR220 CYH220 CYX220 CZN220 DAD220 DAT220 DBJ220 DBZ220 DCP220 DDF220 DDV220 DEL220 DFB220 DFR220 DGH220 DGX220 DHN220 DID220 DIT220 DJJ220 DJZ220 DKP220 DLF220 DLV220 DML220 DNB220 DNR220 DOH220 DOX220 DPN220 DQD220 DQT220 DRJ220 DRZ220 DSP220 DTF220 DTV220 DUL220 DVB220 DVR220 DWH220 DWX220 DXN220 DYD220 DYT220 DZJ220 DZZ220 EAP220 EBF220 EBV220 ECL220 EDB220 EDR220 EEH220 EEX220 EFN220 EGD220 EGT220 EHJ220 EHZ220 EIP220 EJF220 EJV220 EKL220 ELB220 ELR220 EMH220 EMX220 ENN220 EOD220 EOT220 EPJ220 EPZ220 EQP220 ERF220 ERV220 ESL220 ETB220 ETR220 EUH220 EUX220 EVN220 EWD220 EWT220 EXJ220 EXZ220 EYP220 EZF220 EZV220 FAL220 FBB220 FBR220 FCH220 FCX220 FDN220 FED220 FET220 FFJ220 FFZ220 FGP220 FHF220 FHV220 FIL220 FJB220 FJR220 FKH220 FKX220 FLN220 FMD220 FMT220 FNJ220 FNZ220 FOP220 FPF220 FPV220 FQL220 FRB220 FRR220 FSH220 FSX220 FTN220 FUD220 FUT220 FVJ220 FVZ220 FWP220 FXF220 FXV220 FYL220 FZB220 FZR220 GAH220 GAX220 GBN220 GCD220 GCT220 GDJ220 GDZ220 GEP220 GFF220 GFV220 GGL220 GHB220 GHR220 GIH220 GIX220 GJN220 GKD220 GKT220 GLJ220 GLZ220 GMP220 GNF220 GNV220 GOL220 GPB220 GPR220 GQH220 GQX220 GRN220 GSD220 GST220 GTJ220 GTZ220 GUP220 GVF220 GVV220 GWL220 GXB220 GXR220 GYH220 GYX220 GZN220 HAD220 HAT220 HBJ220 HBZ220 HCP220 HDF220 HDV220 HEL220 HFB220 HFR220 HGH220 HGX220 HHN220 HID220 HIT220 HJJ220 HJZ220 HKP220 HLF220 HLV220 HML220 HNB220 HNR220 HOH220 HOX220 HPN220 HQD220 HQT220 HRJ220 HRZ220 HSP220 HTF220 HTV220 HUL220 HVB220 HVR220 HWH220 HWX220 HXN220 HYD220 HYT220 HZJ220 HZZ220 IAP220 IBF220 IBV220 ICL220 IDB220 IDR220 IEH220 IEX220 IFN220 IGD220 IGT220 IHJ220 IHZ220 IIP220 IJF220 IJV220 IKL220 ILB220 ILR220 IMH220 IMX220 INN220 IOD220 IOT220 IPJ220 IPZ220 IQP220 IRF220 IRV220 ISL220 ITB220 ITR220 IUH220 IUX220 IVN220 IWD220 IWT220 IXJ220 IXZ220 IYP220 IZF220 IZV220 JAL220 JBB220 JBR220 JCH220 JCX220 JDN220 JED220 JET220 JFJ220 JFZ220 JGP220 JHF220 JHV220 JIL220 JJB220 JJR220 JKH220 JKX220 JLN220 JMD220 JMT220 JNJ220 JNZ220 JOP220 JPF220 JPV220 JQL220 JRB220 JRR220 JSH220 JSX220 JTN220 JUD220 JUT220 JVJ220 JVZ220 JWP220 JXF220 JXV220 JYL220 JZB220 JZR220 KAH220 KAX220 KBN220 KCD220 KCT220 KDJ220 KDZ220 KEP220 KFF220 KFV220 KGL220 KHB220 KHR220 KIH220 KIX220 KJN220 KKD220 KKT220 KLJ220 KLZ220 KMP220 KNF220 KNV220 KOL220 KPB220 KPR220 KQH220 KQX220 KRN220 KSD220 KST220 KTJ220 KTZ220 KUP220 KVF220 KVV220 KWL220 KXB220 KXR220 KYH220 KYX220 KZN220 LAD220 LAT220 LBJ220 LBZ220 LCP220 LDF220 LDV220 LEL220 LFB220 LFR220 LGH220 LGX220 LHN220 LID220 LIT220 LJJ220 LJZ220 LKP220 LLF220 LLV220 LML220 LNB220 LNR220 LOH220 LOX220 LPN220 LQD220 LQT220 LRJ220 LRZ220 LSP220 LTF220 LTV220 LUL220 LVB220 LVR220 LWH220 LWX220 LXN220 LYD220 LYT220 LZJ220 LZZ220 MAP220 MBF220 MBV220 MCL220 MDB220 MDR220 MEH220 MEX220 MFN220 MGD220 MGT220 MHJ220 MHZ220 MIP220 MJF220 MJV220 MKL220 MLB220 MLR220 MMH220 MMX220 MNN220 MOD220 MOT220 MPJ220 MPZ220 MQP220 MRF220 MRV220 MSL220 MTB220 MTR220 MUH220 MUX220 MVN220 MWD220 MWT220 MXJ220 MXZ220 MYP220 MZF220 MZV220 NAL220 NBB220 NBR220 NCH220 NCX220 NDN220 NED220 NET220 NFJ220 NFZ220 NGP220 NHF220 NHV220 NIL220 NJB220 NJR220 NKH220 NKX220 NLN220 NMD220 NMT220 NNJ220 NNZ220 NOP220 NPF220 NPV220 NQL220 NRB220 NRR220 NSH220 NSX220 NTN220 NUD220 NUT220 NVJ220 NVZ220 NWP220 NXF220 NXV220 NYL220 NZB220 NZR220 OAH220 OAX220 OBN220 OCD220 OCT220 ODJ220 ODZ220 OEP220 OFF220 OFV220 OGL220 OHB220 OHR220 OIH220 OIX220 OJN220 OKD220 OKT220 OLJ220 OLZ220 OMP220 ONF220 ONV220 OOL220 OPB220 OPR220 OQH220 OQX220 ORN220 OSD220 OST220 OTJ220 OTZ220 OUP220 OVF220 OVV220 OWL220 OXB220 OXR220 OYH220 OYX220 OZN220 PAD220 PAT220 PBJ220 PBZ220 PCP220 PDF220 PDV220 PEL220 PFB220 PFR220 PGH220 PGX220 PHN220 PID220 PIT220 PJJ220 PJZ220 PKP220 PLF220 PLV220 PML220 PNB220 PNR220 POH220 POX220 PPN220 PQD220 PQT220 PRJ220 PRZ220 PSP220 PTF220 PTV220 PUL220 PVB220 PVR220 PWH220 PWX220 PXN220 PYD220 PYT220 PZJ220 PZZ220 QAP220 QBF220 QBV220 QCL220 QDB220 QDR220 QEH220 QEX220 QFN220 QGD220 QGT220 QHJ220 QHZ220 QIP220 QJF220 QJV220 QKL220 QLB220 QLR220 QMH220 QMX220 QNN220 QOD220 QOT220 QPJ220 QPZ220 QQP220 QRF220 QRV220 QSL220 QTB220 QTR220 QUH220 QUX220 QVN220 QWD220 QWT220 QXJ220 QXZ220 QYP220 QZF220 QZV220 RAL220 RBB220 RBR220 RCH220 RCX220 RDN220 RED220 RET220 RFJ220 RFZ220 RGP220 RHF220 RHV220 RIL220 RJB220 RJR220 RKH220 RKX220 RLN220 RMD220 RMT220 RNJ220 RNZ220 ROP220 RPF220 RPV220 RQL220 RRB220 RRR220 RSH220 RSX220 RTN220 RUD220 RUT220 RVJ220 RVZ220 RWP220 RXF220 RXV220 RYL220 RZB220 RZR220 SAH220 SAX220 SBN220 SCD220 SCT220 SDJ220 SDZ220 SEP220 SFF220 SFV220 SGL220 SHB220 SHR220 SIH220 SIX220 SJN220 SKD220 SKT220 SLJ220 SLZ220 SMP220 SNF220 SNV220 SOL220 SPB220 SPR220 SQH220 SQX220 SRN220 SSD220 SST220 STJ220 STZ220 SUP220 SVF220 SVV220 SWL220 SXB220 SXR220 SYH220 SYX220 SZN220 TAD220 TAT220 TBJ220 TBZ220 TCP220 TDF220 TDV220 TEL220 TFB220 TFR220 TGH220 TGX220 THN220 TID220 TIT220 TJJ220 TJZ220 TKP220 TLF220 TLV220 TML220 TNB220 TNR220 TOH220 TOX220 TPN220 TQD220 TQT220 TRJ220 TRZ220 TSP220 TTF220 TTV220 TUL220 TVB220 TVR220 TWH220 TWX220 TXN220 TYD220 TYT220 TZJ220 TZZ220 UAP220 UBF220 UBV220 UCL220 UDB220 UDR220 UEH220 UEX220 UFN220 UGD220 UGT220 UHJ220 UHZ220 UIP220 UJF220 UJV220 UKL220 ULB220 ULR220 UMH220 UMX220 UNN220 UOD220 UOT220 UPJ220 UPZ220 UQP220 URF220 URV220 USL220 UTB220 UTR220 UUH220 UUX220 UVN220 UWD220 UWT220 UXJ220 UXZ220 UYP220 UZF220 UZV220 VAL220 VBB220 VBR220 VCH220 VCX220 VDN220 VED220 VET220 VFJ220 VFZ220 VGP220 VHF220 VHV220 VIL220 VJB220 VJR220 VKH220 VKX220 VLN220 VMD220 VMT220 VNJ220 VNZ220 VOP220 VPF220 VPV220 VQL220 VRB220 VRR220 VSH220 VSX220 VTN220 VUD220 VUT220 VVJ220 VVZ220 VWP220 VXF220 VXV220 VYL220 VZB220 VZR220 WAH220 WAX220 WBN220 WCD220 WCT220 WDJ220 WDZ220 WEP220 WFF220 WFV220 WGL220 WHB220 WHR220 WIH220 WIX220 WJN220 WKD220 WKT220 WLJ220 WLZ220 WMP220 WNF220 WNV220 WOL220 WPB220 WPR220 WQH220 WQX220 WRN220 WSD220 WST220 WTJ220 WTZ220 WUP220 WVF220 WVV220 WWL220 WXB220 WXR220 WYH220 WYX220 WZN220 XAD220 XAT220 XBJ220 XBZ220 XCP220 XDF220 XDV220 XEL220 N207:N233 P232 R232:R264 P236:P259 N236:N477</xm:sqref>
        </x14:dataValidation>
        <x14:dataValidation type="list" allowBlank="1" showInputMessage="1" showErrorMessage="1" xr:uid="{6A38D8DE-2410-4AD0-997C-E5F5F19F68C3}">
          <x14:formula1>
            <xm:f>'Tiendas operando '!$C$2:$C$75</xm:f>
          </x14:formula1>
          <xm:sqref>G90:G123 G125:G133</xm:sqref>
        </x14:dataValidation>
        <x14:dataValidation type="list" allowBlank="1" showInputMessage="1" showErrorMessage="1" xr:uid="{48E148DA-9EC5-4BAC-9CBE-18F983F4ECEF}">
          <x14:formula1>
            <xm:f>'Tiendas operando '!$B$2:$B$626</xm:f>
          </x14:formula1>
          <xm:sqref>U2:U122 O2:O122 X2:X122 AA2:AA122 R2:R122 M2:M124 O125:O128 R125 U125 M126:M136 O131:O138 R131:R134 R137:R138 O159 O140 O142 R142 O144 R144 U144 X144 O147:O148 O166:O167 O152 R152 O155 O157 Q157 O161:O163 Q163 M139:M149 Q169 O169:O172 Q175 O175:O176 O180:O185 O187 Q199 O199:O200 M152:M203 M217:M218 XFC220 O224:O226 M220 AC220 AS220 BI220 BY220 CO220 DE220 DU220 EK220 FA220 FQ220 GG220 GW220 HM220 IC220 IS220 JI220 JY220 KO220 LE220 LU220 MK220 NA220 NQ220 OG220 OW220 PM220 QC220 QS220 RI220 RY220 SO220 TE220 TU220 UK220 VA220 VQ220 WG220 WW220 XM220 YC220 YS220 ZI220 ZY220 AAO220 ABE220 ABU220 ACK220 ADA220 ADQ220 AEG220 AEW220 AFM220 AGC220 AGS220 AHI220 AHY220 AIO220 AJE220 AJU220 AKK220 ALA220 ALQ220 AMG220 AMW220 ANM220 AOC220 AOS220 API220 APY220 AQO220 ARE220 ARU220 ASK220 ATA220 ATQ220 AUG220 AUW220 AVM220 AWC220 AWS220 AXI220 AXY220 AYO220 AZE220 AZU220 BAK220 BBA220 BBQ220 BCG220 BCW220 BDM220 BEC220 BES220 BFI220 BFY220 BGO220 BHE220 BHU220 BIK220 BJA220 BJQ220 BKG220 BKW220 BLM220 BMC220 BMS220 BNI220 BNY220 BOO220 BPE220 BPU220 BQK220 BRA220 BRQ220 BSG220 BSW220 BTM220 BUC220 BUS220 BVI220 BVY220 BWO220 BXE220 BXU220 BYK220 BZA220 BZQ220 CAG220 CAW220 CBM220 CCC220 CCS220 CDI220 CDY220 CEO220 CFE220 CFU220 CGK220 CHA220 CHQ220 CIG220 CIW220 CJM220 CKC220 CKS220 CLI220 CLY220 CMO220 CNE220 CNU220 COK220 CPA220 CPQ220 CQG220 CQW220 CRM220 CSC220 CSS220 CTI220 CTY220 CUO220 CVE220 CVU220 CWK220 CXA220 CXQ220 CYG220 CYW220 CZM220 DAC220 DAS220 DBI220 DBY220 DCO220 DDE220 DDU220 DEK220 DFA220 DFQ220 DGG220 DGW220 DHM220 DIC220 DIS220 DJI220 DJY220 DKO220 DLE220 DLU220 DMK220 DNA220 DNQ220 DOG220 DOW220 DPM220 DQC220 DQS220 DRI220 DRY220 DSO220 DTE220 DTU220 DUK220 DVA220 DVQ220 DWG220 DWW220 DXM220 DYC220 DYS220 DZI220 DZY220 EAO220 EBE220 EBU220 ECK220 EDA220 EDQ220 EEG220 EEW220 EFM220 EGC220 EGS220 EHI220 EHY220 EIO220 EJE220 EJU220 EKK220 ELA220 ELQ220 EMG220 EMW220 ENM220 EOC220 EOS220 EPI220 EPY220 EQO220 ERE220 ERU220 ESK220 ETA220 ETQ220 EUG220 EUW220 EVM220 EWC220 EWS220 EXI220 EXY220 EYO220 EZE220 EZU220 FAK220 FBA220 FBQ220 FCG220 FCW220 FDM220 FEC220 FES220 FFI220 FFY220 FGO220 FHE220 FHU220 FIK220 FJA220 FJQ220 FKG220 FKW220 FLM220 FMC220 FMS220 FNI220 FNY220 FOO220 FPE220 FPU220 FQK220 FRA220 FRQ220 FSG220 FSW220 FTM220 FUC220 FUS220 FVI220 FVY220 FWO220 FXE220 FXU220 FYK220 FZA220 FZQ220 GAG220 GAW220 GBM220 GCC220 GCS220 GDI220 GDY220 GEO220 GFE220 GFU220 GGK220 GHA220 GHQ220 GIG220 GIW220 GJM220 GKC220 GKS220 GLI220 GLY220 GMO220 GNE220 GNU220 GOK220 GPA220 GPQ220 GQG220 GQW220 GRM220 GSC220 GSS220 GTI220 GTY220 GUO220 GVE220 GVU220 GWK220 GXA220 GXQ220 GYG220 GYW220 GZM220 HAC220 HAS220 HBI220 HBY220 HCO220 HDE220 HDU220 HEK220 HFA220 HFQ220 HGG220 HGW220 HHM220 HIC220 HIS220 HJI220 HJY220 HKO220 HLE220 HLU220 HMK220 HNA220 HNQ220 HOG220 HOW220 HPM220 HQC220 HQS220 HRI220 HRY220 HSO220 HTE220 HTU220 HUK220 HVA220 HVQ220 HWG220 HWW220 HXM220 HYC220 HYS220 HZI220 HZY220 IAO220 IBE220 IBU220 ICK220 IDA220 IDQ220 IEG220 IEW220 IFM220 IGC220 IGS220 IHI220 IHY220 IIO220 IJE220 IJU220 IKK220 ILA220 ILQ220 IMG220 IMW220 INM220 IOC220 IOS220 IPI220 IPY220 IQO220 IRE220 IRU220 ISK220 ITA220 ITQ220 IUG220 IUW220 IVM220 IWC220 IWS220 IXI220 IXY220 IYO220 IZE220 IZU220 JAK220 JBA220 JBQ220 JCG220 JCW220 JDM220 JEC220 JES220 JFI220 JFY220 JGO220 JHE220 JHU220 JIK220 JJA220 JJQ220 JKG220 JKW220 JLM220 JMC220 JMS220 JNI220 JNY220 JOO220 JPE220 JPU220 JQK220 JRA220 JRQ220 JSG220 JSW220 JTM220 JUC220 JUS220 JVI220 JVY220 JWO220 JXE220 JXU220 JYK220 JZA220 JZQ220 KAG220 KAW220 KBM220 KCC220 KCS220 KDI220 KDY220 KEO220 KFE220 KFU220 KGK220 KHA220 KHQ220 KIG220 KIW220 KJM220 KKC220 KKS220 KLI220 KLY220 KMO220 KNE220 KNU220 KOK220 KPA220 KPQ220 KQG220 KQW220 KRM220 KSC220 KSS220 KTI220 KTY220 KUO220 KVE220 KVU220 KWK220 KXA220 KXQ220 KYG220 KYW220 KZM220 LAC220 LAS220 LBI220 LBY220 LCO220 LDE220 LDU220 LEK220 LFA220 LFQ220 LGG220 LGW220 LHM220 LIC220 LIS220 LJI220 LJY220 LKO220 LLE220 LLU220 LMK220 LNA220 LNQ220 LOG220 LOW220 LPM220 LQC220 LQS220 LRI220 LRY220 LSO220 LTE220 LTU220 LUK220 LVA220 LVQ220 LWG220 LWW220 LXM220 LYC220 LYS220 LZI220 LZY220 MAO220 MBE220 MBU220 MCK220 MDA220 MDQ220 MEG220 MEW220 MFM220 MGC220 MGS220 MHI220 MHY220 MIO220 MJE220 MJU220 MKK220 MLA220 MLQ220 MMG220 MMW220 MNM220 MOC220 MOS220 MPI220 MPY220 MQO220 MRE220 MRU220 MSK220 MTA220 MTQ220 MUG220 MUW220 MVM220 MWC220 MWS220 MXI220 MXY220 MYO220 MZE220 MZU220 NAK220 NBA220 NBQ220 NCG220 NCW220 NDM220 NEC220 NES220 NFI220 NFY220 NGO220 NHE220 NHU220 NIK220 NJA220 NJQ220 NKG220 NKW220 NLM220 NMC220 NMS220 NNI220 NNY220 NOO220 NPE220 NPU220 NQK220 NRA220 NRQ220 NSG220 NSW220 NTM220 NUC220 NUS220 NVI220 NVY220 NWO220 NXE220 NXU220 NYK220 NZA220 NZQ220 OAG220 OAW220 OBM220 OCC220 OCS220 ODI220 ODY220 OEO220 OFE220 OFU220 OGK220 OHA220 OHQ220 OIG220 OIW220 OJM220 OKC220 OKS220 OLI220 OLY220 OMO220 ONE220 ONU220 OOK220 OPA220 OPQ220 OQG220 OQW220 ORM220 OSC220 OSS220 OTI220 OTY220 OUO220 OVE220 OVU220 OWK220 OXA220 OXQ220 OYG220 OYW220 OZM220 PAC220 PAS220 PBI220 PBY220 PCO220 PDE220 PDU220 PEK220 PFA220 PFQ220 PGG220 PGW220 PHM220 PIC220 PIS220 PJI220 PJY220 PKO220 PLE220 PLU220 PMK220 PNA220 PNQ220 POG220 POW220 PPM220 PQC220 PQS220 PRI220 PRY220 PSO220 PTE220 PTU220 PUK220 PVA220 PVQ220 PWG220 PWW220 PXM220 PYC220 PYS220 PZI220 PZY220 QAO220 QBE220 QBU220 QCK220 QDA220 QDQ220 QEG220 QEW220 QFM220 QGC220 QGS220 QHI220 QHY220 QIO220 QJE220 QJU220 QKK220 QLA220 QLQ220 QMG220 QMW220 QNM220 QOC220 QOS220 QPI220 QPY220 QQO220 QRE220 QRU220 QSK220 QTA220 QTQ220 QUG220 QUW220 QVM220 QWC220 QWS220 QXI220 QXY220 QYO220 QZE220 QZU220 RAK220 RBA220 RBQ220 RCG220 RCW220 RDM220 REC220 RES220 RFI220 RFY220 RGO220 RHE220 RHU220 RIK220 RJA220 RJQ220 RKG220 RKW220 RLM220 RMC220 RMS220 RNI220 RNY220 ROO220 RPE220 RPU220 RQK220 RRA220 RRQ220 RSG220 RSW220 RTM220 RUC220 RUS220 RVI220 RVY220 RWO220 RXE220 RXU220 RYK220 RZA220 RZQ220 SAG220 SAW220 SBM220 SCC220 SCS220 SDI220 SDY220 SEO220 SFE220 SFU220 SGK220 SHA220 SHQ220 SIG220 SIW220 SJM220 SKC220 SKS220 SLI220 SLY220 SMO220 SNE220 SNU220 SOK220 SPA220 SPQ220 SQG220 SQW220 SRM220 SSC220 SSS220 STI220 STY220 SUO220 SVE220 SVU220 SWK220 SXA220 SXQ220 SYG220 SYW220 SZM220 TAC220 TAS220 TBI220 TBY220 TCO220 TDE220 TDU220 TEK220 TFA220 TFQ220 TGG220 TGW220 THM220 TIC220 TIS220 TJI220 TJY220 TKO220 TLE220 TLU220 TMK220 TNA220 TNQ220 TOG220 TOW220 TPM220 TQC220 TQS220 TRI220 TRY220 TSO220 TTE220 TTU220 TUK220 TVA220 TVQ220 TWG220 TWW220 TXM220 TYC220 TYS220 TZI220 TZY220 UAO220 UBE220 UBU220 UCK220 UDA220 UDQ220 UEG220 UEW220 UFM220 UGC220 UGS220 UHI220 UHY220 UIO220 UJE220 UJU220 UKK220 ULA220 ULQ220 UMG220 UMW220 UNM220 UOC220 UOS220 UPI220 UPY220 UQO220 URE220 URU220 USK220 UTA220 UTQ220 UUG220 UUW220 UVM220 UWC220 UWS220 UXI220 UXY220 UYO220 UZE220 UZU220 VAK220 VBA220 VBQ220 VCG220 VCW220 VDM220 VEC220 VES220 VFI220 VFY220 VGO220 VHE220 VHU220 VIK220 VJA220 VJQ220 VKG220 VKW220 VLM220 VMC220 VMS220 VNI220 VNY220 VOO220 VPE220 VPU220 VQK220 VRA220 VRQ220 VSG220 VSW220 VTM220 VUC220 VUS220 VVI220 VVY220 VWO220 VXE220 VXU220 VYK220 VZA220 VZQ220 WAG220 WAW220 WBM220 WCC220 WCS220 WDI220 WDY220 WEO220 WFE220 WFU220 WGK220 WHA220 WHQ220 WIG220 WIW220 WJM220 WKC220 WKS220 WLI220 WLY220 WMO220 WNE220 WNU220 WOK220 WPA220 WPQ220 WQG220 WQW220 WRM220 WSC220 WSS220 WTI220 WTY220 WUO220 WVE220 WVU220 WWK220 WXA220 WXQ220 WYG220 WYW220 WZM220 XAC220 XAS220 XBI220 XBY220 XCO220 XDE220 XDU220 XEK220 XFA220 O220 AE220 AU220 BK220 CA220 CQ220 DG220 DW220 EM220 FC220 FS220 GI220 GY220 HO220 IE220 IU220 JK220 KA220 KQ220 LG220 LW220 MM220 NC220 NS220 OI220 OY220 PO220 QE220 QU220 RK220 SA220 SQ220 TG220 TW220 UM220 VC220 VS220 WI220 WY220 XO220 YE220 YU220 ZK220 AAA220 AAQ220 ABG220 ABW220 ACM220 ADC220 ADS220 AEI220 AEY220 AFO220 AGE220 AGU220 AHK220 AIA220 AIQ220 AJG220 AJW220 AKM220 ALC220 ALS220 AMI220 AMY220 ANO220 AOE220 AOU220 APK220 AQA220 AQQ220 ARG220 ARW220 ASM220 ATC220 ATS220 AUI220 AUY220 AVO220 AWE220 AWU220 AXK220 AYA220 AYQ220 AZG220 AZW220 BAM220 BBC220 BBS220 BCI220 BCY220 BDO220 BEE220 BEU220 BFK220 BGA220 BGQ220 BHG220 BHW220 BIM220 BJC220 BJS220 BKI220 BKY220 BLO220 BME220 BMU220 BNK220 BOA220 BOQ220 BPG220 BPW220 BQM220 BRC220 BRS220 BSI220 BSY220 BTO220 BUE220 BUU220 BVK220 BWA220 BWQ220 BXG220 BXW220 BYM220 BZC220 BZS220 CAI220 CAY220 CBO220 CCE220 CCU220 CDK220 CEA220 CEQ220 CFG220 CFW220 CGM220 CHC220 CHS220 CII220 CIY220 CJO220 CKE220 CKU220 CLK220 CMA220 CMQ220 CNG220 CNW220 COM220 CPC220 CPS220 CQI220 CQY220 CRO220 CSE220 CSU220 CTK220 CUA220 CUQ220 CVG220 CVW220 CWM220 CXC220 CXS220 CYI220 CYY220 CZO220 DAE220 DAU220 DBK220 DCA220 DCQ220 DDG220 DDW220 DEM220 DFC220 DFS220 DGI220 DGY220 DHO220 DIE220 DIU220 DJK220 DKA220 DKQ220 DLG220 DLW220 DMM220 DNC220 DNS220 DOI220 DOY220 DPO220 DQE220 DQU220 DRK220 DSA220 DSQ220 DTG220 DTW220 DUM220 DVC220 DVS220 DWI220 DWY220 DXO220 DYE220 DYU220 DZK220 EAA220 EAQ220 EBG220 EBW220 ECM220 EDC220 EDS220 EEI220 EEY220 EFO220 EGE220 EGU220 EHK220 EIA220 EIQ220 EJG220 EJW220 EKM220 ELC220 ELS220 EMI220 EMY220 ENO220 EOE220 EOU220 EPK220 EQA220 EQQ220 ERG220 ERW220 ESM220 ETC220 ETS220 EUI220 EUY220 EVO220 EWE220 EWU220 EXK220 EYA220 EYQ220 EZG220 EZW220 FAM220 FBC220 FBS220 FCI220 FCY220 FDO220 FEE220 FEU220 FFK220 FGA220 FGQ220 FHG220 FHW220 FIM220 FJC220 FJS220 FKI220 FKY220 FLO220 FME220 FMU220 FNK220 FOA220 FOQ220 FPG220 FPW220 FQM220 FRC220 FRS220 FSI220 FSY220 FTO220 FUE220 FUU220 FVK220 FWA220 FWQ220 FXG220 FXW220 FYM220 FZC220 FZS220 GAI220 GAY220 GBO220 GCE220 GCU220 GDK220 GEA220 GEQ220 GFG220 GFW220 GGM220 GHC220 GHS220 GII220 GIY220 GJO220 GKE220 GKU220 GLK220 GMA220 GMQ220 GNG220 GNW220 GOM220 GPC220 GPS220 GQI220 GQY220 GRO220 GSE220 GSU220 GTK220 GUA220 GUQ220 GVG220 GVW220 GWM220 GXC220 GXS220 GYI220 GYY220 GZO220 HAE220 HAU220 HBK220 HCA220 HCQ220 HDG220 HDW220 HEM220 HFC220 HFS220 HGI220 HGY220 HHO220 HIE220 HIU220 HJK220 HKA220 HKQ220 HLG220 HLW220 HMM220 HNC220 HNS220 HOI220 HOY220 HPO220 HQE220 HQU220 HRK220 HSA220 HSQ220 HTG220 HTW220 HUM220 HVC220 HVS220 HWI220 HWY220 HXO220 HYE220 HYU220 HZK220 IAA220 IAQ220 IBG220 IBW220 ICM220 IDC220 IDS220 IEI220 IEY220 IFO220 IGE220 IGU220 IHK220 IIA220 IIQ220 IJG220 IJW220 IKM220 ILC220 ILS220 IMI220 IMY220 INO220 IOE220 IOU220 IPK220 IQA220 IQQ220 IRG220 IRW220 ISM220 ITC220 ITS220 IUI220 IUY220 IVO220 IWE220 IWU220 IXK220 IYA220 IYQ220 IZG220 IZW220 JAM220 JBC220 JBS220 JCI220 JCY220 JDO220 JEE220 JEU220 JFK220 JGA220 JGQ220 JHG220 JHW220 JIM220 JJC220 JJS220 JKI220 JKY220 JLO220 JME220 JMU220 JNK220 JOA220 JOQ220 JPG220 JPW220 JQM220 JRC220 JRS220 JSI220 JSY220 JTO220 JUE220 JUU220 JVK220 JWA220 JWQ220 JXG220 JXW220 JYM220 JZC220 JZS220 KAI220 KAY220 KBO220 KCE220 KCU220 KDK220 KEA220 KEQ220 KFG220 KFW220 KGM220 KHC220 KHS220 KII220 KIY220 KJO220 KKE220 KKU220 KLK220 KMA220 KMQ220 KNG220 KNW220 KOM220 KPC220 KPS220 KQI220 KQY220 KRO220 KSE220 KSU220 KTK220 KUA220 KUQ220 KVG220 KVW220 KWM220 KXC220 KXS220 KYI220 KYY220 KZO220 LAE220 LAU220 LBK220 LCA220 LCQ220 LDG220 LDW220 LEM220 LFC220 LFS220 LGI220 LGY220 LHO220 LIE220 LIU220 LJK220 LKA220 LKQ220 LLG220 LLW220 LMM220 LNC220 LNS220 LOI220 LOY220 LPO220 LQE220 LQU220 LRK220 LSA220 LSQ220 LTG220 LTW220 LUM220 LVC220 LVS220 LWI220 LWY220 LXO220 LYE220 LYU220 LZK220 MAA220 MAQ220 MBG220 MBW220 MCM220 MDC220 MDS220 MEI220 MEY220 MFO220 MGE220 MGU220 MHK220 MIA220 MIQ220 MJG220 MJW220 MKM220 MLC220 MLS220 MMI220 MMY220 MNO220 MOE220 MOU220 MPK220 MQA220 MQQ220 MRG220 MRW220 MSM220 MTC220 MTS220 MUI220 MUY220 MVO220 MWE220 MWU220 MXK220 MYA220 MYQ220 MZG220 MZW220 NAM220 NBC220 NBS220 NCI220 NCY220 NDO220 NEE220 NEU220 NFK220 NGA220 NGQ220 NHG220 NHW220 NIM220 NJC220 NJS220 NKI220 NKY220 NLO220 NME220 NMU220 NNK220 NOA220 NOQ220 NPG220 NPW220 NQM220 NRC220 NRS220 NSI220 NSY220 NTO220 NUE220 NUU220 NVK220 NWA220 NWQ220 NXG220 NXW220 NYM220 NZC220 NZS220 OAI220 OAY220 OBO220 OCE220 OCU220 ODK220 OEA220 OEQ220 OFG220 OFW220 OGM220 OHC220 OHS220 OII220 OIY220 OJO220 OKE220 OKU220 OLK220 OMA220 OMQ220 ONG220 ONW220 OOM220 OPC220 OPS220 OQI220 OQY220 ORO220 OSE220 OSU220 OTK220 OUA220 OUQ220 OVG220 OVW220 OWM220 OXC220 OXS220 OYI220 OYY220 OZO220 PAE220 PAU220 PBK220 PCA220 PCQ220 PDG220 PDW220 PEM220 PFC220 PFS220 PGI220 PGY220 PHO220 PIE220 PIU220 PJK220 PKA220 PKQ220 PLG220 PLW220 PMM220 PNC220 PNS220 POI220 POY220 PPO220 PQE220 PQU220 PRK220 PSA220 PSQ220 PTG220 PTW220 PUM220 PVC220 PVS220 PWI220 PWY220 PXO220 PYE220 PYU220 PZK220 QAA220 QAQ220 QBG220 QBW220 QCM220 QDC220 QDS220 QEI220 QEY220 QFO220 QGE220 QGU220 QHK220 QIA220 QIQ220 QJG220 QJW220 QKM220 QLC220 QLS220 QMI220 QMY220 QNO220 QOE220 QOU220 QPK220 QQA220 QQQ220 QRG220 QRW220 QSM220 QTC220 QTS220 QUI220 QUY220 QVO220 QWE220 QWU220 QXK220 QYA220 QYQ220 QZG220 QZW220 RAM220 RBC220 RBS220 RCI220 RCY220 RDO220 REE220 REU220 RFK220 RGA220 RGQ220 RHG220 RHW220 RIM220 RJC220 RJS220 RKI220 RKY220 RLO220 RME220 RMU220 RNK220 ROA220 ROQ220 RPG220 RPW220 RQM220 RRC220 RRS220 RSI220 RSY220 RTO220 RUE220 RUU220 RVK220 RWA220 RWQ220 RXG220 RXW220 RYM220 RZC220 RZS220 SAI220 SAY220 SBO220 SCE220 SCU220 SDK220 SEA220 SEQ220 SFG220 SFW220 SGM220 SHC220 SHS220 SII220 SIY220 SJO220 SKE220 SKU220 SLK220 SMA220 SMQ220 SNG220 SNW220 SOM220 SPC220 SPS220 SQI220 SQY220 SRO220 SSE220 SSU220 STK220 SUA220 SUQ220 SVG220 SVW220 SWM220 SXC220 SXS220 SYI220 SYY220 SZO220 TAE220 TAU220 TBK220 TCA220 TCQ220 TDG220 TDW220 TEM220 TFC220 TFS220 TGI220 TGY220 THO220 TIE220 TIU220 TJK220 TKA220 TKQ220 TLG220 TLW220 TMM220 TNC220 TNS220 TOI220 TOY220 TPO220 TQE220 TQU220 TRK220 TSA220 TSQ220 TTG220 TTW220 TUM220 TVC220 TVS220 TWI220 TWY220 TXO220 TYE220 TYU220 TZK220 UAA220 UAQ220 UBG220 UBW220 UCM220 UDC220 UDS220 UEI220 UEY220 UFO220 UGE220 UGU220 UHK220 UIA220 UIQ220 UJG220 UJW220 UKM220 ULC220 ULS220 UMI220 UMY220 UNO220 UOE220 UOU220 UPK220 UQA220 UQQ220 URG220 URW220 USM220 UTC220 UTS220 UUI220 UUY220 UVO220 UWE220 UWU220 UXK220 UYA220 UYQ220 UZG220 UZW220 VAM220 VBC220 VBS220 VCI220 VCY220 VDO220 VEE220 VEU220 VFK220 VGA220 VGQ220 VHG220 VHW220 VIM220 VJC220 VJS220 VKI220 VKY220 VLO220 VME220 VMU220 VNK220 VOA220 VOQ220 VPG220 VPW220 VQM220 VRC220 VRS220 VSI220 VSY220 VTO220 VUE220 VUU220 VVK220 VWA220 VWQ220 VXG220 VXW220 VYM220 VZC220 VZS220 WAI220 WAY220 WBO220 WCE220 WCU220 WDK220 WEA220 WEQ220 WFG220 WFW220 WGM220 WHC220 WHS220 WII220 WIY220 WJO220 WKE220 WKU220 WLK220 WMA220 WMQ220 WNG220 WNW220 WOM220 WPC220 WPS220 WQI220 WQY220 WRO220 WSE220 WSU220 WTK220 WUA220 WUQ220 WVG220 WVW220 WWM220 WXC220 WXS220 WYI220 WYY220 WZO220 XAE220 XAU220 XBK220 XCA220 XCQ220 XDG220 XDW220 XEM220 M224:M227</xm:sqref>
        </x14:dataValidation>
        <x14:dataValidation type="list" allowBlank="1" showInputMessage="1" showErrorMessage="1" xr:uid="{9DFFC9E4-C69A-4E80-A345-63B2FAC7D009}">
          <x14:formula1>
            <xm:f>'Tiendas operando '!$J$11:$J$12</xm:f>
          </x14:formula1>
          <xm:sqref>E125:E132</xm:sqref>
        </x14:dataValidation>
        <x14:dataValidation type="list" allowBlank="1" showInputMessage="1" showErrorMessage="1" xr:uid="{5573A402-A057-4733-879A-A875A0542D73}">
          <x14:formula1>
            <xm:f>'Tiendas operando '!$G$9:$G$25</xm:f>
          </x14:formula1>
          <xm:sqref>J134:J135 P143:Q143 J137:J149 J152:J192 J195:J202 XEX220 J204:J221 Z220 AP220 BF220 BV220 CL220 DB220 DR220 EH220 EX220 FN220 GD220 GT220 HJ220 HZ220 IP220 JF220 JV220 KL220 LB220 LR220 MH220 MX220 NN220 OD220 OT220 PJ220 PZ220 QP220 RF220 RV220 SL220 TB220 TR220 UH220 UX220 VN220 WD220 WT220 XJ220 XZ220 YP220 ZF220 ZV220 AAL220 ABB220 ABR220 ACH220 ACX220 ADN220 AED220 AET220 AFJ220 AFZ220 AGP220 AHF220 AHV220 AIL220 AJB220 AJR220 AKH220 AKX220 ALN220 AMD220 AMT220 ANJ220 ANZ220 AOP220 APF220 APV220 AQL220 ARB220 ARR220 ASH220 ASX220 ATN220 AUD220 AUT220 AVJ220 AVZ220 AWP220 AXF220 AXV220 AYL220 AZB220 AZR220 BAH220 BAX220 BBN220 BCD220 BCT220 BDJ220 BDZ220 BEP220 BFF220 BFV220 BGL220 BHB220 BHR220 BIH220 BIX220 BJN220 BKD220 BKT220 BLJ220 BLZ220 BMP220 BNF220 BNV220 BOL220 BPB220 BPR220 BQH220 BQX220 BRN220 BSD220 BST220 BTJ220 BTZ220 BUP220 BVF220 BVV220 BWL220 BXB220 BXR220 BYH220 BYX220 BZN220 CAD220 CAT220 CBJ220 CBZ220 CCP220 CDF220 CDV220 CEL220 CFB220 CFR220 CGH220 CGX220 CHN220 CID220 CIT220 CJJ220 CJZ220 CKP220 CLF220 CLV220 CML220 CNB220 CNR220 COH220 COX220 CPN220 CQD220 CQT220 CRJ220 CRZ220 CSP220 CTF220 CTV220 CUL220 CVB220 CVR220 CWH220 CWX220 CXN220 CYD220 CYT220 CZJ220 CZZ220 DAP220 DBF220 DBV220 DCL220 DDB220 DDR220 DEH220 DEX220 DFN220 DGD220 DGT220 DHJ220 DHZ220 DIP220 DJF220 DJV220 DKL220 DLB220 DLR220 DMH220 DMX220 DNN220 DOD220 DOT220 DPJ220 DPZ220 DQP220 DRF220 DRV220 DSL220 DTB220 DTR220 DUH220 DUX220 DVN220 DWD220 DWT220 DXJ220 DXZ220 DYP220 DZF220 DZV220 EAL220 EBB220 EBR220 ECH220 ECX220 EDN220 EED220 EET220 EFJ220 EFZ220 EGP220 EHF220 EHV220 EIL220 EJB220 EJR220 EKH220 EKX220 ELN220 EMD220 EMT220 ENJ220 ENZ220 EOP220 EPF220 EPV220 EQL220 ERB220 ERR220 ESH220 ESX220 ETN220 EUD220 EUT220 EVJ220 EVZ220 EWP220 EXF220 EXV220 EYL220 EZB220 EZR220 FAH220 FAX220 FBN220 FCD220 FCT220 FDJ220 FDZ220 FEP220 FFF220 FFV220 FGL220 FHB220 FHR220 FIH220 FIX220 FJN220 FKD220 FKT220 FLJ220 FLZ220 FMP220 FNF220 FNV220 FOL220 FPB220 FPR220 FQH220 FQX220 FRN220 FSD220 FST220 FTJ220 FTZ220 FUP220 FVF220 FVV220 FWL220 FXB220 FXR220 FYH220 FYX220 FZN220 GAD220 GAT220 GBJ220 GBZ220 GCP220 GDF220 GDV220 GEL220 GFB220 GFR220 GGH220 GGX220 GHN220 GID220 GIT220 GJJ220 GJZ220 GKP220 GLF220 GLV220 GML220 GNB220 GNR220 GOH220 GOX220 GPN220 GQD220 GQT220 GRJ220 GRZ220 GSP220 GTF220 GTV220 GUL220 GVB220 GVR220 GWH220 GWX220 GXN220 GYD220 GYT220 GZJ220 GZZ220 HAP220 HBF220 HBV220 HCL220 HDB220 HDR220 HEH220 HEX220 HFN220 HGD220 HGT220 HHJ220 HHZ220 HIP220 HJF220 HJV220 HKL220 HLB220 HLR220 HMH220 HMX220 HNN220 HOD220 HOT220 HPJ220 HPZ220 HQP220 HRF220 HRV220 HSL220 HTB220 HTR220 HUH220 HUX220 HVN220 HWD220 HWT220 HXJ220 HXZ220 HYP220 HZF220 HZV220 IAL220 IBB220 IBR220 ICH220 ICX220 IDN220 IED220 IET220 IFJ220 IFZ220 IGP220 IHF220 IHV220 IIL220 IJB220 IJR220 IKH220 IKX220 ILN220 IMD220 IMT220 INJ220 INZ220 IOP220 IPF220 IPV220 IQL220 IRB220 IRR220 ISH220 ISX220 ITN220 IUD220 IUT220 IVJ220 IVZ220 IWP220 IXF220 IXV220 IYL220 IZB220 IZR220 JAH220 JAX220 JBN220 JCD220 JCT220 JDJ220 JDZ220 JEP220 JFF220 JFV220 JGL220 JHB220 JHR220 JIH220 JIX220 JJN220 JKD220 JKT220 JLJ220 JLZ220 JMP220 JNF220 JNV220 JOL220 JPB220 JPR220 JQH220 JQX220 JRN220 JSD220 JST220 JTJ220 JTZ220 JUP220 JVF220 JVV220 JWL220 JXB220 JXR220 JYH220 JYX220 JZN220 KAD220 KAT220 KBJ220 KBZ220 KCP220 KDF220 KDV220 KEL220 KFB220 KFR220 KGH220 KGX220 KHN220 KID220 KIT220 KJJ220 KJZ220 KKP220 KLF220 KLV220 KML220 KNB220 KNR220 KOH220 KOX220 KPN220 KQD220 KQT220 KRJ220 KRZ220 KSP220 KTF220 KTV220 KUL220 KVB220 KVR220 KWH220 KWX220 KXN220 KYD220 KYT220 KZJ220 KZZ220 LAP220 LBF220 LBV220 LCL220 LDB220 LDR220 LEH220 LEX220 LFN220 LGD220 LGT220 LHJ220 LHZ220 LIP220 LJF220 LJV220 LKL220 LLB220 LLR220 LMH220 LMX220 LNN220 LOD220 LOT220 LPJ220 LPZ220 LQP220 LRF220 LRV220 LSL220 LTB220 LTR220 LUH220 LUX220 LVN220 LWD220 LWT220 LXJ220 LXZ220 LYP220 LZF220 LZV220 MAL220 MBB220 MBR220 MCH220 MCX220 MDN220 MED220 MET220 MFJ220 MFZ220 MGP220 MHF220 MHV220 MIL220 MJB220 MJR220 MKH220 MKX220 MLN220 MMD220 MMT220 MNJ220 MNZ220 MOP220 MPF220 MPV220 MQL220 MRB220 MRR220 MSH220 MSX220 MTN220 MUD220 MUT220 MVJ220 MVZ220 MWP220 MXF220 MXV220 MYL220 MZB220 MZR220 NAH220 NAX220 NBN220 NCD220 NCT220 NDJ220 NDZ220 NEP220 NFF220 NFV220 NGL220 NHB220 NHR220 NIH220 NIX220 NJN220 NKD220 NKT220 NLJ220 NLZ220 NMP220 NNF220 NNV220 NOL220 NPB220 NPR220 NQH220 NQX220 NRN220 NSD220 NST220 NTJ220 NTZ220 NUP220 NVF220 NVV220 NWL220 NXB220 NXR220 NYH220 NYX220 NZN220 OAD220 OAT220 OBJ220 OBZ220 OCP220 ODF220 ODV220 OEL220 OFB220 OFR220 OGH220 OGX220 OHN220 OID220 OIT220 OJJ220 OJZ220 OKP220 OLF220 OLV220 OML220 ONB220 ONR220 OOH220 OOX220 OPN220 OQD220 OQT220 ORJ220 ORZ220 OSP220 OTF220 OTV220 OUL220 OVB220 OVR220 OWH220 OWX220 OXN220 OYD220 OYT220 OZJ220 OZZ220 PAP220 PBF220 PBV220 PCL220 PDB220 PDR220 PEH220 PEX220 PFN220 PGD220 PGT220 PHJ220 PHZ220 PIP220 PJF220 PJV220 PKL220 PLB220 PLR220 PMH220 PMX220 PNN220 POD220 POT220 PPJ220 PPZ220 PQP220 PRF220 PRV220 PSL220 PTB220 PTR220 PUH220 PUX220 PVN220 PWD220 PWT220 PXJ220 PXZ220 PYP220 PZF220 PZV220 QAL220 QBB220 QBR220 QCH220 QCX220 QDN220 QED220 QET220 QFJ220 QFZ220 QGP220 QHF220 QHV220 QIL220 QJB220 QJR220 QKH220 QKX220 QLN220 QMD220 QMT220 QNJ220 QNZ220 QOP220 QPF220 QPV220 QQL220 QRB220 QRR220 QSH220 QSX220 QTN220 QUD220 QUT220 QVJ220 QVZ220 QWP220 QXF220 QXV220 QYL220 QZB220 QZR220 RAH220 RAX220 RBN220 RCD220 RCT220 RDJ220 RDZ220 REP220 RFF220 RFV220 RGL220 RHB220 RHR220 RIH220 RIX220 RJN220 RKD220 RKT220 RLJ220 RLZ220 RMP220 RNF220 RNV220 ROL220 RPB220 RPR220 RQH220 RQX220 RRN220 RSD220 RST220 RTJ220 RTZ220 RUP220 RVF220 RVV220 RWL220 RXB220 RXR220 RYH220 RYX220 RZN220 SAD220 SAT220 SBJ220 SBZ220 SCP220 SDF220 SDV220 SEL220 SFB220 SFR220 SGH220 SGX220 SHN220 SID220 SIT220 SJJ220 SJZ220 SKP220 SLF220 SLV220 SML220 SNB220 SNR220 SOH220 SOX220 SPN220 SQD220 SQT220 SRJ220 SRZ220 SSP220 STF220 STV220 SUL220 SVB220 SVR220 SWH220 SWX220 SXN220 SYD220 SYT220 SZJ220 SZZ220 TAP220 TBF220 TBV220 TCL220 TDB220 TDR220 TEH220 TEX220 TFN220 TGD220 TGT220 THJ220 THZ220 TIP220 TJF220 TJV220 TKL220 TLB220 TLR220 TMH220 TMX220 TNN220 TOD220 TOT220 TPJ220 TPZ220 TQP220 TRF220 TRV220 TSL220 TTB220 TTR220 TUH220 TUX220 TVN220 TWD220 TWT220 TXJ220 TXZ220 TYP220 TZF220 TZV220 UAL220 UBB220 UBR220 UCH220 UCX220 UDN220 UED220 UET220 UFJ220 UFZ220 UGP220 UHF220 UHV220 UIL220 UJB220 UJR220 UKH220 UKX220 ULN220 UMD220 UMT220 UNJ220 UNZ220 UOP220 UPF220 UPV220 UQL220 URB220 URR220 USH220 USX220 UTN220 UUD220 UUT220 UVJ220 UVZ220 UWP220 UXF220 UXV220 UYL220 UZB220 UZR220 VAH220 VAX220 VBN220 VCD220 VCT220 VDJ220 VDZ220 VEP220 VFF220 VFV220 VGL220 VHB220 VHR220 VIH220 VIX220 VJN220 VKD220 VKT220 VLJ220 VLZ220 VMP220 VNF220 VNV220 VOL220 VPB220 VPR220 VQH220 VQX220 VRN220 VSD220 VST220 VTJ220 VTZ220 VUP220 VVF220 VVV220 VWL220 VXB220 VXR220 VYH220 VYX220 VZN220 WAD220 WAT220 WBJ220 WBZ220 WCP220 WDF220 WDV220 WEL220 WFB220 WFR220 WGH220 WGX220 WHN220 WID220 WIT220 WJJ220 WJZ220 WKP220 WLF220 WLV220 WML220 WNB220 WNR220 WOH220 WOX220 WPN220 WQD220 WQT220 WRJ220 WRZ220 WSP220 WTF220 WTV220 WUL220 WVB220 WVR220 WWH220 WWX220 WXN220 WYD220 WYT220 WZJ220 WZZ220 XAP220 XBF220 XBV220 XCL220 XDB220 XDR220 XEH220 J223:J232 J236:J299</xm:sqref>
        </x14:dataValidation>
        <x14:dataValidation type="list" allowBlank="1" showInputMessage="1" showErrorMessage="1" xr:uid="{87E85DE2-FE8B-417D-B758-3D5F2FB46292}">
          <x14:formula1>
            <xm:f>'Tiendas operando '!$J$11:$J$13</xm:f>
          </x14:formula1>
          <xm:sqref>E247:E256</xm:sqref>
        </x14:dataValidation>
      </x14:dataValidations>
    </ext>
    <ext xmlns:x15="http://schemas.microsoft.com/office/spreadsheetml/2010/11/main" uri="{F7C9EE02-42E1-4005-9D12-6889AFFD525C}">
      <x15:webExtensions xmlns:xm="http://schemas.microsoft.com/office/excel/2006/main">
        <x15:webExtension appRef="{B3AA8345-B800-4837-874B-767F11B6EF46}">
          <xm:f>'MS26'!$A$1:$AE$2</xm:f>
        </x15:webExtension>
        <x15:webExtension appRef="{8459FCAD-17AB-4DDA-B4F2-FE31035BAFC2}">
          <xm:f>'MS26'!$A$1:$AE$2</xm:f>
        </x15:webExtension>
        <x15:webExtension appRef="{5EBC1A6D-5213-4CD5-B17E-7D2EBF6B3E45}">
          <xm:f>'MS26'!$A$1:$AE$2</xm:f>
        </x15:webExtension>
        <x15:webExtension appRef="{B3AA8345-B800-4837-874B-767F11B6EF46}">
          <xm:f>'MS26'!$A$1:$AE$2</xm:f>
        </x15:webExtension>
        <x15:webExtension appRef="{8459FCAD-17AB-4DDA-B4F2-FE31035BAFC2}">
          <xm:f>'MS26'!$A$1:$AE$2</xm:f>
        </x15:webExtension>
        <x15:webExtension appRef="{5EBC1A6D-5213-4CD5-B17E-7D2EBF6B3E45}">
          <xm:f>'MS26'!$A$1:$AE$2</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BA5FD-2B1F-48C6-AB74-546D5AABB072}">
  <sheetPr codeName="Hoja2"/>
  <dimension ref="A1:R672"/>
  <sheetViews>
    <sheetView tabSelected="1" zoomScale="70" zoomScaleNormal="98" workbookViewId="0">
      <pane ySplit="1" topLeftCell="A633" activePane="bottomLeft" state="frozen"/>
      <selection pane="bottomLeft" activeCell="B645" sqref="B645"/>
      <selection activeCell="L15" sqref="L15"/>
    </sheetView>
  </sheetViews>
  <sheetFormatPr defaultColWidth="8.7109375" defaultRowHeight="14.45"/>
  <cols>
    <col min="1" max="1" width="9.140625" style="24"/>
    <col min="2" max="3" width="12.140625" style="5" customWidth="1"/>
    <col min="4" max="4" width="13.85546875" style="5" bestFit="1" customWidth="1"/>
    <col min="5" max="6" width="14" style="5" customWidth="1"/>
    <col min="7" max="7" width="18.28515625" style="53" customWidth="1"/>
    <col min="8" max="8" width="16.42578125" customWidth="1"/>
    <col min="9" max="9" width="31.28515625" style="2" bestFit="1" customWidth="1"/>
    <col min="10" max="10" width="24.140625" style="2" customWidth="1"/>
    <col min="11" max="11" width="27.7109375" style="2" bestFit="1" customWidth="1"/>
    <col min="12" max="12" width="50.42578125" style="7" bestFit="1" customWidth="1"/>
    <col min="13" max="13" width="23.85546875" style="7" bestFit="1" customWidth="1"/>
    <col min="14" max="14" width="119.42578125" style="51" bestFit="1" customWidth="1"/>
  </cols>
  <sheetData>
    <row r="1" spans="1:14" ht="29.1">
      <c r="A1" s="23" t="s">
        <v>590</v>
      </c>
      <c r="B1" s="3" t="s">
        <v>591</v>
      </c>
      <c r="C1" s="3" t="s">
        <v>592</v>
      </c>
      <c r="D1" s="3" t="s">
        <v>593</v>
      </c>
      <c r="E1" s="3" t="s">
        <v>594</v>
      </c>
      <c r="F1" s="3" t="s">
        <v>595</v>
      </c>
      <c r="G1" s="3" t="s">
        <v>596</v>
      </c>
      <c r="H1" s="1" t="s">
        <v>597</v>
      </c>
      <c r="I1" s="1" t="s">
        <v>598</v>
      </c>
      <c r="J1" s="1" t="s">
        <v>599</v>
      </c>
      <c r="K1" s="1" t="s">
        <v>600</v>
      </c>
      <c r="L1" s="6" t="s">
        <v>601</v>
      </c>
      <c r="M1" s="6" t="s">
        <v>602</v>
      </c>
      <c r="N1" s="49" t="s">
        <v>603</v>
      </c>
    </row>
    <row r="2" spans="1:14">
      <c r="A2" s="24">
        <v>1</v>
      </c>
      <c r="B2" s="5">
        <v>46029</v>
      </c>
      <c r="C2" s="5">
        <v>46030</v>
      </c>
      <c r="D2" s="30">
        <f t="shared" ref="D2:D9" si="0">C2-B2</f>
        <v>1</v>
      </c>
      <c r="E2" s="5" t="s">
        <v>317</v>
      </c>
      <c r="F2" s="5" t="s">
        <v>604</v>
      </c>
      <c r="G2" s="53" t="s">
        <v>605</v>
      </c>
      <c r="H2" s="2" t="s">
        <v>25</v>
      </c>
      <c r="I2" s="2" t="s">
        <v>606</v>
      </c>
      <c r="J2" s="2" t="s">
        <v>22</v>
      </c>
      <c r="K2" s="2" t="s">
        <v>325</v>
      </c>
      <c r="L2" s="7">
        <v>-74.113163800544797</v>
      </c>
      <c r="M2" s="7">
        <v>4.6450103075021802</v>
      </c>
      <c r="N2" s="50"/>
    </row>
    <row r="3" spans="1:14">
      <c r="A3" s="24">
        <v>2</v>
      </c>
      <c r="B3" s="5">
        <v>46029</v>
      </c>
      <c r="C3" s="5">
        <v>46030</v>
      </c>
      <c r="D3" s="30">
        <f t="shared" si="0"/>
        <v>1</v>
      </c>
      <c r="E3" s="5" t="s">
        <v>317</v>
      </c>
      <c r="F3" s="5" t="s">
        <v>604</v>
      </c>
      <c r="G3" s="53" t="s">
        <v>605</v>
      </c>
      <c r="H3" s="2" t="s">
        <v>25</v>
      </c>
      <c r="I3" s="2" t="s">
        <v>607</v>
      </c>
      <c r="J3" s="2" t="s">
        <v>560</v>
      </c>
      <c r="K3" s="2" t="s">
        <v>48</v>
      </c>
      <c r="L3" s="7">
        <v>-75.686792646777903</v>
      </c>
      <c r="M3" s="7">
        <v>4.8082321744392296</v>
      </c>
      <c r="N3" s="50"/>
    </row>
    <row r="4" spans="1:14">
      <c r="A4" s="24">
        <v>3</v>
      </c>
      <c r="B4" s="5">
        <v>46029</v>
      </c>
      <c r="C4" s="5">
        <v>46036</v>
      </c>
      <c r="D4" s="30">
        <f t="shared" si="0"/>
        <v>7</v>
      </c>
      <c r="E4" s="5" t="s">
        <v>317</v>
      </c>
      <c r="F4" s="5" t="s">
        <v>604</v>
      </c>
      <c r="G4" s="53" t="s">
        <v>605</v>
      </c>
      <c r="H4" s="2" t="s">
        <v>25</v>
      </c>
      <c r="I4" s="2" t="s">
        <v>101</v>
      </c>
      <c r="J4" s="2" t="s">
        <v>22</v>
      </c>
      <c r="K4" s="2" t="s">
        <v>48</v>
      </c>
      <c r="L4" s="7">
        <v>-74.045715000000001</v>
      </c>
      <c r="M4" s="7">
        <v>4.7545843000000003</v>
      </c>
      <c r="N4" s="50" t="s">
        <v>608</v>
      </c>
    </row>
    <row r="5" spans="1:14" ht="14.45" customHeight="1">
      <c r="A5" s="24">
        <v>4</v>
      </c>
      <c r="B5" s="5">
        <v>46029</v>
      </c>
      <c r="C5" s="5">
        <v>46036</v>
      </c>
      <c r="D5" s="30">
        <f t="shared" si="0"/>
        <v>7</v>
      </c>
      <c r="E5" s="5" t="s">
        <v>317</v>
      </c>
      <c r="F5" s="5" t="s">
        <v>604</v>
      </c>
      <c r="G5" s="53" t="s">
        <v>605</v>
      </c>
      <c r="H5" s="2" t="s">
        <v>25</v>
      </c>
      <c r="I5" s="2" t="s">
        <v>609</v>
      </c>
      <c r="J5" s="2" t="s">
        <v>22</v>
      </c>
      <c r="K5" s="2" t="s">
        <v>48</v>
      </c>
      <c r="L5" s="7">
        <v>-74.096895700000005</v>
      </c>
      <c r="M5" s="7">
        <v>4.7465918</v>
      </c>
      <c r="N5" s="50" t="s">
        <v>608</v>
      </c>
    </row>
    <row r="6" spans="1:14" ht="14.45" customHeight="1">
      <c r="A6" s="24">
        <v>5</v>
      </c>
      <c r="B6" s="5">
        <v>46029</v>
      </c>
      <c r="C6" s="5">
        <v>46036</v>
      </c>
      <c r="D6" s="30">
        <f t="shared" si="0"/>
        <v>7</v>
      </c>
      <c r="E6" s="5" t="s">
        <v>317</v>
      </c>
      <c r="F6" s="5" t="s">
        <v>604</v>
      </c>
      <c r="G6" s="53" t="s">
        <v>605</v>
      </c>
      <c r="H6" s="2" t="s">
        <v>25</v>
      </c>
      <c r="I6" s="2" t="s">
        <v>610</v>
      </c>
      <c r="J6" s="2" t="s">
        <v>22</v>
      </c>
      <c r="K6" s="2" t="s">
        <v>48</v>
      </c>
      <c r="L6" s="7">
        <v>-74.060929000000002</v>
      </c>
      <c r="M6" s="7">
        <v>4.6651828000000002</v>
      </c>
      <c r="N6" s="50" t="s">
        <v>608</v>
      </c>
    </row>
    <row r="7" spans="1:14" ht="14.45" customHeight="1">
      <c r="A7" s="24">
        <v>6</v>
      </c>
      <c r="B7" s="5">
        <v>46029</v>
      </c>
      <c r="C7" s="5">
        <v>46036</v>
      </c>
      <c r="D7" s="30">
        <f t="shared" si="0"/>
        <v>7</v>
      </c>
      <c r="E7" s="5" t="s">
        <v>317</v>
      </c>
      <c r="F7" s="5" t="s">
        <v>604</v>
      </c>
      <c r="G7" s="53" t="s">
        <v>605</v>
      </c>
      <c r="H7" s="2" t="s">
        <v>25</v>
      </c>
      <c r="I7" s="2" t="s">
        <v>611</v>
      </c>
      <c r="J7" s="2" t="s">
        <v>22</v>
      </c>
      <c r="K7" s="2" t="s">
        <v>48</v>
      </c>
      <c r="L7" s="7">
        <v>-74.121182399999995</v>
      </c>
      <c r="M7" s="7">
        <v>4.6812814999999999</v>
      </c>
      <c r="N7" s="50" t="s">
        <v>608</v>
      </c>
    </row>
    <row r="8" spans="1:14">
      <c r="A8" s="24">
        <v>7</v>
      </c>
      <c r="B8" s="5">
        <v>46030</v>
      </c>
      <c r="C8" s="5">
        <v>46031</v>
      </c>
      <c r="D8" s="30">
        <f t="shared" si="0"/>
        <v>1</v>
      </c>
      <c r="E8" s="5" t="s">
        <v>317</v>
      </c>
      <c r="F8" s="5" t="s">
        <v>604</v>
      </c>
      <c r="G8" s="53" t="s">
        <v>605</v>
      </c>
      <c r="H8" s="2" t="s">
        <v>25</v>
      </c>
      <c r="I8" s="2" t="s">
        <v>612</v>
      </c>
      <c r="J8" s="2" t="s">
        <v>22</v>
      </c>
      <c r="K8" s="2" t="s">
        <v>393</v>
      </c>
      <c r="L8" s="7">
        <v>-74.108917000000005</v>
      </c>
      <c r="M8" s="7">
        <v>4.7428889999999999</v>
      </c>
    </row>
    <row r="9" spans="1:14">
      <c r="A9" s="24">
        <v>8</v>
      </c>
      <c r="B9" s="5">
        <v>46030</v>
      </c>
      <c r="C9" s="5">
        <v>46035</v>
      </c>
      <c r="D9" s="30">
        <f t="shared" si="0"/>
        <v>5</v>
      </c>
      <c r="E9" s="5" t="s">
        <v>317</v>
      </c>
      <c r="F9" s="5" t="s">
        <v>604</v>
      </c>
      <c r="G9" s="53" t="s">
        <v>605</v>
      </c>
      <c r="H9" s="2" t="s">
        <v>25</v>
      </c>
      <c r="I9" s="2" t="s">
        <v>613</v>
      </c>
      <c r="J9" s="2" t="s">
        <v>22</v>
      </c>
      <c r="K9" s="2" t="s">
        <v>38</v>
      </c>
      <c r="L9" s="7">
        <v>-74.052511703415703</v>
      </c>
      <c r="M9" s="25">
        <v>4.6659551231021199</v>
      </c>
    </row>
    <row r="10" spans="1:14">
      <c r="A10" s="24">
        <v>9</v>
      </c>
      <c r="B10" s="5">
        <v>46030</v>
      </c>
      <c r="D10" s="30"/>
      <c r="E10" s="5" t="s">
        <v>317</v>
      </c>
      <c r="F10" s="5" t="s">
        <v>604</v>
      </c>
      <c r="G10" s="53" t="s">
        <v>605</v>
      </c>
      <c r="H10" s="2" t="s">
        <v>92</v>
      </c>
      <c r="I10" s="2" t="s">
        <v>614</v>
      </c>
      <c r="J10" s="2" t="s">
        <v>22</v>
      </c>
      <c r="K10" s="2" t="s">
        <v>325</v>
      </c>
      <c r="L10" s="7">
        <v>-74.062233599999999</v>
      </c>
      <c r="M10" s="7">
        <v>4.6825472000000001</v>
      </c>
    </row>
    <row r="11" spans="1:14">
      <c r="A11" s="24">
        <v>10</v>
      </c>
      <c r="B11" s="5">
        <v>46030</v>
      </c>
      <c r="C11" s="5">
        <v>46031</v>
      </c>
      <c r="D11" s="30">
        <f t="shared" ref="D11:D42" si="1">C11-B11</f>
        <v>1</v>
      </c>
      <c r="E11" s="5" t="s">
        <v>317</v>
      </c>
      <c r="F11" s="5" t="s">
        <v>604</v>
      </c>
      <c r="G11" s="53" t="s">
        <v>605</v>
      </c>
      <c r="H11" s="2" t="s">
        <v>25</v>
      </c>
      <c r="I11" s="2" t="s">
        <v>615</v>
      </c>
      <c r="J11" s="2" t="s">
        <v>22</v>
      </c>
      <c r="K11" s="2" t="s">
        <v>325</v>
      </c>
      <c r="L11" s="7">
        <v>-74.062233599999999</v>
      </c>
      <c r="M11" s="7">
        <v>4.6825472000000001</v>
      </c>
    </row>
    <row r="12" spans="1:14" ht="15" customHeight="1">
      <c r="A12" s="24">
        <v>11</v>
      </c>
      <c r="B12" s="5">
        <v>46030</v>
      </c>
      <c r="C12" s="5">
        <v>46031</v>
      </c>
      <c r="D12" s="30">
        <f t="shared" si="1"/>
        <v>1</v>
      </c>
      <c r="E12" s="5" t="s">
        <v>317</v>
      </c>
      <c r="F12" s="5" t="s">
        <v>604</v>
      </c>
      <c r="G12" s="53" t="s">
        <v>605</v>
      </c>
      <c r="H12" s="2" t="s">
        <v>25</v>
      </c>
      <c r="I12" s="2" t="s">
        <v>616</v>
      </c>
      <c r="J12" s="2" t="s">
        <v>22</v>
      </c>
      <c r="K12" s="2" t="s">
        <v>325</v>
      </c>
      <c r="L12" s="7">
        <v>-74.062233599999999</v>
      </c>
      <c r="M12" s="7">
        <v>4.6825472000000001</v>
      </c>
    </row>
    <row r="13" spans="1:14">
      <c r="A13" s="24">
        <v>12</v>
      </c>
      <c r="B13" s="5">
        <v>46030</v>
      </c>
      <c r="C13" s="5">
        <v>46031</v>
      </c>
      <c r="D13" s="30">
        <f t="shared" si="1"/>
        <v>1</v>
      </c>
      <c r="E13" s="5" t="s">
        <v>317</v>
      </c>
      <c r="F13" s="5" t="s">
        <v>604</v>
      </c>
      <c r="G13" s="53" t="s">
        <v>605</v>
      </c>
      <c r="H13" s="2" t="s">
        <v>25</v>
      </c>
      <c r="I13" s="2" t="s">
        <v>617</v>
      </c>
      <c r="J13" s="2" t="s">
        <v>22</v>
      </c>
      <c r="K13" s="2" t="s">
        <v>325</v>
      </c>
      <c r="L13" s="7">
        <v>-74.062233599999999</v>
      </c>
      <c r="M13" s="9">
        <v>4.6825472000000001</v>
      </c>
    </row>
    <row r="14" spans="1:14">
      <c r="A14" s="24">
        <v>13</v>
      </c>
      <c r="B14" s="5">
        <v>46031</v>
      </c>
      <c r="C14" s="5">
        <v>46041</v>
      </c>
      <c r="D14" s="30">
        <f t="shared" si="1"/>
        <v>10</v>
      </c>
      <c r="E14" s="5" t="s">
        <v>317</v>
      </c>
      <c r="F14" s="5" t="s">
        <v>604</v>
      </c>
      <c r="G14" s="53" t="s">
        <v>618</v>
      </c>
      <c r="H14" s="2" t="s">
        <v>25</v>
      </c>
      <c r="I14" s="2" t="s">
        <v>619</v>
      </c>
      <c r="J14" s="2" t="s">
        <v>22</v>
      </c>
      <c r="K14" s="2" t="s">
        <v>48</v>
      </c>
      <c r="L14" s="7">
        <v>-74.0565754</v>
      </c>
      <c r="M14" s="7">
        <v>4.6558222999999996</v>
      </c>
      <c r="N14" s="51" t="s">
        <v>620</v>
      </c>
    </row>
    <row r="15" spans="1:14">
      <c r="A15" s="24">
        <v>14</v>
      </c>
      <c r="B15" s="5">
        <v>46035</v>
      </c>
      <c r="C15" s="5">
        <v>46038</v>
      </c>
      <c r="D15" s="30">
        <f t="shared" si="1"/>
        <v>3</v>
      </c>
      <c r="E15" s="5" t="s">
        <v>317</v>
      </c>
      <c r="F15" s="5" t="s">
        <v>621</v>
      </c>
      <c r="G15" s="53" t="s">
        <v>605</v>
      </c>
      <c r="H15" s="2" t="s">
        <v>25</v>
      </c>
      <c r="I15" s="2" t="s">
        <v>622</v>
      </c>
      <c r="J15" s="2" t="s">
        <v>22</v>
      </c>
      <c r="K15" s="2" t="s">
        <v>393</v>
      </c>
      <c r="L15" s="7">
        <v>-74.029325799451996</v>
      </c>
      <c r="M15" s="9">
        <v>4.7112116943716504</v>
      </c>
    </row>
    <row r="16" spans="1:14">
      <c r="A16" s="24">
        <v>15</v>
      </c>
      <c r="B16" s="5">
        <v>46035</v>
      </c>
      <c r="C16" s="5">
        <v>46035</v>
      </c>
      <c r="D16" s="30">
        <f t="shared" si="1"/>
        <v>0</v>
      </c>
      <c r="E16" s="5" t="s">
        <v>317</v>
      </c>
      <c r="F16" s="5" t="s">
        <v>621</v>
      </c>
      <c r="G16" s="53" t="s">
        <v>605</v>
      </c>
      <c r="H16" s="2" t="s">
        <v>25</v>
      </c>
      <c r="I16" s="2" t="s">
        <v>623</v>
      </c>
      <c r="J16" s="2" t="s">
        <v>22</v>
      </c>
      <c r="K16" s="2" t="s">
        <v>38</v>
      </c>
      <c r="L16" s="7">
        <v>-74.045212000000006</v>
      </c>
      <c r="M16" s="7">
        <v>4.6786120000000002</v>
      </c>
    </row>
    <row r="17" spans="1:13">
      <c r="A17" s="24">
        <v>16</v>
      </c>
      <c r="B17" s="5">
        <v>46035</v>
      </c>
      <c r="C17" s="5">
        <v>46035</v>
      </c>
      <c r="D17" s="30">
        <f t="shared" si="1"/>
        <v>0</v>
      </c>
      <c r="E17" s="5" t="s">
        <v>317</v>
      </c>
      <c r="F17" s="5" t="s">
        <v>621</v>
      </c>
      <c r="G17" s="53" t="s">
        <v>605</v>
      </c>
      <c r="H17" s="2" t="s">
        <v>25</v>
      </c>
      <c r="I17" s="2" t="s">
        <v>624</v>
      </c>
      <c r="J17" s="2" t="s">
        <v>22</v>
      </c>
      <c r="K17" s="2" t="s">
        <v>38</v>
      </c>
      <c r="L17" s="7">
        <v>-74.082894499999995</v>
      </c>
      <c r="M17" s="7">
        <v>4.6491557999999999</v>
      </c>
    </row>
    <row r="18" spans="1:13">
      <c r="A18" s="24">
        <v>17</v>
      </c>
      <c r="B18" s="5">
        <v>46035</v>
      </c>
      <c r="C18" s="5">
        <v>46035</v>
      </c>
      <c r="D18" s="30">
        <f t="shared" si="1"/>
        <v>0</v>
      </c>
      <c r="E18" s="5" t="s">
        <v>317</v>
      </c>
      <c r="F18" s="5" t="s">
        <v>621</v>
      </c>
      <c r="G18" s="53" t="s">
        <v>618</v>
      </c>
      <c r="H18" s="2" t="s">
        <v>25</v>
      </c>
      <c r="I18" s="2" t="s">
        <v>625</v>
      </c>
      <c r="J18" s="2" t="s">
        <v>22</v>
      </c>
      <c r="K18" s="2" t="s">
        <v>569</v>
      </c>
      <c r="L18" s="7">
        <v>-74.068681699999999</v>
      </c>
      <c r="M18" s="7">
        <v>4.7207878000000001</v>
      </c>
    </row>
    <row r="19" spans="1:13">
      <c r="A19" s="24">
        <v>18</v>
      </c>
      <c r="B19" s="5">
        <v>46035</v>
      </c>
      <c r="C19" s="5">
        <v>46035</v>
      </c>
      <c r="D19" s="30">
        <f t="shared" si="1"/>
        <v>0</v>
      </c>
      <c r="E19" s="5" t="s">
        <v>317</v>
      </c>
      <c r="F19" s="5" t="s">
        <v>621</v>
      </c>
      <c r="G19" s="53" t="s">
        <v>605</v>
      </c>
      <c r="H19" s="2" t="s">
        <v>25</v>
      </c>
      <c r="I19" s="2" t="s">
        <v>626</v>
      </c>
      <c r="J19" s="2" t="s">
        <v>22</v>
      </c>
      <c r="K19" s="2" t="s">
        <v>325</v>
      </c>
      <c r="L19" s="7">
        <v>-74.135358338192205</v>
      </c>
      <c r="M19" s="7">
        <v>4.6290375606348002</v>
      </c>
    </row>
    <row r="20" spans="1:13">
      <c r="A20" s="24">
        <v>19</v>
      </c>
      <c r="B20" s="5">
        <v>46035</v>
      </c>
      <c r="C20" s="5">
        <v>46036</v>
      </c>
      <c r="D20" s="30">
        <f t="shared" si="1"/>
        <v>1</v>
      </c>
      <c r="E20" s="5" t="s">
        <v>317</v>
      </c>
      <c r="F20" s="5" t="s">
        <v>621</v>
      </c>
      <c r="G20" s="53" t="s">
        <v>605</v>
      </c>
      <c r="H20" s="2" t="s">
        <v>25</v>
      </c>
      <c r="I20" s="2" t="s">
        <v>627</v>
      </c>
      <c r="J20" s="2" t="s">
        <v>22</v>
      </c>
      <c r="K20" s="2" t="s">
        <v>569</v>
      </c>
      <c r="L20" s="7">
        <v>-74.050221502729102</v>
      </c>
      <c r="M20" s="7">
        <v>4.7316759252085197</v>
      </c>
    </row>
    <row r="21" spans="1:13">
      <c r="A21" s="24">
        <v>20</v>
      </c>
      <c r="B21" s="5">
        <v>46035</v>
      </c>
      <c r="C21" s="5">
        <v>46036</v>
      </c>
      <c r="D21" s="30">
        <f t="shared" si="1"/>
        <v>1</v>
      </c>
      <c r="E21" s="5" t="s">
        <v>317</v>
      </c>
      <c r="F21" s="5" t="s">
        <v>621</v>
      </c>
      <c r="G21" s="53" t="s">
        <v>605</v>
      </c>
      <c r="H21" s="2" t="s">
        <v>25</v>
      </c>
      <c r="I21" s="2" t="s">
        <v>628</v>
      </c>
      <c r="J21" s="2" t="s">
        <v>22</v>
      </c>
      <c r="K21" s="2" t="s">
        <v>569</v>
      </c>
      <c r="L21" s="7">
        <v>-74.055400777883406</v>
      </c>
      <c r="M21" s="7">
        <v>4.7250055558793704</v>
      </c>
    </row>
    <row r="22" spans="1:13">
      <c r="A22" s="24">
        <v>21</v>
      </c>
      <c r="B22" s="5">
        <v>46035</v>
      </c>
      <c r="C22" s="5">
        <v>46036</v>
      </c>
      <c r="D22" s="30">
        <f t="shared" si="1"/>
        <v>1</v>
      </c>
      <c r="E22" s="5" t="s">
        <v>317</v>
      </c>
      <c r="F22" s="5" t="s">
        <v>621</v>
      </c>
      <c r="G22" s="53" t="s">
        <v>605</v>
      </c>
      <c r="H22" s="2" t="s">
        <v>25</v>
      </c>
      <c r="I22" s="2" t="s">
        <v>629</v>
      </c>
      <c r="J22" s="2" t="s">
        <v>22</v>
      </c>
      <c r="K22" s="2" t="s">
        <v>325</v>
      </c>
      <c r="L22" s="7">
        <v>-74.047445844884805</v>
      </c>
      <c r="M22" s="7">
        <v>4.6835834689008999</v>
      </c>
    </row>
    <row r="23" spans="1:13">
      <c r="A23" s="24">
        <v>22</v>
      </c>
      <c r="B23" s="5">
        <v>46035</v>
      </c>
      <c r="C23" s="5">
        <v>46036</v>
      </c>
      <c r="D23" s="30">
        <f t="shared" si="1"/>
        <v>1</v>
      </c>
      <c r="E23" s="5" t="s">
        <v>317</v>
      </c>
      <c r="F23" s="5" t="s">
        <v>621</v>
      </c>
      <c r="G23" s="53" t="s">
        <v>605</v>
      </c>
      <c r="H23" s="2" t="s">
        <v>25</v>
      </c>
      <c r="I23" s="2" t="s">
        <v>630</v>
      </c>
      <c r="J23" s="2" t="s">
        <v>22</v>
      </c>
      <c r="K23" s="2" t="s">
        <v>33</v>
      </c>
      <c r="L23" s="7">
        <v>-74.069417305539901</v>
      </c>
      <c r="M23" s="7">
        <v>4.6986396643074997</v>
      </c>
    </row>
    <row r="24" spans="1:13">
      <c r="A24" s="24">
        <v>23</v>
      </c>
      <c r="B24" s="5">
        <v>46035</v>
      </c>
      <c r="C24" s="5">
        <v>46036</v>
      </c>
      <c r="D24" s="30">
        <f t="shared" si="1"/>
        <v>1</v>
      </c>
      <c r="E24" s="5" t="s">
        <v>317</v>
      </c>
      <c r="F24" s="5" t="s">
        <v>621</v>
      </c>
      <c r="G24" s="53" t="s">
        <v>605</v>
      </c>
      <c r="H24" s="2" t="s">
        <v>25</v>
      </c>
      <c r="I24" s="2" t="s">
        <v>631</v>
      </c>
      <c r="J24" s="2" t="s">
        <v>22</v>
      </c>
      <c r="K24" s="2" t="s">
        <v>33</v>
      </c>
      <c r="L24" s="7">
        <v>-74.0533335925019</v>
      </c>
      <c r="M24" s="7">
        <v>4.7052032273468098</v>
      </c>
    </row>
    <row r="25" spans="1:13">
      <c r="A25" s="24">
        <v>24</v>
      </c>
      <c r="B25" s="5">
        <v>46035</v>
      </c>
      <c r="C25" s="5">
        <v>46036</v>
      </c>
      <c r="D25" s="30">
        <f t="shared" si="1"/>
        <v>1</v>
      </c>
      <c r="E25" s="5" t="s">
        <v>317</v>
      </c>
      <c r="F25" s="5" t="s">
        <v>621</v>
      </c>
      <c r="G25" s="53" t="s">
        <v>605</v>
      </c>
      <c r="H25" s="2" t="s">
        <v>25</v>
      </c>
      <c r="I25" s="2" t="s">
        <v>632</v>
      </c>
      <c r="J25" s="2" t="s">
        <v>22</v>
      </c>
      <c r="K25" s="2" t="s">
        <v>33</v>
      </c>
      <c r="L25" s="7">
        <v>-74.046884393652604</v>
      </c>
      <c r="M25" s="7">
        <v>4.7012203061436297</v>
      </c>
    </row>
    <row r="26" spans="1:13">
      <c r="A26" s="24">
        <v>25</v>
      </c>
      <c r="B26" s="5">
        <v>46035</v>
      </c>
      <c r="C26" s="5">
        <v>46036</v>
      </c>
      <c r="D26" s="30">
        <f t="shared" si="1"/>
        <v>1</v>
      </c>
      <c r="E26" s="5" t="s">
        <v>317</v>
      </c>
      <c r="F26" s="5" t="s">
        <v>621</v>
      </c>
      <c r="G26" s="53" t="s">
        <v>605</v>
      </c>
      <c r="H26" s="2" t="s">
        <v>25</v>
      </c>
      <c r="I26" s="2" t="s">
        <v>633</v>
      </c>
      <c r="J26" s="2" t="s">
        <v>22</v>
      </c>
      <c r="K26" s="2" t="s">
        <v>33</v>
      </c>
      <c r="L26" s="7">
        <v>-74.037260641865899</v>
      </c>
      <c r="M26" s="7">
        <v>4.6982852154217598</v>
      </c>
    </row>
    <row r="27" spans="1:13">
      <c r="A27" s="24">
        <v>26</v>
      </c>
      <c r="B27" s="5">
        <v>46035</v>
      </c>
      <c r="C27" s="5">
        <v>46036</v>
      </c>
      <c r="D27" s="30">
        <f t="shared" si="1"/>
        <v>1</v>
      </c>
      <c r="E27" s="5" t="s">
        <v>317</v>
      </c>
      <c r="F27" s="5" t="s">
        <v>621</v>
      </c>
      <c r="G27" s="53" t="s">
        <v>605</v>
      </c>
      <c r="H27" s="2" t="s">
        <v>25</v>
      </c>
      <c r="I27" s="2" t="s">
        <v>634</v>
      </c>
      <c r="J27" s="2" t="s">
        <v>22</v>
      </c>
      <c r="K27" s="2" t="s">
        <v>33</v>
      </c>
      <c r="L27" s="7">
        <v>-74.039691842682103</v>
      </c>
      <c r="M27" s="7">
        <v>4.6987853923013301</v>
      </c>
    </row>
    <row r="28" spans="1:13">
      <c r="A28" s="24">
        <v>27</v>
      </c>
      <c r="B28" s="5">
        <v>46036</v>
      </c>
      <c r="C28" s="5">
        <v>46037</v>
      </c>
      <c r="D28" s="30">
        <f t="shared" si="1"/>
        <v>1</v>
      </c>
      <c r="E28" s="5" t="s">
        <v>317</v>
      </c>
      <c r="F28" s="5" t="s">
        <v>604</v>
      </c>
      <c r="G28" s="53" t="s">
        <v>605</v>
      </c>
      <c r="H28" s="2" t="s">
        <v>25</v>
      </c>
      <c r="I28" s="2" t="s">
        <v>635</v>
      </c>
      <c r="J28" s="2" t="s">
        <v>22</v>
      </c>
      <c r="K28" s="2" t="s">
        <v>325</v>
      </c>
      <c r="L28" s="7">
        <v>-74.052234570629395</v>
      </c>
      <c r="M28" s="7">
        <v>4.6842647861589199</v>
      </c>
    </row>
    <row r="29" spans="1:13">
      <c r="A29" s="24">
        <v>28</v>
      </c>
      <c r="B29" s="5">
        <v>46036</v>
      </c>
      <c r="C29" s="5">
        <v>46037</v>
      </c>
      <c r="D29" s="30">
        <f t="shared" si="1"/>
        <v>1</v>
      </c>
      <c r="E29" s="5" t="s">
        <v>317</v>
      </c>
      <c r="F29" s="5" t="s">
        <v>604</v>
      </c>
      <c r="G29" s="53" t="s">
        <v>605</v>
      </c>
      <c r="H29" s="2" t="s">
        <v>25</v>
      </c>
      <c r="I29" s="2" t="s">
        <v>636</v>
      </c>
      <c r="J29" s="2" t="s">
        <v>22</v>
      </c>
      <c r="K29" s="2" t="s">
        <v>325</v>
      </c>
      <c r="L29" s="7">
        <v>-74.135778691277196</v>
      </c>
      <c r="M29" s="7">
        <v>4.61411416176204</v>
      </c>
    </row>
    <row r="30" spans="1:13">
      <c r="A30" s="24">
        <v>29</v>
      </c>
      <c r="B30" s="5">
        <v>46036</v>
      </c>
      <c r="C30" s="5">
        <v>46037</v>
      </c>
      <c r="D30" s="30">
        <f t="shared" si="1"/>
        <v>1</v>
      </c>
      <c r="E30" s="5" t="s">
        <v>317</v>
      </c>
      <c r="F30" s="5" t="s">
        <v>604</v>
      </c>
      <c r="G30" s="53" t="s">
        <v>605</v>
      </c>
      <c r="H30" s="2" t="s">
        <v>25</v>
      </c>
      <c r="I30" s="2" t="s">
        <v>637</v>
      </c>
      <c r="J30" s="2" t="s">
        <v>22</v>
      </c>
      <c r="K30" s="2" t="s">
        <v>325</v>
      </c>
      <c r="L30" s="7">
        <v>-74.061026131043505</v>
      </c>
      <c r="M30" s="7">
        <v>4.6613564275719996</v>
      </c>
    </row>
    <row r="31" spans="1:13">
      <c r="A31" s="24">
        <v>30</v>
      </c>
      <c r="B31" s="5">
        <v>46036</v>
      </c>
      <c r="C31" s="5">
        <v>46041</v>
      </c>
      <c r="D31" s="30">
        <f t="shared" si="1"/>
        <v>5</v>
      </c>
      <c r="E31" s="5" t="s">
        <v>317</v>
      </c>
      <c r="F31" s="5" t="s">
        <v>604</v>
      </c>
      <c r="G31" s="53" t="s">
        <v>618</v>
      </c>
      <c r="H31" s="2" t="s">
        <v>25</v>
      </c>
      <c r="I31" s="2" t="s">
        <v>638</v>
      </c>
      <c r="J31" s="2" t="s">
        <v>22</v>
      </c>
      <c r="K31" s="2" t="s">
        <v>325</v>
      </c>
      <c r="L31" s="7">
        <v>-74.051566781935904</v>
      </c>
      <c r="M31" s="7">
        <v>4.6771436658904504</v>
      </c>
    </row>
    <row r="32" spans="1:13">
      <c r="A32" s="24">
        <v>31</v>
      </c>
      <c r="B32" s="5">
        <v>46036</v>
      </c>
      <c r="C32" s="5">
        <v>46042</v>
      </c>
      <c r="D32" s="30">
        <f t="shared" si="1"/>
        <v>6</v>
      </c>
      <c r="E32" s="5" t="s">
        <v>317</v>
      </c>
      <c r="F32" s="5" t="s">
        <v>604</v>
      </c>
      <c r="G32" s="53" t="s">
        <v>618</v>
      </c>
      <c r="H32" s="2" t="s">
        <v>25</v>
      </c>
      <c r="I32" s="2" t="s">
        <v>639</v>
      </c>
      <c r="J32" s="2" t="s">
        <v>22</v>
      </c>
      <c r="K32" s="2" t="s">
        <v>325</v>
      </c>
      <c r="L32" s="7">
        <v>-74.065370354233593</v>
      </c>
      <c r="M32" s="7">
        <v>4.6655748457804398</v>
      </c>
    </row>
    <row r="33" spans="1:13">
      <c r="A33" s="24">
        <v>32</v>
      </c>
      <c r="B33" s="5">
        <v>46037</v>
      </c>
      <c r="C33" s="5">
        <v>46041</v>
      </c>
      <c r="D33" s="30">
        <f t="shared" si="1"/>
        <v>4</v>
      </c>
      <c r="E33" s="5" t="s">
        <v>317</v>
      </c>
      <c r="F33" s="5" t="s">
        <v>604</v>
      </c>
      <c r="G33" s="53" t="s">
        <v>618</v>
      </c>
      <c r="H33" s="2" t="s">
        <v>25</v>
      </c>
      <c r="I33" s="2" t="s">
        <v>640</v>
      </c>
      <c r="J33" s="2" t="s">
        <v>22</v>
      </c>
      <c r="K33" s="2" t="s">
        <v>325</v>
      </c>
      <c r="L33" s="7">
        <v>-74.063744501924802</v>
      </c>
      <c r="M33" s="7">
        <v>4.6477056698812502</v>
      </c>
    </row>
    <row r="34" spans="1:13">
      <c r="A34" s="24">
        <v>33</v>
      </c>
      <c r="B34" s="5">
        <v>46037</v>
      </c>
      <c r="C34" s="5">
        <v>46037</v>
      </c>
      <c r="D34" s="30">
        <f t="shared" si="1"/>
        <v>0</v>
      </c>
      <c r="E34" s="5" t="s">
        <v>317</v>
      </c>
      <c r="F34" s="5" t="s">
        <v>604</v>
      </c>
      <c r="G34" s="53" t="s">
        <v>605</v>
      </c>
      <c r="H34" s="2" t="s">
        <v>25</v>
      </c>
      <c r="I34" s="2" t="s">
        <v>641</v>
      </c>
      <c r="J34" s="2" t="s">
        <v>22</v>
      </c>
      <c r="K34" s="2" t="s">
        <v>325</v>
      </c>
      <c r="L34" s="7">
        <v>-74.122840836057605</v>
      </c>
      <c r="M34" s="7">
        <v>4.6507607316494397</v>
      </c>
    </row>
    <row r="35" spans="1:13">
      <c r="A35" s="24">
        <v>34</v>
      </c>
      <c r="B35" s="5">
        <v>46037</v>
      </c>
      <c r="C35" s="5">
        <v>46038</v>
      </c>
      <c r="D35" s="30">
        <f t="shared" si="1"/>
        <v>1</v>
      </c>
      <c r="E35" s="5" t="s">
        <v>317</v>
      </c>
      <c r="F35" s="5" t="s">
        <v>604</v>
      </c>
      <c r="G35" s="53" t="s">
        <v>618</v>
      </c>
      <c r="H35" s="2" t="s">
        <v>25</v>
      </c>
      <c r="I35" s="2" t="s">
        <v>642</v>
      </c>
      <c r="J35" s="2" t="s">
        <v>22</v>
      </c>
      <c r="K35" s="2" t="s">
        <v>38</v>
      </c>
      <c r="L35" s="7">
        <v>-74.065162278878901</v>
      </c>
      <c r="M35" s="7">
        <v>4.6495881579756597</v>
      </c>
    </row>
    <row r="36" spans="1:13">
      <c r="A36" s="24">
        <v>35</v>
      </c>
      <c r="B36" s="5">
        <v>46037</v>
      </c>
      <c r="C36" s="5">
        <v>46038</v>
      </c>
      <c r="D36" s="30">
        <f t="shared" si="1"/>
        <v>1</v>
      </c>
      <c r="E36" s="5" t="s">
        <v>317</v>
      </c>
      <c r="F36" s="5" t="s">
        <v>604</v>
      </c>
      <c r="G36" s="53" t="s">
        <v>618</v>
      </c>
      <c r="H36" s="2" t="s">
        <v>25</v>
      </c>
      <c r="I36" s="2" t="s">
        <v>643</v>
      </c>
      <c r="J36" s="2" t="s">
        <v>22</v>
      </c>
      <c r="K36" s="2" t="s">
        <v>38</v>
      </c>
      <c r="L36" s="7">
        <v>-74.072320626869498</v>
      </c>
      <c r="M36" s="7">
        <v>4.6335002354933899</v>
      </c>
    </row>
    <row r="37" spans="1:13">
      <c r="A37" s="24">
        <v>36</v>
      </c>
      <c r="B37" s="5">
        <v>46038</v>
      </c>
      <c r="C37" s="5">
        <v>46044</v>
      </c>
      <c r="D37" s="30">
        <f t="shared" si="1"/>
        <v>6</v>
      </c>
      <c r="E37" s="5" t="s">
        <v>317</v>
      </c>
      <c r="F37" s="5" t="s">
        <v>604</v>
      </c>
      <c r="G37" s="53" t="s">
        <v>605</v>
      </c>
      <c r="H37" s="2" t="s">
        <v>25</v>
      </c>
      <c r="I37" s="2" t="s">
        <v>644</v>
      </c>
      <c r="J37" s="2" t="s">
        <v>22</v>
      </c>
      <c r="K37" s="2" t="s">
        <v>38</v>
      </c>
      <c r="L37" s="7">
        <v>-74.053735422281093</v>
      </c>
      <c r="M37" s="7">
        <v>4.6866418371337701</v>
      </c>
    </row>
    <row r="38" spans="1:13">
      <c r="A38" s="24">
        <v>37</v>
      </c>
      <c r="B38" s="5">
        <v>46038</v>
      </c>
      <c r="C38" s="5">
        <v>46043</v>
      </c>
      <c r="D38" s="30">
        <f t="shared" si="1"/>
        <v>5</v>
      </c>
      <c r="E38" s="5" t="s">
        <v>317</v>
      </c>
      <c r="F38" s="5" t="s">
        <v>604</v>
      </c>
      <c r="G38" s="53" t="s">
        <v>618</v>
      </c>
      <c r="H38" s="2" t="s">
        <v>25</v>
      </c>
      <c r="I38" s="2" t="s">
        <v>645</v>
      </c>
      <c r="J38" s="2" t="s">
        <v>22</v>
      </c>
      <c r="K38" s="2" t="s">
        <v>325</v>
      </c>
      <c r="L38" s="7">
        <v>-74.0610252457397</v>
      </c>
      <c r="M38" s="7">
        <v>4.6613596476497801</v>
      </c>
    </row>
    <row r="39" spans="1:13">
      <c r="A39" s="24">
        <v>38</v>
      </c>
      <c r="B39" s="5">
        <v>46038</v>
      </c>
      <c r="C39" s="5">
        <v>46038</v>
      </c>
      <c r="D39" s="30">
        <f t="shared" si="1"/>
        <v>0</v>
      </c>
      <c r="E39" s="5" t="s">
        <v>254</v>
      </c>
      <c r="F39" s="5" t="s">
        <v>604</v>
      </c>
      <c r="G39" s="53" t="s">
        <v>605</v>
      </c>
      <c r="H39" s="2" t="s">
        <v>25</v>
      </c>
      <c r="I39" s="2" t="s">
        <v>646</v>
      </c>
      <c r="J39" s="2" t="s">
        <v>22</v>
      </c>
      <c r="K39" s="2" t="s">
        <v>33</v>
      </c>
      <c r="L39" s="7">
        <v>-74.053756899999996</v>
      </c>
      <c r="M39" s="7">
        <v>4.6864172999999996</v>
      </c>
    </row>
    <row r="40" spans="1:13">
      <c r="A40" s="24">
        <v>39</v>
      </c>
      <c r="B40" s="5">
        <v>46038</v>
      </c>
      <c r="C40" s="5">
        <v>46042</v>
      </c>
      <c r="D40" s="30">
        <f t="shared" si="1"/>
        <v>4</v>
      </c>
      <c r="E40" s="5" t="s">
        <v>254</v>
      </c>
      <c r="F40" s="5" t="s">
        <v>604</v>
      </c>
      <c r="G40" s="53" t="s">
        <v>605</v>
      </c>
      <c r="H40" s="2" t="s">
        <v>25</v>
      </c>
      <c r="I40" s="2" t="s">
        <v>647</v>
      </c>
      <c r="J40" s="2" t="s">
        <v>22</v>
      </c>
      <c r="K40" s="2" t="s">
        <v>33</v>
      </c>
      <c r="L40" s="7">
        <v>-74.041265499999994</v>
      </c>
      <c r="M40" s="46">
        <v>4.6880579999999998</v>
      </c>
    </row>
    <row r="41" spans="1:13">
      <c r="A41" s="24">
        <v>40</v>
      </c>
      <c r="B41" s="5">
        <v>46041</v>
      </c>
      <c r="C41" s="5">
        <v>46041</v>
      </c>
      <c r="D41" s="30">
        <f t="shared" si="1"/>
        <v>0</v>
      </c>
      <c r="E41" s="5" t="s">
        <v>254</v>
      </c>
      <c r="F41" s="5" t="s">
        <v>604</v>
      </c>
      <c r="G41" s="53" t="s">
        <v>605</v>
      </c>
      <c r="H41" s="2" t="s">
        <v>25</v>
      </c>
      <c r="I41" s="2" t="s">
        <v>648</v>
      </c>
      <c r="J41" s="2" t="s">
        <v>22</v>
      </c>
      <c r="K41" s="2" t="s">
        <v>80</v>
      </c>
      <c r="L41" s="26">
        <v>-74.115524952559795</v>
      </c>
      <c r="M41" s="27">
        <v>4.6292366472149702</v>
      </c>
    </row>
    <row r="42" spans="1:13">
      <c r="A42" s="24">
        <v>41</v>
      </c>
      <c r="B42" s="5">
        <v>46041</v>
      </c>
      <c r="C42" s="5">
        <v>46043</v>
      </c>
      <c r="D42" s="30">
        <f t="shared" si="1"/>
        <v>2</v>
      </c>
      <c r="E42" s="5" t="s">
        <v>254</v>
      </c>
      <c r="F42" s="5" t="s">
        <v>604</v>
      </c>
      <c r="G42" s="53" t="s">
        <v>605</v>
      </c>
      <c r="H42" s="2" t="s">
        <v>25</v>
      </c>
      <c r="I42" s="2" t="s">
        <v>649</v>
      </c>
      <c r="J42" s="2" t="s">
        <v>22</v>
      </c>
      <c r="K42" s="2" t="s">
        <v>393</v>
      </c>
      <c r="L42" s="7">
        <v>-74.031381999999994</v>
      </c>
      <c r="M42" s="27">
        <v>4.6697556000000002</v>
      </c>
    </row>
    <row r="43" spans="1:13">
      <c r="A43" s="24">
        <v>42</v>
      </c>
      <c r="B43" s="5">
        <v>46041</v>
      </c>
      <c r="C43" s="5">
        <v>46043</v>
      </c>
      <c r="D43" s="30">
        <f t="shared" ref="D43:D74" si="2">C43-B43</f>
        <v>2</v>
      </c>
      <c r="E43" s="5" t="s">
        <v>317</v>
      </c>
      <c r="F43" s="5" t="s">
        <v>604</v>
      </c>
      <c r="G43" s="53" t="s">
        <v>605</v>
      </c>
      <c r="H43" s="2" t="s">
        <v>25</v>
      </c>
      <c r="I43" s="2" t="s">
        <v>650</v>
      </c>
      <c r="J43" s="2" t="s">
        <v>22</v>
      </c>
      <c r="K43" s="2" t="s">
        <v>393</v>
      </c>
      <c r="L43" s="7">
        <v>-74.135563700000006</v>
      </c>
      <c r="M43" s="28">
        <v>4.7082762999999996</v>
      </c>
    </row>
    <row r="44" spans="1:13">
      <c r="A44" s="24">
        <v>43</v>
      </c>
      <c r="B44" s="5">
        <v>46041</v>
      </c>
      <c r="C44" s="5">
        <v>46042</v>
      </c>
      <c r="D44" s="30">
        <f t="shared" si="2"/>
        <v>1</v>
      </c>
      <c r="E44" s="5" t="s">
        <v>317</v>
      </c>
      <c r="F44" s="5" t="s">
        <v>621</v>
      </c>
      <c r="G44" s="53" t="s">
        <v>605</v>
      </c>
      <c r="H44" s="2" t="s">
        <v>25</v>
      </c>
      <c r="I44" s="2" t="s">
        <v>651</v>
      </c>
      <c r="J44" s="2" t="s">
        <v>22</v>
      </c>
      <c r="K44" s="2" t="s">
        <v>38</v>
      </c>
      <c r="L44" s="7">
        <v>-74.075389630823494</v>
      </c>
      <c r="M44" s="28">
        <v>4.6311936656516801</v>
      </c>
    </row>
    <row r="45" spans="1:13">
      <c r="A45" s="24">
        <v>44</v>
      </c>
      <c r="B45" s="5">
        <v>46041</v>
      </c>
      <c r="C45" s="5">
        <v>46042</v>
      </c>
      <c r="D45" s="30">
        <f t="shared" si="2"/>
        <v>1</v>
      </c>
      <c r="E45" s="5" t="s">
        <v>317</v>
      </c>
      <c r="F45" s="5" t="s">
        <v>621</v>
      </c>
      <c r="G45" s="53" t="s">
        <v>605</v>
      </c>
      <c r="H45" s="2" t="s">
        <v>25</v>
      </c>
      <c r="I45" s="2" t="s">
        <v>652</v>
      </c>
      <c r="J45" s="2" t="s">
        <v>22</v>
      </c>
      <c r="K45" s="2" t="s">
        <v>569</v>
      </c>
      <c r="L45" s="7">
        <v>-74.065631433793001</v>
      </c>
      <c r="M45" s="28">
        <v>4.7170298391544101</v>
      </c>
    </row>
    <row r="46" spans="1:13">
      <c r="A46" s="24">
        <v>45</v>
      </c>
      <c r="B46" s="5">
        <v>46041</v>
      </c>
      <c r="C46" s="5">
        <v>46042</v>
      </c>
      <c r="D46" s="30">
        <f t="shared" si="2"/>
        <v>1</v>
      </c>
      <c r="E46" s="5" t="s">
        <v>254</v>
      </c>
      <c r="F46" s="5" t="s">
        <v>604</v>
      </c>
      <c r="G46" s="53" t="s">
        <v>605</v>
      </c>
      <c r="H46" s="2" t="s">
        <v>25</v>
      </c>
      <c r="I46" s="2" t="s">
        <v>653</v>
      </c>
      <c r="J46" s="2" t="s">
        <v>22</v>
      </c>
      <c r="K46" s="2" t="s">
        <v>325</v>
      </c>
      <c r="L46" s="7">
        <v>-74.120728</v>
      </c>
      <c r="M46" s="7">
        <v>4.6652678999999999</v>
      </c>
    </row>
    <row r="47" spans="1:13">
      <c r="A47" s="24">
        <v>46</v>
      </c>
      <c r="B47" s="5">
        <v>46041</v>
      </c>
      <c r="C47" s="5">
        <v>46045</v>
      </c>
      <c r="D47" s="30">
        <f t="shared" si="2"/>
        <v>4</v>
      </c>
      <c r="E47" s="5" t="s">
        <v>317</v>
      </c>
      <c r="F47" s="5" t="s">
        <v>621</v>
      </c>
      <c r="G47" s="53" t="s">
        <v>605</v>
      </c>
      <c r="H47" s="2" t="s">
        <v>25</v>
      </c>
      <c r="I47" s="2" t="s">
        <v>654</v>
      </c>
      <c r="J47" s="2" t="s">
        <v>22</v>
      </c>
      <c r="K47" s="2" t="s">
        <v>48</v>
      </c>
      <c r="L47" s="7">
        <v>-74.053907301835295</v>
      </c>
      <c r="M47" s="7">
        <v>4.7096714927733698</v>
      </c>
    </row>
    <row r="48" spans="1:13">
      <c r="A48" s="24">
        <v>47</v>
      </c>
      <c r="B48" s="5">
        <v>46042</v>
      </c>
      <c r="C48" s="5">
        <v>46045</v>
      </c>
      <c r="D48" s="30">
        <f t="shared" si="2"/>
        <v>3</v>
      </c>
      <c r="E48" s="5" t="s">
        <v>317</v>
      </c>
      <c r="F48" s="5" t="s">
        <v>604</v>
      </c>
      <c r="G48" s="53" t="s">
        <v>618</v>
      </c>
      <c r="H48" s="2" t="s">
        <v>25</v>
      </c>
      <c r="I48" s="2" t="s">
        <v>655</v>
      </c>
      <c r="J48" s="2" t="s">
        <v>22</v>
      </c>
      <c r="K48" s="2" t="s">
        <v>48</v>
      </c>
      <c r="L48" s="7">
        <v>-74.027657599999998</v>
      </c>
      <c r="M48" s="29">
        <v>4.7383550999999997</v>
      </c>
    </row>
    <row r="49" spans="1:14">
      <c r="A49" s="24">
        <v>48</v>
      </c>
      <c r="B49" s="5">
        <v>46042</v>
      </c>
      <c r="C49" s="5">
        <v>46043</v>
      </c>
      <c r="D49" s="30">
        <f t="shared" si="2"/>
        <v>1</v>
      </c>
      <c r="E49" s="5" t="s">
        <v>317</v>
      </c>
      <c r="F49" s="5" t="s">
        <v>621</v>
      </c>
      <c r="G49" s="53" t="s">
        <v>605</v>
      </c>
      <c r="H49" s="2" t="s">
        <v>25</v>
      </c>
      <c r="I49" s="2" t="s">
        <v>656</v>
      </c>
      <c r="J49" s="2" t="s">
        <v>657</v>
      </c>
      <c r="K49" s="2" t="s">
        <v>327</v>
      </c>
      <c r="L49" s="7">
        <v>-74.799176761285395</v>
      </c>
      <c r="M49" s="29">
        <v>11.0220350935047</v>
      </c>
    </row>
    <row r="50" spans="1:14">
      <c r="A50" s="24">
        <v>49</v>
      </c>
      <c r="B50" s="5">
        <v>46042</v>
      </c>
      <c r="C50" s="5">
        <v>46043</v>
      </c>
      <c r="D50" s="30">
        <f t="shared" si="2"/>
        <v>1</v>
      </c>
      <c r="E50" s="5" t="s">
        <v>317</v>
      </c>
      <c r="F50" s="5" t="s">
        <v>621</v>
      </c>
      <c r="G50" s="53" t="s">
        <v>605</v>
      </c>
      <c r="H50" s="2" t="s">
        <v>25</v>
      </c>
      <c r="I50" s="2" t="s">
        <v>658</v>
      </c>
      <c r="J50" s="2" t="s">
        <v>657</v>
      </c>
      <c r="K50" s="2" t="s">
        <v>327</v>
      </c>
      <c r="L50" s="7">
        <v>-74.7939957062963</v>
      </c>
      <c r="M50" s="29">
        <v>11.0212818307593</v>
      </c>
    </row>
    <row r="51" spans="1:14">
      <c r="A51" s="24">
        <v>50</v>
      </c>
      <c r="B51" s="5">
        <v>46043</v>
      </c>
      <c r="C51" s="5">
        <v>46043</v>
      </c>
      <c r="D51" s="30">
        <f t="shared" si="2"/>
        <v>0</v>
      </c>
      <c r="E51" s="5" t="s">
        <v>317</v>
      </c>
      <c r="F51" s="5" t="s">
        <v>621</v>
      </c>
      <c r="G51" s="53" t="s">
        <v>605</v>
      </c>
      <c r="H51" s="2" t="s">
        <v>25</v>
      </c>
      <c r="I51" s="2" t="s">
        <v>659</v>
      </c>
      <c r="J51" s="2" t="s">
        <v>657</v>
      </c>
      <c r="K51" s="2" t="s">
        <v>327</v>
      </c>
      <c r="L51" s="7">
        <v>-74.7929268898082</v>
      </c>
      <c r="M51" s="29">
        <v>11.020191889052301</v>
      </c>
    </row>
    <row r="52" spans="1:14">
      <c r="A52" s="24">
        <v>51</v>
      </c>
      <c r="B52" s="5">
        <v>46043</v>
      </c>
      <c r="C52" s="5">
        <v>46050</v>
      </c>
      <c r="D52" s="30">
        <f t="shared" si="2"/>
        <v>7</v>
      </c>
      <c r="E52" s="5" t="s">
        <v>317</v>
      </c>
      <c r="F52" s="5" t="s">
        <v>621</v>
      </c>
      <c r="G52" s="53" t="s">
        <v>605</v>
      </c>
      <c r="H52" s="2" t="s">
        <v>25</v>
      </c>
      <c r="I52" s="2" t="s">
        <v>660</v>
      </c>
      <c r="J52" s="2" t="s">
        <v>657</v>
      </c>
      <c r="K52" s="2" t="s">
        <v>327</v>
      </c>
      <c r="L52" s="7">
        <v>-74.795077956568505</v>
      </c>
      <c r="M52" s="29">
        <v>11.0216943925509</v>
      </c>
      <c r="N52" s="51" t="s">
        <v>661</v>
      </c>
    </row>
    <row r="53" spans="1:14">
      <c r="A53" s="24">
        <v>52</v>
      </c>
      <c r="B53" s="5">
        <v>46043</v>
      </c>
      <c r="C53" s="5">
        <v>46044</v>
      </c>
      <c r="D53" s="30">
        <f t="shared" si="2"/>
        <v>1</v>
      </c>
      <c r="E53" s="5" t="s">
        <v>317</v>
      </c>
      <c r="F53" s="5" t="s">
        <v>621</v>
      </c>
      <c r="G53" s="53" t="s">
        <v>605</v>
      </c>
      <c r="H53" s="2" t="s">
        <v>25</v>
      </c>
      <c r="I53" s="2" t="s">
        <v>662</v>
      </c>
      <c r="J53" s="2" t="s">
        <v>22</v>
      </c>
      <c r="K53" s="2" t="s">
        <v>325</v>
      </c>
      <c r="L53" s="7">
        <v>-74.122667433470895</v>
      </c>
      <c r="M53" s="29">
        <v>4.6689713835201001</v>
      </c>
    </row>
    <row r="54" spans="1:14">
      <c r="A54" s="24">
        <v>53</v>
      </c>
      <c r="B54" s="5">
        <v>46043</v>
      </c>
      <c r="C54" s="5">
        <v>46045</v>
      </c>
      <c r="D54" s="30">
        <f t="shared" si="2"/>
        <v>2</v>
      </c>
      <c r="E54" s="5" t="s">
        <v>317</v>
      </c>
      <c r="F54" s="5" t="s">
        <v>621</v>
      </c>
      <c r="G54" s="53" t="s">
        <v>605</v>
      </c>
      <c r="H54" s="2" t="s">
        <v>25</v>
      </c>
      <c r="I54" s="2" t="s">
        <v>663</v>
      </c>
      <c r="J54" s="2" t="s">
        <v>657</v>
      </c>
      <c r="K54" s="2" t="s">
        <v>327</v>
      </c>
      <c r="L54" s="7">
        <v>-74.785153281822602</v>
      </c>
      <c r="M54" s="29">
        <v>11.012233965553101</v>
      </c>
    </row>
    <row r="55" spans="1:14">
      <c r="A55" s="24">
        <v>54</v>
      </c>
      <c r="B55" s="5">
        <v>46043</v>
      </c>
      <c r="C55" s="5">
        <v>46043</v>
      </c>
      <c r="D55" s="30">
        <f t="shared" si="2"/>
        <v>0</v>
      </c>
      <c r="E55" s="5" t="s">
        <v>254</v>
      </c>
      <c r="F55" s="5" t="s">
        <v>621</v>
      </c>
      <c r="G55" s="53" t="s">
        <v>618</v>
      </c>
      <c r="H55" s="2" t="s">
        <v>25</v>
      </c>
      <c r="I55" s="2" t="s">
        <v>664</v>
      </c>
      <c r="J55" s="2" t="s">
        <v>22</v>
      </c>
      <c r="K55" s="2" t="s">
        <v>80</v>
      </c>
      <c r="L55" s="7">
        <v>-74.090690102671104</v>
      </c>
      <c r="M55" s="29">
        <v>4.6325043800228798</v>
      </c>
    </row>
    <row r="56" spans="1:14">
      <c r="A56" s="24">
        <v>55</v>
      </c>
      <c r="B56" s="5">
        <v>46043</v>
      </c>
      <c r="C56" s="5">
        <v>46043</v>
      </c>
      <c r="D56" s="30">
        <f t="shared" si="2"/>
        <v>0</v>
      </c>
      <c r="E56" s="5" t="s">
        <v>254</v>
      </c>
      <c r="F56" s="5" t="s">
        <v>604</v>
      </c>
      <c r="G56" s="53" t="s">
        <v>605</v>
      </c>
      <c r="H56" s="2" t="s">
        <v>25</v>
      </c>
      <c r="I56" s="2" t="s">
        <v>665</v>
      </c>
      <c r="J56" s="2" t="s">
        <v>22</v>
      </c>
      <c r="K56" s="2" t="s">
        <v>80</v>
      </c>
      <c r="L56" s="7">
        <v>-74.099506974335796</v>
      </c>
      <c r="M56" s="45">
        <v>4.6291254819504202</v>
      </c>
    </row>
    <row r="57" spans="1:14">
      <c r="A57" s="24">
        <v>56</v>
      </c>
      <c r="B57" s="5">
        <v>46043</v>
      </c>
      <c r="C57" s="5">
        <v>46044</v>
      </c>
      <c r="D57" s="30">
        <f t="shared" si="2"/>
        <v>1</v>
      </c>
      <c r="E57" s="5" t="s">
        <v>254</v>
      </c>
      <c r="F57" s="5" t="s">
        <v>604</v>
      </c>
      <c r="G57" s="53" t="s">
        <v>618</v>
      </c>
      <c r="H57" s="2" t="s">
        <v>25</v>
      </c>
      <c r="I57" s="2" t="s">
        <v>666</v>
      </c>
      <c r="J57" s="2" t="s">
        <v>22</v>
      </c>
      <c r="K57" s="2" t="s">
        <v>80</v>
      </c>
      <c r="L57" s="7">
        <v>-74.0938211</v>
      </c>
      <c r="M57" s="45">
        <v>4.6325199000000001</v>
      </c>
    </row>
    <row r="58" spans="1:14">
      <c r="A58" s="24">
        <v>57</v>
      </c>
      <c r="B58" s="5">
        <v>46043</v>
      </c>
      <c r="C58" s="5">
        <v>46044</v>
      </c>
      <c r="D58" s="30">
        <f t="shared" si="2"/>
        <v>1</v>
      </c>
      <c r="E58" s="5" t="s">
        <v>254</v>
      </c>
      <c r="F58" s="5" t="s">
        <v>621</v>
      </c>
      <c r="G58" s="53" t="s">
        <v>605</v>
      </c>
      <c r="H58" s="2" t="s">
        <v>25</v>
      </c>
      <c r="I58" s="2" t="s">
        <v>667</v>
      </c>
      <c r="J58" s="2" t="s">
        <v>668</v>
      </c>
      <c r="K58" s="2" t="s">
        <v>669</v>
      </c>
      <c r="L58" s="7">
        <v>-75.544070000000005</v>
      </c>
      <c r="M58" s="7">
        <v>6.3378100000000002</v>
      </c>
    </row>
    <row r="59" spans="1:14">
      <c r="A59" s="24">
        <v>58</v>
      </c>
      <c r="B59" s="5">
        <v>46043</v>
      </c>
      <c r="C59" s="5">
        <v>46044</v>
      </c>
      <c r="D59" s="30">
        <f t="shared" si="2"/>
        <v>1</v>
      </c>
      <c r="E59" s="5" t="s">
        <v>317</v>
      </c>
      <c r="F59" s="5" t="s">
        <v>604</v>
      </c>
      <c r="G59" s="53" t="s">
        <v>618</v>
      </c>
      <c r="H59" s="2" t="s">
        <v>25</v>
      </c>
      <c r="I59" s="2" t="s">
        <v>670</v>
      </c>
      <c r="J59" s="2" t="s">
        <v>22</v>
      </c>
      <c r="K59" s="2" t="s">
        <v>327</v>
      </c>
      <c r="L59" s="7">
        <v>-74.116269488054002</v>
      </c>
      <c r="M59" s="7">
        <v>4.6277724754043197</v>
      </c>
    </row>
    <row r="60" spans="1:14">
      <c r="A60" s="24">
        <v>59</v>
      </c>
      <c r="B60" s="5">
        <v>46043</v>
      </c>
      <c r="C60" s="5">
        <v>46044</v>
      </c>
      <c r="D60" s="30">
        <f t="shared" si="2"/>
        <v>1</v>
      </c>
      <c r="E60" s="5" t="s">
        <v>254</v>
      </c>
      <c r="F60" s="5" t="s">
        <v>604</v>
      </c>
      <c r="G60" s="53" t="s">
        <v>605</v>
      </c>
      <c r="H60" s="2" t="s">
        <v>25</v>
      </c>
      <c r="I60" s="2" t="s">
        <v>671</v>
      </c>
      <c r="J60" s="2" t="s">
        <v>672</v>
      </c>
      <c r="K60" s="2" t="s">
        <v>669</v>
      </c>
      <c r="L60" s="7">
        <v>-74.151889507008903</v>
      </c>
      <c r="M60" s="7">
        <v>4.7549167285525904</v>
      </c>
    </row>
    <row r="61" spans="1:14">
      <c r="A61" s="24">
        <v>61</v>
      </c>
      <c r="B61" s="5">
        <v>46043</v>
      </c>
      <c r="C61" s="5">
        <v>46048</v>
      </c>
      <c r="D61" s="30">
        <f t="shared" si="2"/>
        <v>5</v>
      </c>
      <c r="E61" s="5" t="s">
        <v>254</v>
      </c>
      <c r="F61" s="5" t="s">
        <v>604</v>
      </c>
      <c r="G61" s="53" t="s">
        <v>605</v>
      </c>
      <c r="H61" s="2" t="s">
        <v>25</v>
      </c>
      <c r="I61" s="2" t="s">
        <v>673</v>
      </c>
      <c r="J61" s="2" t="s">
        <v>668</v>
      </c>
      <c r="K61" s="2" t="s">
        <v>669</v>
      </c>
      <c r="L61" s="7">
        <v>-75.569873744247005</v>
      </c>
      <c r="M61" s="45">
        <v>6.2472344023147803</v>
      </c>
    </row>
    <row r="62" spans="1:14">
      <c r="A62" s="24">
        <v>60</v>
      </c>
      <c r="B62" s="5">
        <v>46044</v>
      </c>
      <c r="C62" s="5">
        <v>46045</v>
      </c>
      <c r="D62" s="30">
        <f t="shared" si="2"/>
        <v>1</v>
      </c>
      <c r="E62" s="5" t="s">
        <v>317</v>
      </c>
      <c r="F62" s="5" t="s">
        <v>604</v>
      </c>
      <c r="G62" s="53" t="s">
        <v>605</v>
      </c>
      <c r="H62" s="2" t="s">
        <v>25</v>
      </c>
      <c r="I62" s="2" t="s">
        <v>674</v>
      </c>
      <c r="J62" s="2" t="s">
        <v>22</v>
      </c>
      <c r="K62" s="2" t="s">
        <v>38</v>
      </c>
      <c r="L62" s="7">
        <v>-74.076706504297107</v>
      </c>
      <c r="M62" s="7">
        <v>4.6424581541535703</v>
      </c>
    </row>
    <row r="63" spans="1:14">
      <c r="A63" s="24">
        <v>62</v>
      </c>
      <c r="B63" s="5">
        <v>46045</v>
      </c>
      <c r="C63" s="5">
        <v>46048</v>
      </c>
      <c r="D63" s="30">
        <f t="shared" si="2"/>
        <v>3</v>
      </c>
      <c r="E63" s="5" t="s">
        <v>254</v>
      </c>
      <c r="F63" s="5" t="s">
        <v>604</v>
      </c>
      <c r="G63" s="53" t="s">
        <v>605</v>
      </c>
      <c r="H63" s="2" t="s">
        <v>25</v>
      </c>
      <c r="I63" s="2" t="s">
        <v>675</v>
      </c>
      <c r="J63" s="2" t="s">
        <v>22</v>
      </c>
      <c r="K63" s="2" t="s">
        <v>33</v>
      </c>
      <c r="L63" s="7">
        <v>-74.042804895785295</v>
      </c>
      <c r="M63" s="46">
        <v>4.6978624567532501</v>
      </c>
    </row>
    <row r="64" spans="1:14">
      <c r="A64" s="24">
        <v>63</v>
      </c>
      <c r="B64" s="5">
        <v>46045</v>
      </c>
      <c r="C64" s="5">
        <v>46048</v>
      </c>
      <c r="D64" s="30">
        <f t="shared" si="2"/>
        <v>3</v>
      </c>
      <c r="E64" s="5" t="s">
        <v>317</v>
      </c>
      <c r="F64" s="5" t="s">
        <v>604</v>
      </c>
      <c r="G64" s="53" t="s">
        <v>618</v>
      </c>
      <c r="H64" s="2" t="s">
        <v>25</v>
      </c>
      <c r="I64" s="2" t="s">
        <v>676</v>
      </c>
      <c r="J64" s="2" t="s">
        <v>22</v>
      </c>
      <c r="K64" s="2" t="s">
        <v>325</v>
      </c>
      <c r="L64" s="7">
        <v>-74.0606255707972</v>
      </c>
      <c r="M64" s="46">
        <v>4.6483148149220002</v>
      </c>
    </row>
    <row r="65" spans="1:14" s="65" customFormat="1">
      <c r="A65" s="57">
        <v>64</v>
      </c>
      <c r="B65" s="58">
        <v>46045</v>
      </c>
      <c r="C65" s="58">
        <v>46048</v>
      </c>
      <c r="D65" s="59">
        <f t="shared" si="2"/>
        <v>3</v>
      </c>
      <c r="E65" s="58" t="s">
        <v>254</v>
      </c>
      <c r="F65" s="58" t="s">
        <v>604</v>
      </c>
      <c r="G65" s="60" t="s">
        <v>618</v>
      </c>
      <c r="H65" s="61" t="s">
        <v>25</v>
      </c>
      <c r="I65" s="62" t="s">
        <v>677</v>
      </c>
      <c r="J65" s="62" t="s">
        <v>22</v>
      </c>
      <c r="K65" s="61" t="s">
        <v>33</v>
      </c>
      <c r="L65" s="63">
        <v>-74.031904517374599</v>
      </c>
      <c r="M65" s="63">
        <v>4.7016963587595297</v>
      </c>
      <c r="N65" s="64"/>
    </row>
    <row r="66" spans="1:14">
      <c r="A66" s="24">
        <v>65</v>
      </c>
      <c r="B66" s="5">
        <v>46048</v>
      </c>
      <c r="C66" s="5">
        <v>46048</v>
      </c>
      <c r="D66" s="30">
        <f t="shared" si="2"/>
        <v>0</v>
      </c>
      <c r="E66" s="5" t="s">
        <v>254</v>
      </c>
      <c r="F66" s="5" t="s">
        <v>604</v>
      </c>
      <c r="G66" s="53" t="s">
        <v>605</v>
      </c>
      <c r="H66" s="2" t="s">
        <v>25</v>
      </c>
      <c r="I66" s="2" t="s">
        <v>516</v>
      </c>
      <c r="J66" s="2" t="s">
        <v>22</v>
      </c>
      <c r="K66" s="2" t="s">
        <v>38</v>
      </c>
      <c r="L66" s="7">
        <v>-74.076282599999999</v>
      </c>
      <c r="M66" s="45">
        <v>4.6421019000000001</v>
      </c>
    </row>
    <row r="67" spans="1:14">
      <c r="A67" s="24">
        <v>66</v>
      </c>
      <c r="B67" s="5">
        <v>46048</v>
      </c>
      <c r="C67" s="5">
        <v>46049</v>
      </c>
      <c r="D67" s="30">
        <f t="shared" si="2"/>
        <v>1</v>
      </c>
      <c r="E67" s="5" t="s">
        <v>254</v>
      </c>
      <c r="F67" s="5" t="s">
        <v>604</v>
      </c>
      <c r="G67" s="53" t="s">
        <v>605</v>
      </c>
      <c r="H67" s="2" t="s">
        <v>25</v>
      </c>
      <c r="I67" s="2" t="s">
        <v>259</v>
      </c>
      <c r="J67" s="2" t="s">
        <v>22</v>
      </c>
      <c r="K67" s="2" t="s">
        <v>38</v>
      </c>
      <c r="L67" s="7">
        <v>-74.054277799999994</v>
      </c>
      <c r="M67" s="7">
        <v>4.6534722000000004</v>
      </c>
    </row>
    <row r="68" spans="1:14">
      <c r="A68" s="24">
        <v>67</v>
      </c>
      <c r="B68" s="5">
        <v>46048</v>
      </c>
      <c r="C68" s="5">
        <v>46048</v>
      </c>
      <c r="D68" s="30">
        <f t="shared" si="2"/>
        <v>0</v>
      </c>
      <c r="E68" s="5" t="s">
        <v>254</v>
      </c>
      <c r="F68" s="5" t="s">
        <v>621</v>
      </c>
      <c r="G68" s="53" t="s">
        <v>605</v>
      </c>
      <c r="H68" s="2" t="s">
        <v>25</v>
      </c>
      <c r="I68" s="2" t="s">
        <v>678</v>
      </c>
      <c r="J68" s="2" t="s">
        <v>22</v>
      </c>
      <c r="K68" s="2" t="s">
        <v>393</v>
      </c>
      <c r="L68" s="7">
        <v>-74.033090237902996</v>
      </c>
      <c r="M68" s="7">
        <v>4.7130997079351902</v>
      </c>
    </row>
    <row r="69" spans="1:14">
      <c r="A69" s="24">
        <v>68</v>
      </c>
      <c r="B69" s="5">
        <v>46048</v>
      </c>
      <c r="C69" s="5">
        <v>46049</v>
      </c>
      <c r="D69" s="30">
        <f t="shared" si="2"/>
        <v>1</v>
      </c>
      <c r="E69" s="5" t="s">
        <v>317</v>
      </c>
      <c r="F69" s="5" t="s">
        <v>604</v>
      </c>
      <c r="G69" s="53" t="s">
        <v>618</v>
      </c>
      <c r="H69" s="2" t="s">
        <v>25</v>
      </c>
      <c r="I69" s="2" t="s">
        <v>679</v>
      </c>
      <c r="J69" s="2" t="s">
        <v>22</v>
      </c>
      <c r="K69" s="2" t="s">
        <v>327</v>
      </c>
      <c r="L69" s="7">
        <v>-74.049668672086398</v>
      </c>
      <c r="M69" s="7">
        <v>4.67800238325305</v>
      </c>
    </row>
    <row r="70" spans="1:14">
      <c r="A70" s="24">
        <v>69</v>
      </c>
      <c r="B70" s="5">
        <v>46048</v>
      </c>
      <c r="C70" s="5">
        <v>46049</v>
      </c>
      <c r="D70" s="30">
        <f t="shared" si="2"/>
        <v>1</v>
      </c>
      <c r="E70" s="5" t="s">
        <v>317</v>
      </c>
      <c r="F70" s="5" t="s">
        <v>604</v>
      </c>
      <c r="G70" s="53" t="s">
        <v>605</v>
      </c>
      <c r="H70" s="2" t="s">
        <v>25</v>
      </c>
      <c r="I70" s="2" t="s">
        <v>680</v>
      </c>
      <c r="J70" s="2" t="s">
        <v>22</v>
      </c>
      <c r="K70" s="2" t="s">
        <v>327</v>
      </c>
      <c r="L70" s="7">
        <v>-74.159466056637598</v>
      </c>
      <c r="M70" s="7">
        <v>4.6527529757910102</v>
      </c>
    </row>
    <row r="71" spans="1:14">
      <c r="A71" s="24">
        <v>70</v>
      </c>
      <c r="B71" s="5">
        <v>46048</v>
      </c>
      <c r="C71" s="5">
        <v>46050</v>
      </c>
      <c r="D71" s="30">
        <f t="shared" si="2"/>
        <v>2</v>
      </c>
      <c r="E71" s="5" t="s">
        <v>317</v>
      </c>
      <c r="F71" s="5" t="s">
        <v>604</v>
      </c>
      <c r="G71" s="53" t="s">
        <v>618</v>
      </c>
      <c r="H71" s="2" t="s">
        <v>25</v>
      </c>
      <c r="I71" s="2" t="s">
        <v>681</v>
      </c>
      <c r="J71" s="2" t="s">
        <v>22</v>
      </c>
      <c r="K71" s="2" t="s">
        <v>327</v>
      </c>
      <c r="L71" s="7">
        <v>-74.060628105323502</v>
      </c>
      <c r="M71" s="7">
        <v>4.6587165894731504</v>
      </c>
    </row>
    <row r="72" spans="1:14">
      <c r="A72" s="24">
        <v>76</v>
      </c>
      <c r="B72" s="5">
        <v>46048</v>
      </c>
      <c r="C72" s="5">
        <v>46050</v>
      </c>
      <c r="D72" s="30">
        <f t="shared" si="2"/>
        <v>2</v>
      </c>
      <c r="E72" s="5" t="s">
        <v>254</v>
      </c>
      <c r="F72" s="5" t="s">
        <v>621</v>
      </c>
      <c r="G72" s="53" t="s">
        <v>605</v>
      </c>
      <c r="H72" s="2" t="s">
        <v>25</v>
      </c>
      <c r="I72" s="2" t="s">
        <v>682</v>
      </c>
      <c r="J72" s="2" t="s">
        <v>668</v>
      </c>
      <c r="K72" s="2" t="s">
        <v>669</v>
      </c>
      <c r="L72" s="7">
        <v>-75.583744296153597</v>
      </c>
      <c r="M72" s="18">
        <v>6.19802336630545</v>
      </c>
    </row>
    <row r="73" spans="1:14">
      <c r="A73" s="24">
        <v>71</v>
      </c>
      <c r="B73" s="5">
        <v>46049</v>
      </c>
      <c r="C73" s="5">
        <v>46050</v>
      </c>
      <c r="D73" s="30">
        <f t="shared" si="2"/>
        <v>1</v>
      </c>
      <c r="E73" s="5" t="s">
        <v>317</v>
      </c>
      <c r="F73" s="5" t="s">
        <v>621</v>
      </c>
      <c r="G73" s="53" t="s">
        <v>618</v>
      </c>
      <c r="H73" s="2" t="s">
        <v>25</v>
      </c>
      <c r="I73" s="2" t="s">
        <v>319</v>
      </c>
      <c r="J73" s="2" t="s">
        <v>22</v>
      </c>
      <c r="K73" s="2" t="s">
        <v>48</v>
      </c>
      <c r="L73" s="7">
        <v>-74.063195131378606</v>
      </c>
      <c r="M73" s="7">
        <v>4.63772683777752</v>
      </c>
    </row>
    <row r="74" spans="1:14">
      <c r="A74" s="24">
        <v>72</v>
      </c>
      <c r="B74" s="5">
        <v>46049</v>
      </c>
      <c r="C74" s="5">
        <v>46050</v>
      </c>
      <c r="D74" s="30">
        <f t="shared" si="2"/>
        <v>1</v>
      </c>
      <c r="E74" s="5" t="s">
        <v>317</v>
      </c>
      <c r="F74" s="5" t="s">
        <v>621</v>
      </c>
      <c r="G74" s="53" t="s">
        <v>605</v>
      </c>
      <c r="H74" s="2" t="s">
        <v>25</v>
      </c>
      <c r="I74" s="2" t="s">
        <v>683</v>
      </c>
      <c r="J74" s="2" t="s">
        <v>22</v>
      </c>
      <c r="K74" s="2" t="s">
        <v>48</v>
      </c>
      <c r="L74" s="7">
        <v>-74.063267093112103</v>
      </c>
      <c r="M74" s="7">
        <v>4.6371355730830501</v>
      </c>
    </row>
    <row r="75" spans="1:14">
      <c r="A75" s="24">
        <v>73</v>
      </c>
      <c r="B75" s="5">
        <v>46049</v>
      </c>
      <c r="C75" s="5">
        <v>46050</v>
      </c>
      <c r="D75" s="30">
        <f t="shared" ref="D75:D106" si="3">C75-B75</f>
        <v>1</v>
      </c>
      <c r="E75" s="5" t="s">
        <v>317</v>
      </c>
      <c r="F75" s="5" t="s">
        <v>621</v>
      </c>
      <c r="G75" s="53" t="s">
        <v>605</v>
      </c>
      <c r="H75" s="2" t="s">
        <v>25</v>
      </c>
      <c r="I75" s="2" t="s">
        <v>684</v>
      </c>
      <c r="J75" s="2" t="s">
        <v>22</v>
      </c>
      <c r="K75" s="2" t="s">
        <v>48</v>
      </c>
      <c r="L75" s="7">
        <v>-74.061657557135504</v>
      </c>
      <c r="M75" s="7">
        <v>4.6435610265232796</v>
      </c>
    </row>
    <row r="76" spans="1:14">
      <c r="A76" s="24">
        <v>74</v>
      </c>
      <c r="B76" s="5">
        <v>46049</v>
      </c>
      <c r="C76" s="5">
        <v>46050</v>
      </c>
      <c r="D76" s="30">
        <f t="shared" si="3"/>
        <v>1</v>
      </c>
      <c r="E76" s="5" t="s">
        <v>317</v>
      </c>
      <c r="F76" s="5" t="s">
        <v>621</v>
      </c>
      <c r="G76" s="53" t="s">
        <v>605</v>
      </c>
      <c r="H76" s="2" t="s">
        <v>25</v>
      </c>
      <c r="I76" s="2" t="s">
        <v>685</v>
      </c>
      <c r="J76" s="2" t="s">
        <v>22</v>
      </c>
      <c r="K76" s="2" t="s">
        <v>48</v>
      </c>
      <c r="L76" s="7">
        <v>-74.061659238569604</v>
      </c>
      <c r="M76" s="7">
        <v>4.6432940344146001</v>
      </c>
    </row>
    <row r="77" spans="1:14">
      <c r="A77" s="24">
        <v>75</v>
      </c>
      <c r="B77" s="5">
        <v>46049</v>
      </c>
      <c r="C77" s="5">
        <v>46050</v>
      </c>
      <c r="D77" s="30">
        <f t="shared" si="3"/>
        <v>1</v>
      </c>
      <c r="E77" s="5" t="s">
        <v>317</v>
      </c>
      <c r="F77" s="5" t="s">
        <v>621</v>
      </c>
      <c r="G77" s="53" t="s">
        <v>618</v>
      </c>
      <c r="H77" s="2" t="s">
        <v>25</v>
      </c>
      <c r="I77" s="2" t="s">
        <v>335</v>
      </c>
      <c r="J77" s="2" t="s">
        <v>22</v>
      </c>
      <c r="K77" s="2" t="s">
        <v>48</v>
      </c>
      <c r="L77" s="7">
        <v>-74.0496818448581</v>
      </c>
      <c r="M77" s="7">
        <v>4.66175726852404</v>
      </c>
    </row>
    <row r="78" spans="1:14">
      <c r="A78" s="24">
        <v>77</v>
      </c>
      <c r="B78" s="5">
        <v>46050</v>
      </c>
      <c r="C78" s="5">
        <v>46051</v>
      </c>
      <c r="D78" s="30">
        <f t="shared" si="3"/>
        <v>1</v>
      </c>
      <c r="E78" s="5" t="s">
        <v>254</v>
      </c>
      <c r="F78" s="5" t="s">
        <v>621</v>
      </c>
      <c r="G78" s="53" t="s">
        <v>618</v>
      </c>
      <c r="H78" s="2" t="s">
        <v>25</v>
      </c>
      <c r="I78" s="2" t="s">
        <v>686</v>
      </c>
      <c r="J78" s="2" t="s">
        <v>22</v>
      </c>
      <c r="K78" s="2" t="s">
        <v>80</v>
      </c>
      <c r="L78" s="7">
        <v>-74.070089999999993</v>
      </c>
      <c r="M78" s="45">
        <v>4.6104702</v>
      </c>
    </row>
    <row r="79" spans="1:14">
      <c r="A79" s="24">
        <v>78</v>
      </c>
      <c r="B79" s="5">
        <v>46050</v>
      </c>
      <c r="C79" s="5">
        <v>46051</v>
      </c>
      <c r="D79" s="30">
        <f t="shared" si="3"/>
        <v>1</v>
      </c>
      <c r="E79" s="5" t="s">
        <v>254</v>
      </c>
      <c r="F79" s="5" t="s">
        <v>621</v>
      </c>
      <c r="G79" s="53" t="s">
        <v>618</v>
      </c>
      <c r="H79" s="2" t="s">
        <v>25</v>
      </c>
      <c r="I79" s="2" t="s">
        <v>287</v>
      </c>
      <c r="J79" s="2" t="s">
        <v>22</v>
      </c>
      <c r="K79" s="2" t="s">
        <v>80</v>
      </c>
      <c r="L79" s="7">
        <v>-74.0695841</v>
      </c>
      <c r="M79" s="7">
        <v>4.6128830000000001</v>
      </c>
    </row>
    <row r="80" spans="1:14">
      <c r="A80" s="24">
        <v>79</v>
      </c>
      <c r="B80" s="5">
        <v>46050</v>
      </c>
      <c r="C80" s="5">
        <v>46051</v>
      </c>
      <c r="D80" s="30">
        <f t="shared" si="3"/>
        <v>1</v>
      </c>
      <c r="E80" s="5" t="s">
        <v>254</v>
      </c>
      <c r="F80" s="5" t="s">
        <v>621</v>
      </c>
      <c r="G80" s="53" t="s">
        <v>618</v>
      </c>
      <c r="H80" s="2" t="s">
        <v>25</v>
      </c>
      <c r="I80" s="2" t="s">
        <v>687</v>
      </c>
      <c r="J80" s="2" t="s">
        <v>22</v>
      </c>
      <c r="K80" s="2" t="s">
        <v>33</v>
      </c>
      <c r="L80" s="7">
        <v>-74.030152200000003</v>
      </c>
      <c r="M80" s="45">
        <v>4.698664</v>
      </c>
    </row>
    <row r="81" spans="1:13">
      <c r="A81" s="24">
        <v>80</v>
      </c>
      <c r="B81" s="5">
        <v>46051</v>
      </c>
      <c r="C81" s="5">
        <v>46051</v>
      </c>
      <c r="D81" s="30">
        <f t="shared" si="3"/>
        <v>0</v>
      </c>
      <c r="E81" s="5" t="s">
        <v>254</v>
      </c>
      <c r="F81" s="5" t="s">
        <v>621</v>
      </c>
      <c r="G81" s="53" t="s">
        <v>618</v>
      </c>
      <c r="H81" s="2" t="s">
        <v>25</v>
      </c>
      <c r="I81" s="2" t="s">
        <v>688</v>
      </c>
      <c r="J81" s="2" t="s">
        <v>22</v>
      </c>
      <c r="K81" s="2" t="s">
        <v>38</v>
      </c>
      <c r="L81" s="7">
        <v>-74.070583882348004</v>
      </c>
      <c r="M81" s="45">
        <v>4.6381720698118096</v>
      </c>
    </row>
    <row r="82" spans="1:13">
      <c r="A82" s="24">
        <v>81</v>
      </c>
      <c r="B82" s="5">
        <v>46051</v>
      </c>
      <c r="C82" s="5">
        <v>46055</v>
      </c>
      <c r="D82" s="30">
        <f t="shared" si="3"/>
        <v>4</v>
      </c>
      <c r="E82" s="5" t="s">
        <v>254</v>
      </c>
      <c r="F82" s="5" t="s">
        <v>621</v>
      </c>
      <c r="G82" s="53" t="s">
        <v>605</v>
      </c>
      <c r="H82" s="2" t="s">
        <v>25</v>
      </c>
      <c r="I82" s="2" t="s">
        <v>689</v>
      </c>
      <c r="J82" s="2" t="s">
        <v>22</v>
      </c>
      <c r="K82" s="2" t="s">
        <v>80</v>
      </c>
      <c r="L82" s="7">
        <v>-74.088275625126002</v>
      </c>
      <c r="M82" s="45">
        <v>4.63023006293189</v>
      </c>
    </row>
    <row r="83" spans="1:13">
      <c r="A83" s="24">
        <v>82</v>
      </c>
      <c r="B83" s="5">
        <v>46052</v>
      </c>
      <c r="C83" s="5">
        <v>46055</v>
      </c>
      <c r="D83" s="30">
        <f t="shared" si="3"/>
        <v>3</v>
      </c>
      <c r="E83" s="5" t="s">
        <v>254</v>
      </c>
      <c r="F83" s="5" t="s">
        <v>621</v>
      </c>
      <c r="G83" s="53" t="s">
        <v>605</v>
      </c>
      <c r="H83" s="2" t="s">
        <v>25</v>
      </c>
      <c r="I83" s="2" t="s">
        <v>514</v>
      </c>
      <c r="J83" s="2" t="s">
        <v>22</v>
      </c>
      <c r="K83" s="2" t="s">
        <v>33</v>
      </c>
      <c r="L83" s="7">
        <v>-74.078030400000003</v>
      </c>
      <c r="M83" s="45">
        <v>4.6936838999999999</v>
      </c>
    </row>
    <row r="84" spans="1:13">
      <c r="A84" s="24">
        <v>83</v>
      </c>
      <c r="B84" s="5">
        <v>46052</v>
      </c>
      <c r="C84" s="5">
        <v>46055</v>
      </c>
      <c r="D84" s="30">
        <f t="shared" si="3"/>
        <v>3</v>
      </c>
      <c r="E84" s="5" t="s">
        <v>254</v>
      </c>
      <c r="F84" s="5" t="s">
        <v>621</v>
      </c>
      <c r="G84" s="53" t="s">
        <v>605</v>
      </c>
      <c r="H84" s="2" t="s">
        <v>25</v>
      </c>
      <c r="I84" s="2" t="s">
        <v>690</v>
      </c>
      <c r="J84" s="2" t="s">
        <v>22</v>
      </c>
      <c r="K84" s="2" t="s">
        <v>33</v>
      </c>
      <c r="L84" s="7">
        <v>-74.065593000000007</v>
      </c>
      <c r="M84" s="45">
        <v>4.6940982</v>
      </c>
    </row>
    <row r="85" spans="1:13">
      <c r="A85" s="24">
        <v>84</v>
      </c>
      <c r="B85" s="5">
        <v>46052</v>
      </c>
      <c r="C85" s="5">
        <v>46055</v>
      </c>
      <c r="D85" s="30">
        <f t="shared" si="3"/>
        <v>3</v>
      </c>
      <c r="E85" s="5" t="s">
        <v>254</v>
      </c>
      <c r="F85" s="5" t="s">
        <v>621</v>
      </c>
      <c r="G85" s="53" t="s">
        <v>605</v>
      </c>
      <c r="H85" s="2" t="s">
        <v>25</v>
      </c>
      <c r="I85" s="2" t="s">
        <v>691</v>
      </c>
      <c r="J85" s="2" t="s">
        <v>22</v>
      </c>
      <c r="K85" s="2" t="s">
        <v>33</v>
      </c>
      <c r="L85" s="7">
        <v>-74.033797800000002</v>
      </c>
      <c r="M85" s="45">
        <v>4.6961236</v>
      </c>
    </row>
    <row r="86" spans="1:13">
      <c r="A86" s="24">
        <v>85</v>
      </c>
      <c r="B86" s="5">
        <v>46055</v>
      </c>
      <c r="C86" s="5">
        <v>46056</v>
      </c>
      <c r="D86" s="30">
        <f t="shared" si="3"/>
        <v>1</v>
      </c>
      <c r="E86" s="5" t="s">
        <v>317</v>
      </c>
      <c r="F86" s="5" t="s">
        <v>604</v>
      </c>
      <c r="G86" s="53" t="s">
        <v>605</v>
      </c>
      <c r="H86" s="2" t="s">
        <v>25</v>
      </c>
      <c r="I86" s="2" t="s">
        <v>692</v>
      </c>
      <c r="J86" s="2" t="s">
        <v>22</v>
      </c>
      <c r="K86" s="2" t="s">
        <v>327</v>
      </c>
      <c r="L86" s="7">
        <v>-74.062412677135796</v>
      </c>
      <c r="M86" s="45">
        <v>4.6554024433203702</v>
      </c>
    </row>
    <row r="87" spans="1:13">
      <c r="A87" s="24">
        <v>86</v>
      </c>
      <c r="B87" s="5">
        <v>46055</v>
      </c>
      <c r="C87" s="5">
        <v>46056</v>
      </c>
      <c r="D87" s="30">
        <f t="shared" si="3"/>
        <v>1</v>
      </c>
      <c r="E87" s="5" t="s">
        <v>317</v>
      </c>
      <c r="F87" s="5" t="s">
        <v>604</v>
      </c>
      <c r="G87" s="53" t="s">
        <v>618</v>
      </c>
      <c r="H87" s="2" t="s">
        <v>25</v>
      </c>
      <c r="I87" s="2" t="s">
        <v>638</v>
      </c>
      <c r="J87" s="2" t="s">
        <v>22</v>
      </c>
      <c r="K87" s="2" t="s">
        <v>327</v>
      </c>
      <c r="L87" s="7">
        <v>-74.051643181844796</v>
      </c>
      <c r="M87" s="45">
        <v>4.6769548984746496</v>
      </c>
    </row>
    <row r="88" spans="1:13">
      <c r="A88" s="24">
        <v>87</v>
      </c>
      <c r="B88" s="5">
        <v>46055</v>
      </c>
      <c r="C88" s="5">
        <v>46056</v>
      </c>
      <c r="D88" s="30">
        <f t="shared" si="3"/>
        <v>1</v>
      </c>
      <c r="E88" s="5" t="s">
        <v>317</v>
      </c>
      <c r="F88" s="5" t="s">
        <v>604</v>
      </c>
      <c r="G88" s="53" t="s">
        <v>618</v>
      </c>
      <c r="H88" s="2" t="s">
        <v>25</v>
      </c>
      <c r="I88" s="2" t="s">
        <v>693</v>
      </c>
      <c r="J88" s="2" t="s">
        <v>22</v>
      </c>
      <c r="K88" s="2" t="s">
        <v>327</v>
      </c>
      <c r="L88" s="7">
        <v>-74.135365255104105</v>
      </c>
      <c r="M88" s="45">
        <v>4.6291256659042004</v>
      </c>
    </row>
    <row r="89" spans="1:13">
      <c r="A89" s="24">
        <v>88</v>
      </c>
      <c r="B89" s="5">
        <v>46055</v>
      </c>
      <c r="C89" s="5">
        <v>46057</v>
      </c>
      <c r="D89" s="30">
        <f t="shared" si="3"/>
        <v>2</v>
      </c>
      <c r="E89" s="5" t="s">
        <v>317</v>
      </c>
      <c r="F89" s="5" t="s">
        <v>604</v>
      </c>
      <c r="G89" s="53" t="s">
        <v>618</v>
      </c>
      <c r="H89" s="2" t="s">
        <v>25</v>
      </c>
      <c r="I89" s="2" t="s">
        <v>694</v>
      </c>
      <c r="J89" s="2" t="s">
        <v>22</v>
      </c>
      <c r="K89" s="2" t="s">
        <v>327</v>
      </c>
      <c r="L89" s="7">
        <v>-74.056606740342403</v>
      </c>
      <c r="M89" s="45">
        <v>4.6530127443081</v>
      </c>
    </row>
    <row r="90" spans="1:13">
      <c r="A90" s="24">
        <v>89</v>
      </c>
      <c r="B90" s="5">
        <v>46055</v>
      </c>
      <c r="C90" s="5">
        <v>46057</v>
      </c>
      <c r="D90" s="30">
        <f t="shared" si="3"/>
        <v>2</v>
      </c>
      <c r="E90" s="5" t="s">
        <v>317</v>
      </c>
      <c r="F90" s="5" t="s">
        <v>604</v>
      </c>
      <c r="G90" s="53" t="s">
        <v>618</v>
      </c>
      <c r="H90" s="2" t="s">
        <v>25</v>
      </c>
      <c r="I90" s="2" t="s">
        <v>695</v>
      </c>
      <c r="J90" s="2" t="s">
        <v>22</v>
      </c>
      <c r="K90" s="2" t="s">
        <v>327</v>
      </c>
      <c r="L90" s="7">
        <v>-74.050829027999299</v>
      </c>
      <c r="M90" s="45">
        <v>4.6773686840432998</v>
      </c>
    </row>
    <row r="91" spans="1:13">
      <c r="A91" s="24">
        <v>90</v>
      </c>
      <c r="B91" s="5">
        <v>46055</v>
      </c>
      <c r="C91" s="5">
        <v>46057</v>
      </c>
      <c r="D91" s="30">
        <f t="shared" si="3"/>
        <v>2</v>
      </c>
      <c r="E91" s="5" t="s">
        <v>317</v>
      </c>
      <c r="F91" s="5" t="s">
        <v>604</v>
      </c>
      <c r="G91" s="53" t="s">
        <v>618</v>
      </c>
      <c r="H91" s="2" t="s">
        <v>25</v>
      </c>
      <c r="I91" s="2" t="s">
        <v>696</v>
      </c>
      <c r="J91" s="2" t="s">
        <v>22</v>
      </c>
      <c r="K91" s="2" t="s">
        <v>327</v>
      </c>
      <c r="L91" s="7">
        <v>-74.153979298692207</v>
      </c>
      <c r="M91" s="45">
        <v>4.62320056248379</v>
      </c>
    </row>
    <row r="92" spans="1:13">
      <c r="A92" s="24">
        <v>91</v>
      </c>
      <c r="B92" s="5">
        <v>46055</v>
      </c>
      <c r="C92" s="5">
        <v>46058</v>
      </c>
      <c r="D92" s="30">
        <f t="shared" si="3"/>
        <v>3</v>
      </c>
      <c r="E92" s="5" t="s">
        <v>317</v>
      </c>
      <c r="F92" s="5" t="s">
        <v>604</v>
      </c>
      <c r="G92" s="53" t="s">
        <v>618</v>
      </c>
      <c r="H92" s="2" t="s">
        <v>25</v>
      </c>
      <c r="I92" s="2" t="s">
        <v>697</v>
      </c>
      <c r="J92" s="2" t="s">
        <v>22</v>
      </c>
      <c r="K92" s="2" t="s">
        <v>327</v>
      </c>
      <c r="L92" s="7">
        <v>-74.056671607745699</v>
      </c>
      <c r="M92" s="45">
        <v>4.6674207410567199</v>
      </c>
    </row>
    <row r="93" spans="1:13">
      <c r="A93" s="24">
        <v>92</v>
      </c>
      <c r="B93" s="5">
        <v>46055</v>
      </c>
      <c r="C93" s="5">
        <v>46058</v>
      </c>
      <c r="D93" s="30">
        <f t="shared" si="3"/>
        <v>3</v>
      </c>
      <c r="E93" s="5" t="s">
        <v>317</v>
      </c>
      <c r="F93" s="5" t="s">
        <v>604</v>
      </c>
      <c r="G93" s="53" t="s">
        <v>605</v>
      </c>
      <c r="H93" s="2" t="s">
        <v>25</v>
      </c>
      <c r="I93" s="2" t="s">
        <v>698</v>
      </c>
      <c r="J93" s="2" t="s">
        <v>22</v>
      </c>
      <c r="K93" s="2" t="s">
        <v>327</v>
      </c>
      <c r="L93" s="7">
        <v>-74.058538539092297</v>
      </c>
      <c r="M93" s="45">
        <v>4.67187539234589</v>
      </c>
    </row>
    <row r="94" spans="1:13">
      <c r="A94" s="24">
        <v>93</v>
      </c>
      <c r="B94" s="5">
        <v>46055</v>
      </c>
      <c r="C94" s="5">
        <v>46059</v>
      </c>
      <c r="D94" s="30">
        <f t="shared" si="3"/>
        <v>4</v>
      </c>
      <c r="E94" s="5" t="s">
        <v>317</v>
      </c>
      <c r="F94" s="5" t="s">
        <v>604</v>
      </c>
      <c r="G94" s="53" t="s">
        <v>618</v>
      </c>
      <c r="H94" s="2" t="s">
        <v>25</v>
      </c>
      <c r="I94" s="2" t="s">
        <v>531</v>
      </c>
      <c r="J94" s="2" t="s">
        <v>22</v>
      </c>
      <c r="K94" s="2" t="s">
        <v>327</v>
      </c>
      <c r="L94" s="7">
        <v>-74.0592548312286</v>
      </c>
      <c r="M94" s="45">
        <v>4.6624870371826201</v>
      </c>
    </row>
    <row r="95" spans="1:13">
      <c r="A95" s="24">
        <v>94</v>
      </c>
      <c r="B95" s="5">
        <v>46055</v>
      </c>
      <c r="C95" s="5">
        <v>46058</v>
      </c>
      <c r="D95" s="30">
        <f t="shared" si="3"/>
        <v>3</v>
      </c>
      <c r="E95" s="5" t="s">
        <v>317</v>
      </c>
      <c r="F95" s="5" t="s">
        <v>604</v>
      </c>
      <c r="G95" s="53" t="s">
        <v>618</v>
      </c>
      <c r="H95" s="2" t="s">
        <v>25</v>
      </c>
      <c r="I95" s="2" t="s">
        <v>699</v>
      </c>
      <c r="J95" s="2" t="s">
        <v>22</v>
      </c>
      <c r="K95" s="2" t="s">
        <v>327</v>
      </c>
      <c r="L95" s="7">
        <f>M95</f>
        <v>4.6966203123819596</v>
      </c>
      <c r="M95" s="45">
        <v>4.6966203123819596</v>
      </c>
    </row>
    <row r="96" spans="1:13">
      <c r="A96" s="24">
        <v>95</v>
      </c>
      <c r="B96" s="5">
        <v>46055</v>
      </c>
      <c r="C96" s="5">
        <v>46059</v>
      </c>
      <c r="D96" s="30">
        <f t="shared" si="3"/>
        <v>4</v>
      </c>
      <c r="E96" s="5" t="s">
        <v>317</v>
      </c>
      <c r="F96" s="5" t="s">
        <v>604</v>
      </c>
      <c r="G96" s="53" t="s">
        <v>618</v>
      </c>
      <c r="H96" s="2" t="s">
        <v>25</v>
      </c>
      <c r="I96" s="2" t="s">
        <v>700</v>
      </c>
      <c r="J96" s="2" t="s">
        <v>22</v>
      </c>
      <c r="K96" s="2" t="s">
        <v>327</v>
      </c>
      <c r="L96" s="7">
        <v>-74.059219248796396</v>
      </c>
      <c r="M96" s="45">
        <v>4.6573060134871502</v>
      </c>
    </row>
    <row r="97" spans="1:13">
      <c r="A97" s="24">
        <v>96</v>
      </c>
      <c r="B97" s="5">
        <v>46055</v>
      </c>
      <c r="C97" s="5">
        <v>46055</v>
      </c>
      <c r="D97" s="30">
        <f t="shared" si="3"/>
        <v>0</v>
      </c>
      <c r="E97" s="5" t="s">
        <v>317</v>
      </c>
      <c r="F97" s="5" t="s">
        <v>604</v>
      </c>
      <c r="G97" s="53" t="s">
        <v>605</v>
      </c>
      <c r="H97" s="2" t="s">
        <v>25</v>
      </c>
      <c r="I97" s="2" t="s">
        <v>701</v>
      </c>
      <c r="J97" s="2" t="s">
        <v>22</v>
      </c>
      <c r="K97" s="2" t="s">
        <v>325</v>
      </c>
      <c r="L97" s="7">
        <v>-74.140202200442999</v>
      </c>
      <c r="M97" s="45">
        <v>4.6772838306151803</v>
      </c>
    </row>
    <row r="98" spans="1:13">
      <c r="A98" s="24">
        <v>97</v>
      </c>
      <c r="B98" s="5">
        <v>46055</v>
      </c>
      <c r="C98" s="5">
        <v>46055</v>
      </c>
      <c r="D98" s="30">
        <f t="shared" si="3"/>
        <v>0</v>
      </c>
      <c r="E98" s="5" t="s">
        <v>317</v>
      </c>
      <c r="F98" s="5" t="s">
        <v>604</v>
      </c>
      <c r="G98" s="53" t="s">
        <v>605</v>
      </c>
      <c r="H98" s="2" t="s">
        <v>25</v>
      </c>
      <c r="I98" s="2" t="s">
        <v>702</v>
      </c>
      <c r="J98" s="2" t="s">
        <v>22</v>
      </c>
      <c r="K98" s="2" t="s">
        <v>325</v>
      </c>
      <c r="L98" s="7">
        <v>-74.133732729671394</v>
      </c>
      <c r="M98" s="45">
        <v>4.6818687260574601</v>
      </c>
    </row>
    <row r="99" spans="1:13">
      <c r="A99" s="24">
        <v>98</v>
      </c>
      <c r="B99" s="5">
        <v>46055</v>
      </c>
      <c r="C99" s="5">
        <v>46056</v>
      </c>
      <c r="D99" s="30">
        <f t="shared" si="3"/>
        <v>1</v>
      </c>
      <c r="E99" s="5" t="s">
        <v>317</v>
      </c>
      <c r="F99" s="5" t="s">
        <v>604</v>
      </c>
      <c r="G99" s="53" t="s">
        <v>618</v>
      </c>
      <c r="H99" s="2" t="s">
        <v>25</v>
      </c>
      <c r="I99" s="2" t="s">
        <v>703</v>
      </c>
      <c r="J99" s="2" t="s">
        <v>22</v>
      </c>
      <c r="K99" s="2" t="s">
        <v>325</v>
      </c>
      <c r="L99" s="7">
        <v>-74.067325525669801</v>
      </c>
      <c r="M99" s="45">
        <v>4.6275108934629001</v>
      </c>
    </row>
    <row r="100" spans="1:13">
      <c r="A100" s="24">
        <v>99</v>
      </c>
      <c r="B100" s="5">
        <v>46055</v>
      </c>
      <c r="C100" s="5">
        <v>46056</v>
      </c>
      <c r="D100" s="30">
        <f t="shared" si="3"/>
        <v>1</v>
      </c>
      <c r="E100" s="5" t="s">
        <v>317</v>
      </c>
      <c r="F100" s="5" t="s">
        <v>621</v>
      </c>
      <c r="G100" s="53" t="s">
        <v>605</v>
      </c>
      <c r="H100" s="2" t="s">
        <v>25</v>
      </c>
      <c r="I100" s="2" t="s">
        <v>704</v>
      </c>
      <c r="J100" s="2" t="s">
        <v>22</v>
      </c>
      <c r="K100" s="2" t="s">
        <v>393</v>
      </c>
      <c r="L100" s="7">
        <v>-74.027002030676897</v>
      </c>
      <c r="M100" s="45">
        <v>4.7232698819639696</v>
      </c>
    </row>
    <row r="101" spans="1:13">
      <c r="A101" s="24">
        <v>100</v>
      </c>
      <c r="B101" s="5">
        <v>46055</v>
      </c>
      <c r="C101" s="5">
        <v>46057</v>
      </c>
      <c r="D101" s="30">
        <f t="shared" si="3"/>
        <v>2</v>
      </c>
      <c r="E101" s="5" t="s">
        <v>317</v>
      </c>
      <c r="F101" s="5" t="s">
        <v>621</v>
      </c>
      <c r="G101" s="53" t="s">
        <v>618</v>
      </c>
      <c r="H101" s="2" t="s">
        <v>25</v>
      </c>
      <c r="I101" s="2" t="s">
        <v>705</v>
      </c>
      <c r="J101" s="2" t="s">
        <v>22</v>
      </c>
      <c r="K101" s="2" t="s">
        <v>393</v>
      </c>
      <c r="L101" s="7">
        <v>-74.031138442284401</v>
      </c>
      <c r="M101" s="45">
        <v>4.6969266455545498</v>
      </c>
    </row>
    <row r="102" spans="1:13">
      <c r="A102" s="24">
        <v>101</v>
      </c>
      <c r="B102" s="5">
        <v>46055</v>
      </c>
      <c r="C102" s="5">
        <v>46057</v>
      </c>
      <c r="D102" s="30">
        <f t="shared" si="3"/>
        <v>2</v>
      </c>
      <c r="E102" s="5" t="s">
        <v>317</v>
      </c>
      <c r="F102" s="5" t="s">
        <v>621</v>
      </c>
      <c r="G102" s="53" t="s">
        <v>618</v>
      </c>
      <c r="H102" s="2" t="s">
        <v>25</v>
      </c>
      <c r="I102" s="2" t="s">
        <v>706</v>
      </c>
      <c r="J102" s="2" t="s">
        <v>22</v>
      </c>
      <c r="K102" s="2" t="s">
        <v>393</v>
      </c>
      <c r="L102" s="7">
        <v>-74.046978285008194</v>
      </c>
      <c r="M102" s="45">
        <v>4.7453553742998196</v>
      </c>
    </row>
    <row r="103" spans="1:13">
      <c r="A103" s="24">
        <v>102</v>
      </c>
      <c r="B103" s="5">
        <v>46055</v>
      </c>
      <c r="C103" s="5">
        <v>46056</v>
      </c>
      <c r="D103" s="30">
        <f t="shared" si="3"/>
        <v>1</v>
      </c>
      <c r="E103" s="5" t="s">
        <v>254</v>
      </c>
      <c r="F103" s="5" t="s">
        <v>621</v>
      </c>
      <c r="G103" s="53" t="s">
        <v>605</v>
      </c>
      <c r="H103" s="2" t="s">
        <v>25</v>
      </c>
      <c r="I103" s="2" t="s">
        <v>707</v>
      </c>
      <c r="J103" s="2" t="s">
        <v>668</v>
      </c>
      <c r="K103" s="2" t="s">
        <v>669</v>
      </c>
      <c r="L103" s="7">
        <v>-75.566404634264998</v>
      </c>
      <c r="M103" s="45">
        <v>6.2697388223906598</v>
      </c>
    </row>
    <row r="104" spans="1:13">
      <c r="A104" s="24">
        <v>103</v>
      </c>
      <c r="B104" s="5">
        <v>46056</v>
      </c>
      <c r="C104" s="5">
        <v>46058</v>
      </c>
      <c r="D104" s="30">
        <f t="shared" si="3"/>
        <v>2</v>
      </c>
      <c r="E104" s="5" t="s">
        <v>317</v>
      </c>
      <c r="F104" s="5" t="s">
        <v>604</v>
      </c>
      <c r="G104" s="53" t="s">
        <v>605</v>
      </c>
      <c r="H104" s="2" t="s">
        <v>25</v>
      </c>
      <c r="I104" s="2" t="s">
        <v>708</v>
      </c>
      <c r="J104" s="2" t="s">
        <v>709</v>
      </c>
      <c r="K104" s="2" t="s">
        <v>325</v>
      </c>
      <c r="L104" s="7">
        <v>-75.548446200000001</v>
      </c>
      <c r="M104" s="45">
        <v>10.4233759</v>
      </c>
    </row>
    <row r="105" spans="1:13">
      <c r="A105" s="24">
        <v>104</v>
      </c>
      <c r="B105" s="5">
        <v>46056</v>
      </c>
      <c r="C105" s="5">
        <v>46059</v>
      </c>
      <c r="D105" s="30">
        <f t="shared" si="3"/>
        <v>3</v>
      </c>
      <c r="E105" s="5" t="s">
        <v>317</v>
      </c>
      <c r="F105" s="5" t="s">
        <v>604</v>
      </c>
      <c r="G105" s="53" t="s">
        <v>605</v>
      </c>
      <c r="H105" s="2" t="s">
        <v>25</v>
      </c>
      <c r="I105" s="2" t="s">
        <v>710</v>
      </c>
      <c r="J105" s="2" t="s">
        <v>709</v>
      </c>
      <c r="K105" s="2" t="s">
        <v>325</v>
      </c>
      <c r="L105" s="7">
        <v>-75.551698999999999</v>
      </c>
      <c r="M105" s="45">
        <v>10.407227600000001</v>
      </c>
    </row>
    <row r="106" spans="1:13">
      <c r="A106" s="24">
        <v>105</v>
      </c>
      <c r="B106" s="5">
        <v>46057</v>
      </c>
      <c r="C106" s="5">
        <v>46059</v>
      </c>
      <c r="D106" s="30">
        <f t="shared" si="3"/>
        <v>2</v>
      </c>
      <c r="E106" s="5" t="s">
        <v>317</v>
      </c>
      <c r="F106" s="5" t="s">
        <v>604</v>
      </c>
      <c r="G106" s="53" t="s">
        <v>605</v>
      </c>
      <c r="H106" s="2" t="s">
        <v>25</v>
      </c>
      <c r="I106" s="2" t="s">
        <v>711</v>
      </c>
      <c r="J106" s="2" t="s">
        <v>709</v>
      </c>
      <c r="K106" s="2" t="s">
        <v>325</v>
      </c>
      <c r="L106" s="7">
        <v>-75.544246471667805</v>
      </c>
      <c r="M106" s="45">
        <v>10.422741933247799</v>
      </c>
    </row>
    <row r="107" spans="1:13">
      <c r="A107" s="24">
        <v>106</v>
      </c>
      <c r="B107" s="5">
        <v>46057</v>
      </c>
      <c r="C107" s="5">
        <v>46059</v>
      </c>
      <c r="D107" s="30">
        <f t="shared" ref="D107:D138" si="4">C107-B107</f>
        <v>2</v>
      </c>
      <c r="E107" s="5" t="s">
        <v>317</v>
      </c>
      <c r="F107" s="5" t="s">
        <v>604</v>
      </c>
      <c r="G107" s="53" t="s">
        <v>605</v>
      </c>
      <c r="H107" s="2" t="s">
        <v>25</v>
      </c>
      <c r="I107" s="2" t="s">
        <v>712</v>
      </c>
      <c r="J107" s="2" t="s">
        <v>709</v>
      </c>
      <c r="K107" s="2" t="s">
        <v>325</v>
      </c>
      <c r="L107" s="7">
        <v>-75.546290733050199</v>
      </c>
      <c r="M107" s="45">
        <v>10.426185126982499</v>
      </c>
    </row>
    <row r="108" spans="1:13">
      <c r="A108" s="24">
        <v>107</v>
      </c>
      <c r="B108" s="5">
        <v>46057</v>
      </c>
      <c r="C108" s="5">
        <v>46059</v>
      </c>
      <c r="D108" s="30">
        <f t="shared" si="4"/>
        <v>2</v>
      </c>
      <c r="E108" s="5" t="s">
        <v>317</v>
      </c>
      <c r="F108" s="5" t="s">
        <v>621</v>
      </c>
      <c r="G108" s="53" t="s">
        <v>605</v>
      </c>
      <c r="H108" s="2" t="s">
        <v>25</v>
      </c>
      <c r="I108" s="2" t="s">
        <v>713</v>
      </c>
      <c r="J108" s="2" t="s">
        <v>709</v>
      </c>
      <c r="K108" s="2" t="s">
        <v>325</v>
      </c>
      <c r="L108" s="7">
        <v>-75.553251147195894</v>
      </c>
      <c r="M108" s="45">
        <v>10.424777800000401</v>
      </c>
    </row>
    <row r="109" spans="1:13">
      <c r="A109" s="24">
        <v>108</v>
      </c>
      <c r="B109" s="5">
        <v>46057</v>
      </c>
      <c r="C109" s="5">
        <v>46059</v>
      </c>
      <c r="D109" s="30">
        <f t="shared" si="4"/>
        <v>2</v>
      </c>
      <c r="E109" s="5" t="s">
        <v>317</v>
      </c>
      <c r="F109" s="5" t="s">
        <v>604</v>
      </c>
      <c r="G109" s="53" t="s">
        <v>605</v>
      </c>
      <c r="H109" s="2" t="s">
        <v>25</v>
      </c>
      <c r="I109" s="2" t="s">
        <v>714</v>
      </c>
      <c r="J109" s="2" t="s">
        <v>709</v>
      </c>
      <c r="K109" s="2" t="s">
        <v>325</v>
      </c>
      <c r="L109" s="7">
        <v>-75.549211729470699</v>
      </c>
      <c r="M109" s="45">
        <v>10.4245694985493</v>
      </c>
    </row>
    <row r="110" spans="1:13">
      <c r="A110" s="24">
        <v>109</v>
      </c>
      <c r="B110" s="5">
        <v>46057</v>
      </c>
      <c r="C110" s="5">
        <v>46059</v>
      </c>
      <c r="D110" s="30">
        <f t="shared" si="4"/>
        <v>2</v>
      </c>
      <c r="E110" s="5" t="s">
        <v>317</v>
      </c>
      <c r="F110" s="5" t="s">
        <v>604</v>
      </c>
      <c r="G110" s="53" t="s">
        <v>605</v>
      </c>
      <c r="H110" s="2" t="s">
        <v>25</v>
      </c>
      <c r="I110" s="2" t="s">
        <v>715</v>
      </c>
      <c r="J110" s="2" t="s">
        <v>709</v>
      </c>
      <c r="K110" s="2" t="s">
        <v>325</v>
      </c>
      <c r="L110" s="7">
        <v>-75.5564167</v>
      </c>
      <c r="M110" s="45">
        <v>10.4016111</v>
      </c>
    </row>
    <row r="111" spans="1:13">
      <c r="A111" s="24">
        <v>110</v>
      </c>
      <c r="B111" s="5">
        <v>46057</v>
      </c>
      <c r="C111" s="5">
        <v>46059</v>
      </c>
      <c r="D111" s="30">
        <f t="shared" si="4"/>
        <v>2</v>
      </c>
      <c r="E111" s="5" t="s">
        <v>317</v>
      </c>
      <c r="F111" s="5" t="s">
        <v>621</v>
      </c>
      <c r="G111" s="53" t="s">
        <v>605</v>
      </c>
      <c r="H111" s="2" t="s">
        <v>25</v>
      </c>
      <c r="I111" s="2" t="s">
        <v>716</v>
      </c>
      <c r="J111" s="2" t="s">
        <v>709</v>
      </c>
      <c r="K111" s="2" t="s">
        <v>325</v>
      </c>
      <c r="L111" s="7">
        <v>-75.546723541114005</v>
      </c>
      <c r="M111" s="45">
        <v>10.4258915379261</v>
      </c>
    </row>
    <row r="112" spans="1:13">
      <c r="A112" s="24">
        <v>111</v>
      </c>
      <c r="B112" s="5">
        <v>46057</v>
      </c>
      <c r="C112" s="5">
        <v>46062</v>
      </c>
      <c r="D112" s="30">
        <f t="shared" si="4"/>
        <v>5</v>
      </c>
      <c r="E112" s="5" t="s">
        <v>317</v>
      </c>
      <c r="F112" s="5" t="s">
        <v>621</v>
      </c>
      <c r="G112" s="53" t="s">
        <v>605</v>
      </c>
      <c r="H112" s="2" t="s">
        <v>25</v>
      </c>
      <c r="I112" s="2" t="s">
        <v>717</v>
      </c>
      <c r="J112" s="2" t="s">
        <v>709</v>
      </c>
      <c r="K112" s="2" t="s">
        <v>325</v>
      </c>
      <c r="L112" s="7">
        <v>-75.547306772880802</v>
      </c>
      <c r="M112" s="45">
        <v>10.4192517302957</v>
      </c>
    </row>
    <row r="113" spans="1:14">
      <c r="A113" s="24">
        <v>112</v>
      </c>
      <c r="B113" s="5">
        <v>46057</v>
      </c>
      <c r="C113" s="5">
        <v>46062</v>
      </c>
      <c r="D113" s="30">
        <f t="shared" si="4"/>
        <v>5</v>
      </c>
      <c r="E113" s="5" t="s">
        <v>317</v>
      </c>
      <c r="F113" s="5" t="s">
        <v>621</v>
      </c>
      <c r="G113" s="53" t="s">
        <v>605</v>
      </c>
      <c r="H113" s="2" t="s">
        <v>25</v>
      </c>
      <c r="I113" s="2" t="s">
        <v>718</v>
      </c>
      <c r="J113" s="2" t="s">
        <v>709</v>
      </c>
      <c r="K113" s="2" t="s">
        <v>325</v>
      </c>
      <c r="L113" s="7">
        <v>-75.536546764437901</v>
      </c>
      <c r="M113" s="45">
        <v>10.411680739495599</v>
      </c>
    </row>
    <row r="114" spans="1:14">
      <c r="A114" s="24">
        <v>113</v>
      </c>
      <c r="B114" s="5">
        <v>46057</v>
      </c>
      <c r="C114" s="5">
        <v>46064</v>
      </c>
      <c r="D114" s="30"/>
      <c r="E114" s="5" t="s">
        <v>317</v>
      </c>
      <c r="F114" s="5" t="s">
        <v>621</v>
      </c>
      <c r="G114" s="53" t="s">
        <v>605</v>
      </c>
      <c r="H114" s="2" t="s">
        <v>25</v>
      </c>
      <c r="I114" s="2" t="s">
        <v>719</v>
      </c>
      <c r="J114" s="2" t="s">
        <v>709</v>
      </c>
      <c r="K114" s="2" t="s">
        <v>325</v>
      </c>
      <c r="L114" s="7">
        <v>-75.549319709595096</v>
      </c>
      <c r="M114" s="45">
        <v>10.423407852816601</v>
      </c>
    </row>
    <row r="115" spans="1:14">
      <c r="A115" s="24">
        <v>114</v>
      </c>
      <c r="B115" s="5">
        <v>46058</v>
      </c>
      <c r="C115" s="5">
        <v>46064</v>
      </c>
      <c r="D115" s="30"/>
      <c r="E115" s="5" t="s">
        <v>317</v>
      </c>
      <c r="F115" s="5" t="s">
        <v>621</v>
      </c>
      <c r="G115" s="53" t="s">
        <v>605</v>
      </c>
      <c r="H115" s="2" t="s">
        <v>25</v>
      </c>
      <c r="I115" s="2" t="s">
        <v>720</v>
      </c>
      <c r="J115" s="2" t="s">
        <v>709</v>
      </c>
      <c r="K115" s="2" t="s">
        <v>325</v>
      </c>
      <c r="L115" s="7">
        <v>-75.549944551917903</v>
      </c>
      <c r="M115" s="45">
        <v>10.4234709805162</v>
      </c>
    </row>
    <row r="116" spans="1:14">
      <c r="A116" s="24">
        <v>115</v>
      </c>
      <c r="B116" s="5">
        <v>46058</v>
      </c>
      <c r="C116" s="5">
        <v>46063</v>
      </c>
      <c r="D116" s="30">
        <f>C116-B116</f>
        <v>5</v>
      </c>
      <c r="E116" s="5" t="s">
        <v>317</v>
      </c>
      <c r="F116" s="5" t="s">
        <v>621</v>
      </c>
      <c r="G116" s="53" t="s">
        <v>618</v>
      </c>
      <c r="H116" s="2" t="s">
        <v>25</v>
      </c>
      <c r="I116" s="2" t="s">
        <v>721</v>
      </c>
      <c r="J116" s="2" t="s">
        <v>22</v>
      </c>
      <c r="K116" s="2" t="s">
        <v>325</v>
      </c>
      <c r="L116" s="7">
        <v>-74.063381720742498</v>
      </c>
      <c r="M116" s="45">
        <v>4.6506721375576303</v>
      </c>
    </row>
    <row r="117" spans="1:14">
      <c r="A117" s="24">
        <v>116</v>
      </c>
      <c r="B117" s="5">
        <v>46058</v>
      </c>
      <c r="C117" s="5">
        <v>46064</v>
      </c>
      <c r="D117" s="30"/>
      <c r="E117" s="5" t="s">
        <v>317</v>
      </c>
      <c r="F117" s="5" t="s">
        <v>621</v>
      </c>
      <c r="G117" s="53" t="s">
        <v>605</v>
      </c>
      <c r="H117" s="2" t="s">
        <v>25</v>
      </c>
      <c r="I117" s="2" t="s">
        <v>722</v>
      </c>
      <c r="J117" s="2" t="s">
        <v>22</v>
      </c>
      <c r="K117" s="2" t="s">
        <v>325</v>
      </c>
      <c r="L117" s="7">
        <v>-74.073777442628199</v>
      </c>
      <c r="M117" s="45">
        <v>4.6065556901875002</v>
      </c>
    </row>
    <row r="118" spans="1:14">
      <c r="A118" s="24">
        <v>117</v>
      </c>
      <c r="B118" s="5">
        <v>46059</v>
      </c>
      <c r="C118" s="5">
        <v>46062</v>
      </c>
      <c r="D118" s="30">
        <f t="shared" ref="D118:D165" si="5">C118-B118</f>
        <v>3</v>
      </c>
      <c r="E118" s="5" t="s">
        <v>317</v>
      </c>
      <c r="F118" s="5" t="s">
        <v>621</v>
      </c>
      <c r="G118" s="53" t="s">
        <v>618</v>
      </c>
      <c r="H118" s="2" t="s">
        <v>25</v>
      </c>
      <c r="I118" s="2" t="s">
        <v>723</v>
      </c>
      <c r="J118" s="2" t="s">
        <v>22</v>
      </c>
      <c r="K118" s="2" t="s">
        <v>325</v>
      </c>
      <c r="L118" s="7">
        <v>-74.144337948107804</v>
      </c>
      <c r="M118" s="45">
        <v>4.6742180530524804</v>
      </c>
    </row>
    <row r="119" spans="1:14">
      <c r="A119" s="24">
        <v>118</v>
      </c>
      <c r="B119" s="5">
        <v>46059</v>
      </c>
      <c r="C119" s="5">
        <v>46062</v>
      </c>
      <c r="D119" s="30">
        <f t="shared" si="5"/>
        <v>3</v>
      </c>
      <c r="E119" s="5" t="s">
        <v>317</v>
      </c>
      <c r="F119" s="5" t="s">
        <v>621</v>
      </c>
      <c r="G119" s="53" t="s">
        <v>618</v>
      </c>
      <c r="H119" s="2" t="s">
        <v>25</v>
      </c>
      <c r="I119" s="2" t="s">
        <v>724</v>
      </c>
      <c r="J119" s="2" t="s">
        <v>22</v>
      </c>
      <c r="K119" s="2" t="s">
        <v>325</v>
      </c>
      <c r="L119" s="7">
        <v>-74.143321291848295</v>
      </c>
      <c r="M119" s="45">
        <v>4.6752559648875103</v>
      </c>
    </row>
    <row r="120" spans="1:14">
      <c r="A120" s="24">
        <v>119</v>
      </c>
      <c r="B120" s="5">
        <v>46062</v>
      </c>
      <c r="C120" s="5">
        <v>46065</v>
      </c>
      <c r="D120" s="30">
        <f t="shared" si="5"/>
        <v>3</v>
      </c>
      <c r="E120" s="5" t="s">
        <v>317</v>
      </c>
      <c r="F120" s="5" t="s">
        <v>621</v>
      </c>
      <c r="G120" s="53" t="s">
        <v>618</v>
      </c>
      <c r="H120" s="2" t="s">
        <v>25</v>
      </c>
      <c r="I120" s="2" t="s">
        <v>324</v>
      </c>
      <c r="J120" s="2" t="s">
        <v>22</v>
      </c>
      <c r="K120" s="2" t="s">
        <v>325</v>
      </c>
      <c r="L120" s="7">
        <v>-74.060303602646002</v>
      </c>
      <c r="M120" s="45">
        <v>4.6482781484412197</v>
      </c>
    </row>
    <row r="121" spans="1:14">
      <c r="A121" s="24">
        <v>120</v>
      </c>
      <c r="B121" s="5">
        <v>46062</v>
      </c>
      <c r="C121" s="5">
        <v>46064</v>
      </c>
      <c r="D121" s="30">
        <f t="shared" si="5"/>
        <v>2</v>
      </c>
      <c r="E121" s="5" t="s">
        <v>317</v>
      </c>
      <c r="F121" s="5" t="s">
        <v>621</v>
      </c>
      <c r="G121" s="53" t="s">
        <v>618</v>
      </c>
      <c r="H121" s="2" t="s">
        <v>25</v>
      </c>
      <c r="I121" s="2" t="s">
        <v>322</v>
      </c>
      <c r="J121" s="2" t="s">
        <v>320</v>
      </c>
      <c r="K121" s="2" t="s">
        <v>48</v>
      </c>
      <c r="L121" s="7">
        <v>-76.527482014064603</v>
      </c>
      <c r="M121" s="45">
        <v>3.4709989992027399</v>
      </c>
    </row>
    <row r="122" spans="1:14">
      <c r="A122" s="24">
        <v>121</v>
      </c>
      <c r="B122" s="5">
        <v>46062</v>
      </c>
      <c r="C122" s="5">
        <v>46064</v>
      </c>
      <c r="D122" s="30">
        <f t="shared" si="5"/>
        <v>2</v>
      </c>
      <c r="E122" s="5" t="s">
        <v>317</v>
      </c>
      <c r="F122" s="5" t="s">
        <v>621</v>
      </c>
      <c r="G122" s="53" t="s">
        <v>605</v>
      </c>
      <c r="H122" s="2" t="s">
        <v>25</v>
      </c>
      <c r="I122" s="2" t="s">
        <v>725</v>
      </c>
      <c r="J122" s="2" t="s">
        <v>320</v>
      </c>
      <c r="K122" s="2" t="s">
        <v>48</v>
      </c>
      <c r="L122" s="7">
        <v>-76.547115352277899</v>
      </c>
      <c r="M122" s="45">
        <v>3.4132602533571501</v>
      </c>
    </row>
    <row r="123" spans="1:14">
      <c r="A123" s="24">
        <v>122</v>
      </c>
      <c r="B123" s="5">
        <v>46062</v>
      </c>
      <c r="C123" s="5">
        <v>46064</v>
      </c>
      <c r="D123" s="30">
        <f t="shared" si="5"/>
        <v>2</v>
      </c>
      <c r="E123" s="5" t="s">
        <v>317</v>
      </c>
      <c r="F123" s="5" t="s">
        <v>621</v>
      </c>
      <c r="G123" s="53" t="s">
        <v>605</v>
      </c>
      <c r="H123" s="2" t="s">
        <v>25</v>
      </c>
      <c r="I123" s="2" t="s">
        <v>726</v>
      </c>
      <c r="J123" s="2" t="s">
        <v>22</v>
      </c>
      <c r="K123" s="2" t="s">
        <v>48</v>
      </c>
      <c r="L123" s="7">
        <v>-74.088784426011401</v>
      </c>
      <c r="M123" s="45">
        <v>4.6719077136876397</v>
      </c>
    </row>
    <row r="124" spans="1:14">
      <c r="A124" s="24">
        <v>123</v>
      </c>
      <c r="B124" s="5">
        <v>46062</v>
      </c>
      <c r="C124" s="5">
        <v>46065</v>
      </c>
      <c r="D124" s="30">
        <f t="shared" si="5"/>
        <v>3</v>
      </c>
      <c r="E124" s="5" t="s">
        <v>317</v>
      </c>
      <c r="F124" s="5" t="s">
        <v>621</v>
      </c>
      <c r="G124" s="53" t="s">
        <v>605</v>
      </c>
      <c r="H124" s="2" t="s">
        <v>25</v>
      </c>
      <c r="I124" s="2" t="s">
        <v>727</v>
      </c>
      <c r="J124" s="2" t="s">
        <v>22</v>
      </c>
      <c r="K124" s="2" t="s">
        <v>48</v>
      </c>
      <c r="L124" s="7">
        <v>-74.136916669760296</v>
      </c>
      <c r="M124" s="45">
        <v>4.6201707800327396</v>
      </c>
    </row>
    <row r="125" spans="1:14">
      <c r="A125" s="24">
        <v>124</v>
      </c>
      <c r="B125" s="5">
        <v>46062</v>
      </c>
      <c r="C125" s="5">
        <v>46065</v>
      </c>
      <c r="D125" s="30">
        <f t="shared" si="5"/>
        <v>3</v>
      </c>
      <c r="E125" s="5" t="s">
        <v>317</v>
      </c>
      <c r="F125" s="5" t="s">
        <v>621</v>
      </c>
      <c r="G125" s="53" t="s">
        <v>618</v>
      </c>
      <c r="H125" s="2" t="s">
        <v>25</v>
      </c>
      <c r="I125" s="2" t="s">
        <v>332</v>
      </c>
      <c r="J125" s="2" t="s">
        <v>22</v>
      </c>
      <c r="K125" s="2" t="s">
        <v>327</v>
      </c>
      <c r="L125" s="7">
        <v>-74.097381031819793</v>
      </c>
      <c r="M125" s="45">
        <v>4.6248323293699496</v>
      </c>
    </row>
    <row r="126" spans="1:14" ht="14.1" customHeight="1">
      <c r="A126" s="24">
        <v>125</v>
      </c>
      <c r="B126" s="5">
        <v>46062</v>
      </c>
      <c r="C126" s="5">
        <v>46064</v>
      </c>
      <c r="D126" s="30">
        <f t="shared" si="5"/>
        <v>2</v>
      </c>
      <c r="E126" s="5" t="s">
        <v>317</v>
      </c>
      <c r="F126" s="5" t="s">
        <v>621</v>
      </c>
      <c r="G126" s="53" t="s">
        <v>618</v>
      </c>
      <c r="H126" s="2" t="s">
        <v>25</v>
      </c>
      <c r="I126" s="2" t="s">
        <v>326</v>
      </c>
      <c r="J126" s="2" t="s">
        <v>22</v>
      </c>
      <c r="K126" s="2" t="s">
        <v>327</v>
      </c>
      <c r="L126" s="7">
        <v>-74.047262952360299</v>
      </c>
      <c r="M126" s="45">
        <v>4.6833534766817104</v>
      </c>
    </row>
    <row r="127" spans="1:14">
      <c r="A127" s="24">
        <v>126</v>
      </c>
      <c r="B127" s="5">
        <v>46062</v>
      </c>
      <c r="C127" s="5">
        <v>46065</v>
      </c>
      <c r="D127" s="30">
        <f t="shared" si="5"/>
        <v>3</v>
      </c>
      <c r="E127" s="5" t="s">
        <v>317</v>
      </c>
      <c r="F127" s="5" t="s">
        <v>621</v>
      </c>
      <c r="G127" s="53" t="s">
        <v>618</v>
      </c>
      <c r="H127" s="2" t="s">
        <v>25</v>
      </c>
      <c r="I127" s="2" t="s">
        <v>330</v>
      </c>
      <c r="J127" s="2" t="s">
        <v>22</v>
      </c>
      <c r="K127" s="2" t="s">
        <v>327</v>
      </c>
      <c r="L127" s="7">
        <v>-74.050883179207105</v>
      </c>
      <c r="M127" s="45">
        <v>4.6784451692812503</v>
      </c>
    </row>
    <row r="128" spans="1:14">
      <c r="A128" s="24">
        <v>131</v>
      </c>
      <c r="B128" s="5">
        <v>46062</v>
      </c>
      <c r="C128" s="5">
        <v>46064</v>
      </c>
      <c r="D128" s="30">
        <f t="shared" si="5"/>
        <v>2</v>
      </c>
      <c r="E128" s="5" t="s">
        <v>254</v>
      </c>
      <c r="F128" s="5" t="s">
        <v>621</v>
      </c>
      <c r="G128" s="53" t="s">
        <v>618</v>
      </c>
      <c r="H128" s="2" t="s">
        <v>25</v>
      </c>
      <c r="I128" s="2" t="s">
        <v>339</v>
      </c>
      <c r="J128" s="2" t="s">
        <v>22</v>
      </c>
      <c r="K128" s="2" t="s">
        <v>80</v>
      </c>
      <c r="L128" s="7">
        <v>-74.100055458852594</v>
      </c>
      <c r="M128" s="45">
        <v>4.5837382904469397</v>
      </c>
      <c r="N128" s="51" t="s">
        <v>728</v>
      </c>
    </row>
    <row r="129" spans="1:14">
      <c r="A129" s="24">
        <v>132</v>
      </c>
      <c r="B129" s="5">
        <v>46062</v>
      </c>
      <c r="C129" s="5">
        <v>46064</v>
      </c>
      <c r="D129" s="30">
        <f t="shared" si="5"/>
        <v>2</v>
      </c>
      <c r="E129" s="5" t="s">
        <v>254</v>
      </c>
      <c r="F129" s="5" t="s">
        <v>621</v>
      </c>
      <c r="G129" s="53" t="s">
        <v>605</v>
      </c>
      <c r="H129" s="2" t="s">
        <v>25</v>
      </c>
      <c r="I129" s="2" t="s">
        <v>729</v>
      </c>
      <c r="J129" s="2" t="s">
        <v>22</v>
      </c>
      <c r="K129" s="2" t="s">
        <v>80</v>
      </c>
      <c r="L129" s="7">
        <v>-74.083198628750907</v>
      </c>
      <c r="M129" s="45">
        <v>4.6146082124854804</v>
      </c>
      <c r="N129" s="51" t="s">
        <v>728</v>
      </c>
    </row>
    <row r="130" spans="1:14">
      <c r="A130" s="24">
        <v>133</v>
      </c>
      <c r="B130" s="5">
        <v>46062</v>
      </c>
      <c r="C130" s="5">
        <v>46064</v>
      </c>
      <c r="D130" s="30">
        <f t="shared" si="5"/>
        <v>2</v>
      </c>
      <c r="E130" s="5" t="s">
        <v>254</v>
      </c>
      <c r="F130" s="5" t="s">
        <v>621</v>
      </c>
      <c r="G130" s="53" t="s">
        <v>618</v>
      </c>
      <c r="H130" s="2" t="s">
        <v>25</v>
      </c>
      <c r="I130" s="2" t="s">
        <v>337</v>
      </c>
      <c r="J130" s="2" t="s">
        <v>22</v>
      </c>
      <c r="K130" s="2" t="s">
        <v>80</v>
      </c>
      <c r="L130" s="7">
        <v>-74.062040499999995</v>
      </c>
      <c r="M130" s="45">
        <v>4.6501792999999996</v>
      </c>
      <c r="N130" s="51" t="s">
        <v>728</v>
      </c>
    </row>
    <row r="131" spans="1:14">
      <c r="A131" s="24">
        <v>127</v>
      </c>
      <c r="B131" s="5">
        <v>46063</v>
      </c>
      <c r="D131" s="30">
        <f t="shared" si="5"/>
        <v>-46063</v>
      </c>
      <c r="E131" s="5" t="s">
        <v>317</v>
      </c>
      <c r="F131" s="5" t="s">
        <v>621</v>
      </c>
      <c r="H131" s="2" t="s">
        <v>169</v>
      </c>
      <c r="I131" s="2" t="s">
        <v>730</v>
      </c>
      <c r="J131" s="2" t="s">
        <v>657</v>
      </c>
      <c r="K131" s="2" t="s">
        <v>48</v>
      </c>
      <c r="L131" s="7">
        <v>-74.792028757125607</v>
      </c>
      <c r="M131" s="45">
        <v>10.9951436719473</v>
      </c>
      <c r="N131" s="51" t="s">
        <v>731</v>
      </c>
    </row>
    <row r="132" spans="1:14">
      <c r="A132" s="24">
        <v>128</v>
      </c>
      <c r="B132" s="5">
        <v>46063</v>
      </c>
      <c r="D132" s="30">
        <f t="shared" si="5"/>
        <v>-46063</v>
      </c>
      <c r="E132" s="5" t="s">
        <v>317</v>
      </c>
      <c r="F132" s="5" t="s">
        <v>621</v>
      </c>
      <c r="H132" s="2" t="s">
        <v>169</v>
      </c>
      <c r="I132" s="2" t="s">
        <v>732</v>
      </c>
      <c r="J132" s="2" t="s">
        <v>657</v>
      </c>
      <c r="K132" s="2" t="s">
        <v>48</v>
      </c>
      <c r="L132" s="7">
        <v>-74.791680046802895</v>
      </c>
      <c r="M132" s="45">
        <v>10.994663592034399</v>
      </c>
      <c r="N132" s="51" t="s">
        <v>731</v>
      </c>
    </row>
    <row r="133" spans="1:14">
      <c r="A133" s="24">
        <v>129</v>
      </c>
      <c r="B133" s="5">
        <v>46063</v>
      </c>
      <c r="D133" s="30">
        <f t="shared" si="5"/>
        <v>-46063</v>
      </c>
      <c r="E133" s="5" t="s">
        <v>317</v>
      </c>
      <c r="F133" s="5" t="s">
        <v>621</v>
      </c>
      <c r="H133" s="2" t="s">
        <v>169</v>
      </c>
      <c r="I133" s="2" t="s">
        <v>733</v>
      </c>
      <c r="J133" s="2" t="s">
        <v>657</v>
      </c>
      <c r="K133" s="2" t="s">
        <v>48</v>
      </c>
      <c r="L133" s="7">
        <v>-74.791709903709702</v>
      </c>
      <c r="M133" s="45">
        <v>10.993130797100701</v>
      </c>
      <c r="N133" s="51" t="s">
        <v>731</v>
      </c>
    </row>
    <row r="134" spans="1:14">
      <c r="A134" s="24">
        <v>130</v>
      </c>
      <c r="B134" s="5">
        <v>46063</v>
      </c>
      <c r="C134" s="5">
        <v>46065</v>
      </c>
      <c r="D134" s="30">
        <f t="shared" si="5"/>
        <v>2</v>
      </c>
      <c r="E134" s="5" t="s">
        <v>317</v>
      </c>
      <c r="F134" s="5" t="s">
        <v>621</v>
      </c>
      <c r="G134" s="53" t="s">
        <v>605</v>
      </c>
      <c r="H134" s="2" t="s">
        <v>25</v>
      </c>
      <c r="I134" s="2" t="s">
        <v>734</v>
      </c>
      <c r="J134" s="2" t="s">
        <v>657</v>
      </c>
      <c r="K134" s="2" t="s">
        <v>48</v>
      </c>
      <c r="L134" s="7">
        <v>-74.836239793459299</v>
      </c>
      <c r="M134" s="45">
        <v>11.014341353109799</v>
      </c>
    </row>
    <row r="135" spans="1:14">
      <c r="A135" s="24">
        <v>134</v>
      </c>
      <c r="B135" s="5">
        <v>46063</v>
      </c>
      <c r="C135" s="5">
        <v>46065</v>
      </c>
      <c r="D135" s="30">
        <f t="shared" si="5"/>
        <v>2</v>
      </c>
      <c r="E135" s="5" t="s">
        <v>254</v>
      </c>
      <c r="F135" s="5" t="s">
        <v>621</v>
      </c>
      <c r="G135" s="53" t="s">
        <v>605</v>
      </c>
      <c r="H135" s="2" t="s">
        <v>25</v>
      </c>
      <c r="I135" s="2" t="s">
        <v>735</v>
      </c>
      <c r="J135" s="2" t="s">
        <v>668</v>
      </c>
      <c r="K135" s="2" t="s">
        <v>669</v>
      </c>
      <c r="L135" s="7">
        <v>-75.580098004402402</v>
      </c>
      <c r="M135" s="7">
        <v>6.25558196814836</v>
      </c>
    </row>
    <row r="136" spans="1:14">
      <c r="A136" s="24">
        <v>136</v>
      </c>
      <c r="B136" s="5">
        <v>46063</v>
      </c>
      <c r="C136" s="5">
        <v>46065</v>
      </c>
      <c r="D136" s="30">
        <f t="shared" si="5"/>
        <v>2</v>
      </c>
      <c r="E136" s="5" t="s">
        <v>254</v>
      </c>
      <c r="F136" s="5" t="s">
        <v>621</v>
      </c>
      <c r="G136" s="53" t="s">
        <v>605</v>
      </c>
      <c r="H136" s="2" t="s">
        <v>25</v>
      </c>
      <c r="I136" s="2" t="s">
        <v>736</v>
      </c>
      <c r="J136" s="2" t="s">
        <v>22</v>
      </c>
      <c r="K136" s="2" t="s">
        <v>33</v>
      </c>
      <c r="L136" s="7">
        <v>-74.043933899999999</v>
      </c>
      <c r="M136" s="7">
        <v>4.6922881054127901</v>
      </c>
    </row>
    <row r="137" spans="1:14">
      <c r="A137" s="24">
        <v>139</v>
      </c>
      <c r="B137" s="5">
        <v>46063</v>
      </c>
      <c r="C137" s="5">
        <v>46065</v>
      </c>
      <c r="D137" s="30">
        <f t="shared" si="5"/>
        <v>2</v>
      </c>
      <c r="E137" s="5" t="s">
        <v>254</v>
      </c>
      <c r="F137" s="5" t="s">
        <v>621</v>
      </c>
      <c r="G137" s="53" t="s">
        <v>605</v>
      </c>
      <c r="H137" s="2" t="s">
        <v>25</v>
      </c>
      <c r="I137" s="2" t="s">
        <v>737</v>
      </c>
      <c r="J137" s="2" t="s">
        <v>22</v>
      </c>
      <c r="K137" s="2" t="s">
        <v>33</v>
      </c>
      <c r="L137" s="7">
        <v>-74.062364599999995</v>
      </c>
      <c r="M137" s="7">
        <v>4.7238410999999996</v>
      </c>
    </row>
    <row r="138" spans="1:14">
      <c r="A138" s="24">
        <v>140</v>
      </c>
      <c r="B138" s="5">
        <v>46063</v>
      </c>
      <c r="C138" s="5">
        <v>46065</v>
      </c>
      <c r="D138" s="30">
        <f t="shared" si="5"/>
        <v>2</v>
      </c>
      <c r="E138" s="5" t="s">
        <v>254</v>
      </c>
      <c r="F138" s="5" t="s">
        <v>621</v>
      </c>
      <c r="G138" s="53" t="s">
        <v>605</v>
      </c>
      <c r="H138" s="2" t="s">
        <v>25</v>
      </c>
      <c r="I138" s="2" t="s">
        <v>647</v>
      </c>
      <c r="J138" s="2" t="s">
        <v>22</v>
      </c>
      <c r="K138" s="2" t="s">
        <v>33</v>
      </c>
      <c r="L138" s="7">
        <v>-74.039684143105603</v>
      </c>
      <c r="M138" s="7">
        <v>4.6882082503313702</v>
      </c>
    </row>
    <row r="139" spans="1:14">
      <c r="A139" s="24">
        <v>137</v>
      </c>
      <c r="B139" s="5">
        <v>46064</v>
      </c>
      <c r="C139" s="5">
        <v>46065</v>
      </c>
      <c r="D139" s="30">
        <f t="shared" si="5"/>
        <v>1</v>
      </c>
      <c r="E139" s="5" t="s">
        <v>317</v>
      </c>
      <c r="F139" s="5" t="s">
        <v>621</v>
      </c>
      <c r="G139" s="53" t="s">
        <v>605</v>
      </c>
      <c r="H139" s="2" t="s">
        <v>25</v>
      </c>
      <c r="I139" s="2" t="s">
        <v>738</v>
      </c>
      <c r="J139" s="2" t="s">
        <v>22</v>
      </c>
      <c r="K139" s="2" t="s">
        <v>569</v>
      </c>
      <c r="L139" s="7">
        <v>-74.062386783974404</v>
      </c>
      <c r="M139" s="7">
        <v>4.7239638061245897</v>
      </c>
    </row>
    <row r="140" spans="1:14">
      <c r="A140" s="24">
        <v>138</v>
      </c>
      <c r="B140" s="5">
        <v>46064</v>
      </c>
      <c r="C140" s="5">
        <v>46065</v>
      </c>
      <c r="D140" s="30">
        <f t="shared" si="5"/>
        <v>1</v>
      </c>
      <c r="E140" s="5" t="s">
        <v>317</v>
      </c>
      <c r="F140" s="5" t="s">
        <v>621</v>
      </c>
      <c r="G140" s="53" t="s">
        <v>618</v>
      </c>
      <c r="H140" s="2" t="s">
        <v>25</v>
      </c>
      <c r="I140" s="2" t="s">
        <v>336</v>
      </c>
      <c r="J140" s="2" t="s">
        <v>22</v>
      </c>
      <c r="K140" s="2" t="s">
        <v>569</v>
      </c>
      <c r="L140" s="7">
        <v>-74.068080607035796</v>
      </c>
      <c r="M140" s="7">
        <v>4.72425682059104</v>
      </c>
    </row>
    <row r="141" spans="1:14">
      <c r="A141" s="24">
        <v>143</v>
      </c>
      <c r="B141" s="5">
        <v>46064</v>
      </c>
      <c r="C141" s="5">
        <v>46066</v>
      </c>
      <c r="D141" s="30">
        <f t="shared" si="5"/>
        <v>2</v>
      </c>
      <c r="E141" s="5" t="s">
        <v>254</v>
      </c>
      <c r="F141" s="5" t="s">
        <v>604</v>
      </c>
      <c r="G141" s="53" t="s">
        <v>618</v>
      </c>
      <c r="H141" s="2" t="s">
        <v>25</v>
      </c>
      <c r="I141" s="2" t="s">
        <v>340</v>
      </c>
      <c r="J141" s="2" t="s">
        <v>22</v>
      </c>
      <c r="K141" s="2" t="s">
        <v>38</v>
      </c>
      <c r="L141" s="7">
        <v>-74.068619746035296</v>
      </c>
      <c r="M141" s="7">
        <v>4.6391193021141497</v>
      </c>
    </row>
    <row r="142" spans="1:14">
      <c r="A142" s="24">
        <v>135</v>
      </c>
      <c r="B142" s="5">
        <v>46065</v>
      </c>
      <c r="C142" s="5">
        <v>46065</v>
      </c>
      <c r="D142" s="30">
        <f t="shared" si="5"/>
        <v>0</v>
      </c>
      <c r="E142" s="5" t="s">
        <v>317</v>
      </c>
      <c r="F142" s="5" t="s">
        <v>621</v>
      </c>
      <c r="G142" s="53" t="s">
        <v>605</v>
      </c>
      <c r="H142" s="2" t="s">
        <v>25</v>
      </c>
      <c r="I142" s="2" t="s">
        <v>739</v>
      </c>
      <c r="J142" s="2" t="s">
        <v>22</v>
      </c>
      <c r="K142" s="2" t="s">
        <v>48</v>
      </c>
      <c r="L142" s="7">
        <v>-74.046317276363297</v>
      </c>
      <c r="M142" s="7">
        <v>4.6646830618061301</v>
      </c>
    </row>
    <row r="143" spans="1:14">
      <c r="A143" s="24">
        <v>141</v>
      </c>
      <c r="B143" s="5">
        <v>46065</v>
      </c>
      <c r="C143" s="5">
        <v>46066</v>
      </c>
      <c r="D143" s="30">
        <f t="shared" si="5"/>
        <v>1</v>
      </c>
      <c r="E143" s="5" t="s">
        <v>317</v>
      </c>
      <c r="F143" s="5" t="s">
        <v>621</v>
      </c>
      <c r="G143" s="53" t="s">
        <v>605</v>
      </c>
      <c r="H143" s="2" t="s">
        <v>25</v>
      </c>
      <c r="I143" s="2" t="s">
        <v>740</v>
      </c>
      <c r="J143" s="2" t="s">
        <v>22</v>
      </c>
      <c r="K143" s="2" t="s">
        <v>325</v>
      </c>
      <c r="L143" s="7">
        <v>-74.064668499678902</v>
      </c>
      <c r="M143" s="7">
        <v>4.7506488029125196</v>
      </c>
      <c r="N143" s="51" t="s">
        <v>741</v>
      </c>
    </row>
    <row r="144" spans="1:14">
      <c r="A144" s="24">
        <v>142</v>
      </c>
      <c r="B144" s="5">
        <v>46065</v>
      </c>
      <c r="C144" s="5">
        <v>46066</v>
      </c>
      <c r="D144" s="30">
        <f t="shared" si="5"/>
        <v>1</v>
      </c>
      <c r="E144" s="5" t="s">
        <v>254</v>
      </c>
      <c r="F144" s="5" t="s">
        <v>621</v>
      </c>
      <c r="G144" s="53" t="s">
        <v>605</v>
      </c>
      <c r="H144" s="2" t="s">
        <v>25</v>
      </c>
      <c r="I144" s="2" t="s">
        <v>742</v>
      </c>
      <c r="J144" s="2" t="s">
        <v>22</v>
      </c>
      <c r="K144" s="2" t="s">
        <v>33</v>
      </c>
      <c r="L144" s="7">
        <v>-74.044600700000004</v>
      </c>
      <c r="M144" s="7">
        <v>4.6967002999999998</v>
      </c>
      <c r="N144" s="51" t="s">
        <v>728</v>
      </c>
    </row>
    <row r="145" spans="1:18">
      <c r="A145" s="24">
        <v>144</v>
      </c>
      <c r="B145" s="5">
        <v>46066</v>
      </c>
      <c r="C145" s="5">
        <v>46066</v>
      </c>
      <c r="D145" s="30">
        <f t="shared" si="5"/>
        <v>0</v>
      </c>
      <c r="E145" s="5" t="s">
        <v>317</v>
      </c>
      <c r="F145" s="5" t="s">
        <v>621</v>
      </c>
      <c r="G145" s="53" t="s">
        <v>605</v>
      </c>
      <c r="H145" s="2" t="s">
        <v>25</v>
      </c>
      <c r="I145" s="2" t="s">
        <v>743</v>
      </c>
      <c r="J145" s="2" t="s">
        <v>22</v>
      </c>
      <c r="K145" s="2" t="s">
        <v>325</v>
      </c>
      <c r="L145" s="7">
        <v>-74.112288607135298</v>
      </c>
      <c r="M145" s="7">
        <v>4.6437536871622997</v>
      </c>
    </row>
    <row r="146" spans="1:18">
      <c r="A146" s="24">
        <v>145</v>
      </c>
      <c r="B146" s="5">
        <v>46066</v>
      </c>
      <c r="C146" s="5">
        <v>46066</v>
      </c>
      <c r="D146" s="30">
        <f t="shared" si="5"/>
        <v>0</v>
      </c>
      <c r="E146" s="5" t="s">
        <v>317</v>
      </c>
      <c r="F146" s="5" t="s">
        <v>604</v>
      </c>
      <c r="G146" s="53" t="s">
        <v>605</v>
      </c>
      <c r="H146" s="2" t="s">
        <v>25</v>
      </c>
      <c r="I146" s="2" t="s">
        <v>744</v>
      </c>
      <c r="J146" s="2" t="s">
        <v>22</v>
      </c>
      <c r="K146" s="2" t="s">
        <v>343</v>
      </c>
      <c r="L146" s="7">
        <v>-74.093190129118298</v>
      </c>
      <c r="M146" s="7">
        <v>4.6852792288268397</v>
      </c>
    </row>
    <row r="147" spans="1:18" s="55" customFormat="1">
      <c r="A147" s="24">
        <v>146</v>
      </c>
      <c r="B147" s="5">
        <v>46066</v>
      </c>
      <c r="C147" s="5">
        <v>46069</v>
      </c>
      <c r="D147" s="30">
        <f t="shared" si="5"/>
        <v>3</v>
      </c>
      <c r="E147" s="5" t="s">
        <v>317</v>
      </c>
      <c r="F147" s="5" t="s">
        <v>604</v>
      </c>
      <c r="G147" s="53" t="s">
        <v>618</v>
      </c>
      <c r="H147" s="2" t="s">
        <v>25</v>
      </c>
      <c r="I147" s="2" t="s">
        <v>398</v>
      </c>
      <c r="J147" s="2" t="s">
        <v>22</v>
      </c>
      <c r="K147" s="2" t="s">
        <v>343</v>
      </c>
      <c r="L147" s="7">
        <v>-74.049123438187493</v>
      </c>
      <c r="M147" s="7">
        <v>4.6766160292651398</v>
      </c>
      <c r="N147" s="56"/>
    </row>
    <row r="148" spans="1:18">
      <c r="A148" s="24">
        <v>147</v>
      </c>
      <c r="B148" s="5">
        <v>46066</v>
      </c>
      <c r="C148" s="5">
        <v>46069</v>
      </c>
      <c r="D148" s="30">
        <f t="shared" si="5"/>
        <v>3</v>
      </c>
      <c r="E148" s="5" t="s">
        <v>254</v>
      </c>
      <c r="F148" s="5" t="s">
        <v>621</v>
      </c>
      <c r="G148" s="53" t="s">
        <v>605</v>
      </c>
      <c r="H148" s="2" t="s">
        <v>25</v>
      </c>
      <c r="I148" s="2" t="s">
        <v>745</v>
      </c>
      <c r="J148" s="2" t="s">
        <v>668</v>
      </c>
      <c r="K148" s="2" t="s">
        <v>669</v>
      </c>
      <c r="L148" s="7">
        <v>-75.580407750304104</v>
      </c>
      <c r="M148" s="7">
        <v>6.2560663111912902</v>
      </c>
    </row>
    <row r="149" spans="1:18">
      <c r="A149" s="24">
        <v>148</v>
      </c>
      <c r="B149" s="5">
        <v>46066</v>
      </c>
      <c r="C149" s="5">
        <v>46069</v>
      </c>
      <c r="D149" s="30">
        <f t="shared" si="5"/>
        <v>3</v>
      </c>
      <c r="E149" s="5" t="s">
        <v>254</v>
      </c>
      <c r="F149" s="5" t="s">
        <v>621</v>
      </c>
      <c r="G149" s="53" t="s">
        <v>605</v>
      </c>
      <c r="H149" s="2" t="s">
        <v>25</v>
      </c>
      <c r="I149" s="2" t="s">
        <v>746</v>
      </c>
      <c r="J149" s="2" t="s">
        <v>22</v>
      </c>
      <c r="K149" s="2" t="s">
        <v>33</v>
      </c>
      <c r="L149" s="7">
        <v>-74.049864712197603</v>
      </c>
      <c r="M149" s="7">
        <v>4.7025243844655904</v>
      </c>
    </row>
    <row r="150" spans="1:18">
      <c r="A150" s="24">
        <v>149</v>
      </c>
      <c r="B150" s="5">
        <v>46069</v>
      </c>
      <c r="C150" s="5">
        <v>46069</v>
      </c>
      <c r="D150" s="30">
        <f t="shared" si="5"/>
        <v>0</v>
      </c>
      <c r="E150" s="5" t="s">
        <v>254</v>
      </c>
      <c r="F150" s="5" t="s">
        <v>621</v>
      </c>
      <c r="G150" s="53" t="s">
        <v>605</v>
      </c>
      <c r="H150" s="2" t="s">
        <v>25</v>
      </c>
      <c r="I150" s="2" t="s">
        <v>747</v>
      </c>
      <c r="J150" s="2" t="s">
        <v>22</v>
      </c>
      <c r="K150" s="2" t="s">
        <v>33</v>
      </c>
      <c r="L150" s="7">
        <v>-76.525768559532807</v>
      </c>
      <c r="M150" s="7">
        <v>3.4791763074103201</v>
      </c>
    </row>
    <row r="151" spans="1:18">
      <c r="A151" s="24">
        <v>150</v>
      </c>
      <c r="B151" s="5">
        <v>46069</v>
      </c>
      <c r="C151" s="5">
        <v>46071</v>
      </c>
      <c r="D151" s="30">
        <f t="shared" si="5"/>
        <v>2</v>
      </c>
      <c r="E151" s="5" t="s">
        <v>254</v>
      </c>
      <c r="F151" s="5" t="s">
        <v>621</v>
      </c>
      <c r="G151" s="53" t="s">
        <v>605</v>
      </c>
      <c r="H151" s="2" t="s">
        <v>25</v>
      </c>
      <c r="I151" s="2" t="s">
        <v>748</v>
      </c>
      <c r="J151" s="2" t="s">
        <v>22</v>
      </c>
      <c r="K151" s="2" t="s">
        <v>33</v>
      </c>
      <c r="L151" s="7">
        <v>-76.526010160073</v>
      </c>
      <c r="M151" s="7">
        <v>3.4801825444477701</v>
      </c>
    </row>
    <row r="152" spans="1:18">
      <c r="A152" s="24">
        <v>151</v>
      </c>
      <c r="B152" s="5">
        <v>46069</v>
      </c>
      <c r="C152" s="5">
        <v>46069</v>
      </c>
      <c r="D152" s="30">
        <f t="shared" si="5"/>
        <v>0</v>
      </c>
      <c r="E152" s="5" t="s">
        <v>254</v>
      </c>
      <c r="F152" s="5" t="s">
        <v>621</v>
      </c>
      <c r="G152" s="53" t="s">
        <v>605</v>
      </c>
      <c r="H152" s="2" t="s">
        <v>25</v>
      </c>
      <c r="I152" s="2" t="s">
        <v>749</v>
      </c>
      <c r="J152" s="2" t="s">
        <v>22</v>
      </c>
      <c r="K152" s="2" t="s">
        <v>80</v>
      </c>
      <c r="L152" s="7">
        <v>-74.125615432898002</v>
      </c>
      <c r="M152" s="7">
        <v>4.6412610667606797</v>
      </c>
    </row>
    <row r="153" spans="1:18">
      <c r="A153" s="24">
        <v>152</v>
      </c>
      <c r="B153" s="5">
        <v>46069</v>
      </c>
      <c r="C153" s="5">
        <v>46069</v>
      </c>
      <c r="D153" s="30">
        <f t="shared" si="5"/>
        <v>0</v>
      </c>
      <c r="E153" s="5" t="s">
        <v>254</v>
      </c>
      <c r="F153" s="5" t="s">
        <v>621</v>
      </c>
      <c r="G153" s="53" t="s">
        <v>605</v>
      </c>
      <c r="H153" s="2" t="s">
        <v>25</v>
      </c>
      <c r="I153" s="2" t="s">
        <v>750</v>
      </c>
      <c r="J153" s="2" t="s">
        <v>22</v>
      </c>
      <c r="K153" s="2" t="s">
        <v>38</v>
      </c>
      <c r="L153" s="7">
        <v>-74.064004915341997</v>
      </c>
      <c r="M153" s="7">
        <v>4.6684274783775104</v>
      </c>
    </row>
    <row r="154" spans="1:18">
      <c r="A154" s="24">
        <v>153</v>
      </c>
      <c r="B154" s="5">
        <v>46069</v>
      </c>
      <c r="C154" s="5">
        <v>46069</v>
      </c>
      <c r="D154" s="30">
        <f t="shared" si="5"/>
        <v>0</v>
      </c>
      <c r="E154" s="5" t="s">
        <v>317</v>
      </c>
      <c r="F154" s="5" t="s">
        <v>621</v>
      </c>
      <c r="G154" s="53" t="s">
        <v>605</v>
      </c>
      <c r="H154" s="2" t="s">
        <v>25</v>
      </c>
      <c r="I154" s="2" t="s">
        <v>751</v>
      </c>
      <c r="J154" s="2" t="s">
        <v>22</v>
      </c>
      <c r="K154" s="2" t="s">
        <v>393</v>
      </c>
      <c r="L154" s="7">
        <v>-74.031491167590602</v>
      </c>
      <c r="M154" s="7">
        <v>4.6947410105047398</v>
      </c>
      <c r="O154" s="7"/>
      <c r="P154" s="51"/>
    </row>
    <row r="155" spans="1:18">
      <c r="A155" s="24">
        <v>154</v>
      </c>
      <c r="B155" s="5">
        <v>46069</v>
      </c>
      <c r="C155" s="5">
        <v>46070</v>
      </c>
      <c r="D155" s="30">
        <f t="shared" si="5"/>
        <v>1</v>
      </c>
      <c r="E155" s="5" t="s">
        <v>317</v>
      </c>
      <c r="F155" s="5" t="s">
        <v>604</v>
      </c>
      <c r="G155" s="53" t="s">
        <v>605</v>
      </c>
      <c r="H155" s="2" t="s">
        <v>25</v>
      </c>
      <c r="I155" s="2" t="s">
        <v>752</v>
      </c>
      <c r="J155" s="2" t="s">
        <v>753</v>
      </c>
      <c r="K155" s="2" t="s">
        <v>343</v>
      </c>
      <c r="L155" s="7">
        <v>-74.446199800000002</v>
      </c>
      <c r="M155" s="7">
        <v>4.583666</v>
      </c>
    </row>
    <row r="156" spans="1:18">
      <c r="A156" s="24">
        <v>155</v>
      </c>
      <c r="B156" s="5">
        <v>46069</v>
      </c>
      <c r="C156" s="5">
        <v>46070</v>
      </c>
      <c r="D156" s="30">
        <f t="shared" si="5"/>
        <v>1</v>
      </c>
      <c r="E156" s="5" t="s">
        <v>317</v>
      </c>
      <c r="F156" s="5" t="s">
        <v>604</v>
      </c>
      <c r="G156" s="53" t="s">
        <v>605</v>
      </c>
      <c r="H156" s="2" t="s">
        <v>25</v>
      </c>
      <c r="I156" s="2" t="s">
        <v>754</v>
      </c>
      <c r="J156" s="2" t="s">
        <v>22</v>
      </c>
      <c r="K156" s="2" t="s">
        <v>343</v>
      </c>
      <c r="L156" s="7">
        <v>-74.884140900000006</v>
      </c>
      <c r="M156" s="7">
        <v>4.1531571999999999</v>
      </c>
      <c r="O156" s="7"/>
      <c r="P156" s="51"/>
    </row>
    <row r="157" spans="1:18">
      <c r="A157" s="24">
        <v>156</v>
      </c>
      <c r="B157" s="5">
        <v>46070</v>
      </c>
      <c r="C157" s="5">
        <v>46070</v>
      </c>
      <c r="D157" s="30">
        <f t="shared" si="5"/>
        <v>0</v>
      </c>
      <c r="E157" s="5" t="s">
        <v>317</v>
      </c>
      <c r="F157" s="5" t="s">
        <v>604</v>
      </c>
      <c r="G157" s="53" t="s">
        <v>605</v>
      </c>
      <c r="H157" s="2" t="s">
        <v>25</v>
      </c>
      <c r="I157" s="2" t="s">
        <v>755</v>
      </c>
      <c r="J157" s="2" t="s">
        <v>22</v>
      </c>
      <c r="K157" s="2" t="s">
        <v>343</v>
      </c>
      <c r="L157" s="7">
        <v>-74.136558500000007</v>
      </c>
      <c r="M157" s="7">
        <v>4.7393539000000002</v>
      </c>
      <c r="O157" s="7"/>
      <c r="P157" s="51"/>
      <c r="Q157" s="7"/>
      <c r="R157" s="51"/>
    </row>
    <row r="158" spans="1:18">
      <c r="A158" s="24">
        <v>157</v>
      </c>
      <c r="B158" s="5">
        <v>46070</v>
      </c>
      <c r="C158" s="5">
        <v>46071</v>
      </c>
      <c r="D158" s="30">
        <f t="shared" si="5"/>
        <v>1</v>
      </c>
      <c r="E158" s="5" t="s">
        <v>317</v>
      </c>
      <c r="F158" s="5" t="s">
        <v>604</v>
      </c>
      <c r="G158" s="53" t="s">
        <v>618</v>
      </c>
      <c r="H158" s="2" t="s">
        <v>25</v>
      </c>
      <c r="I158" s="2" t="s">
        <v>344</v>
      </c>
      <c r="J158" s="2" t="s">
        <v>22</v>
      </c>
      <c r="K158" s="2" t="s">
        <v>343</v>
      </c>
      <c r="L158" s="7">
        <v>-74.046611499999997</v>
      </c>
      <c r="M158" s="7">
        <v>4.6774971000000001</v>
      </c>
    </row>
    <row r="159" spans="1:18">
      <c r="A159" s="24">
        <v>158</v>
      </c>
      <c r="B159" s="5">
        <v>46071</v>
      </c>
      <c r="C159" s="5">
        <v>46071</v>
      </c>
      <c r="D159" s="30">
        <f t="shared" si="5"/>
        <v>0</v>
      </c>
      <c r="E159" s="5" t="s">
        <v>317</v>
      </c>
      <c r="F159" s="5" t="s">
        <v>621</v>
      </c>
      <c r="G159" s="53" t="s">
        <v>605</v>
      </c>
      <c r="H159" s="2" t="s">
        <v>25</v>
      </c>
      <c r="I159" s="2" t="s">
        <v>756</v>
      </c>
      <c r="J159" s="2" t="s">
        <v>22</v>
      </c>
      <c r="K159" s="2" t="s">
        <v>393</v>
      </c>
      <c r="L159" s="7">
        <v>-74.024436300000005</v>
      </c>
      <c r="M159" s="7">
        <v>4.7342705</v>
      </c>
    </row>
    <row r="160" spans="1:18">
      <c r="A160" s="24">
        <v>159</v>
      </c>
      <c r="B160" s="5">
        <v>46072</v>
      </c>
      <c r="C160" s="5">
        <v>46072</v>
      </c>
      <c r="D160" s="30">
        <f t="shared" si="5"/>
        <v>0</v>
      </c>
      <c r="E160" s="5" t="s">
        <v>254</v>
      </c>
      <c r="F160" s="5" t="s">
        <v>621</v>
      </c>
      <c r="G160" s="53" t="s">
        <v>605</v>
      </c>
      <c r="H160" s="2" t="s">
        <v>25</v>
      </c>
      <c r="I160" s="2" t="s">
        <v>757</v>
      </c>
      <c r="J160" s="2" t="s">
        <v>22</v>
      </c>
      <c r="K160" s="2" t="s">
        <v>38</v>
      </c>
      <c r="L160" s="7">
        <v>-74.070244728835505</v>
      </c>
      <c r="M160" s="7">
        <v>4.5965748865997904</v>
      </c>
      <c r="N160" s="51" t="s">
        <v>728</v>
      </c>
    </row>
    <row r="161" spans="1:14">
      <c r="A161" s="24">
        <v>160</v>
      </c>
      <c r="B161" s="5">
        <v>46072</v>
      </c>
      <c r="C161" s="5">
        <v>46073</v>
      </c>
      <c r="D161" s="30">
        <f t="shared" si="5"/>
        <v>1</v>
      </c>
      <c r="E161" s="5" t="s">
        <v>317</v>
      </c>
      <c r="F161" s="5" t="s">
        <v>621</v>
      </c>
      <c r="G161" s="53" t="s">
        <v>605</v>
      </c>
      <c r="H161" s="2" t="s">
        <v>25</v>
      </c>
      <c r="I161" s="2" t="s">
        <v>758</v>
      </c>
      <c r="J161" s="2" t="s">
        <v>22</v>
      </c>
      <c r="K161" s="2" t="s">
        <v>325</v>
      </c>
      <c r="L161" s="7">
        <v>-74.061314347540105</v>
      </c>
      <c r="M161" s="7">
        <v>4.6466149949405899</v>
      </c>
      <c r="N161" s="51" t="s">
        <v>759</v>
      </c>
    </row>
    <row r="162" spans="1:14">
      <c r="A162" s="24">
        <v>161</v>
      </c>
      <c r="B162" s="5">
        <v>46073</v>
      </c>
      <c r="C162" s="5">
        <v>46073</v>
      </c>
      <c r="D162" s="30">
        <f t="shared" si="5"/>
        <v>0</v>
      </c>
      <c r="E162" s="5" t="s">
        <v>317</v>
      </c>
      <c r="F162" s="5" t="s">
        <v>621</v>
      </c>
      <c r="G162" s="53" t="s">
        <v>605</v>
      </c>
      <c r="H162" s="2" t="s">
        <v>25</v>
      </c>
      <c r="I162" s="2" t="s">
        <v>760</v>
      </c>
      <c r="J162" s="2" t="s">
        <v>22</v>
      </c>
      <c r="K162" s="2" t="s">
        <v>393</v>
      </c>
      <c r="L162" s="7">
        <v>-74.043221608929301</v>
      </c>
      <c r="M162" s="7">
        <v>4.6875494183916899</v>
      </c>
    </row>
    <row r="163" spans="1:14">
      <c r="A163" s="24">
        <v>162</v>
      </c>
      <c r="B163" s="5">
        <v>46073</v>
      </c>
      <c r="C163" s="5">
        <v>46073</v>
      </c>
      <c r="D163" s="30">
        <f t="shared" si="5"/>
        <v>0</v>
      </c>
      <c r="E163" s="5" t="s">
        <v>254</v>
      </c>
      <c r="F163" s="5" t="s">
        <v>621</v>
      </c>
      <c r="G163" s="53" t="s">
        <v>605</v>
      </c>
      <c r="H163" s="2" t="s">
        <v>25</v>
      </c>
      <c r="I163" s="2" t="s">
        <v>761</v>
      </c>
      <c r="J163" s="2" t="s">
        <v>22</v>
      </c>
      <c r="K163" s="2" t="s">
        <v>80</v>
      </c>
      <c r="L163" s="7">
        <v>-74.129893457671002</v>
      </c>
      <c r="M163" s="7">
        <v>4.6434254852177803</v>
      </c>
    </row>
    <row r="164" spans="1:14">
      <c r="A164" s="24">
        <v>163</v>
      </c>
      <c r="B164" s="5">
        <v>46073</v>
      </c>
      <c r="C164" s="5">
        <v>46073</v>
      </c>
      <c r="D164" s="30">
        <f t="shared" si="5"/>
        <v>0</v>
      </c>
      <c r="E164" s="5" t="s">
        <v>317</v>
      </c>
      <c r="F164" s="5" t="s">
        <v>621</v>
      </c>
      <c r="G164" s="53" t="s">
        <v>605</v>
      </c>
      <c r="H164" s="2" t="s">
        <v>25</v>
      </c>
      <c r="I164" s="2" t="s">
        <v>762</v>
      </c>
      <c r="J164" s="2" t="s">
        <v>22</v>
      </c>
      <c r="K164" s="2" t="s">
        <v>325</v>
      </c>
      <c r="L164" s="7">
        <v>-74.056835836030004</v>
      </c>
      <c r="M164" s="7">
        <v>4.6501741173552498</v>
      </c>
    </row>
    <row r="165" spans="1:14">
      <c r="A165" s="24">
        <v>164</v>
      </c>
      <c r="B165" s="5">
        <v>46073</v>
      </c>
      <c r="C165" s="5">
        <v>46073</v>
      </c>
      <c r="D165" s="30">
        <f t="shared" si="5"/>
        <v>0</v>
      </c>
      <c r="E165" s="5" t="s">
        <v>317</v>
      </c>
      <c r="F165" s="5" t="s">
        <v>621</v>
      </c>
      <c r="G165" s="53" t="s">
        <v>605</v>
      </c>
      <c r="H165" s="2" t="s">
        <v>25</v>
      </c>
      <c r="I165" s="2" t="s">
        <v>763</v>
      </c>
      <c r="J165" s="2" t="s">
        <v>22</v>
      </c>
      <c r="K165" s="2" t="s">
        <v>325</v>
      </c>
      <c r="L165" s="7">
        <v>-74.125677088320998</v>
      </c>
      <c r="M165" s="7">
        <v>4.6040172972268296</v>
      </c>
    </row>
    <row r="166" spans="1:14">
      <c r="A166" s="24">
        <v>165</v>
      </c>
      <c r="B166" s="5">
        <v>46073</v>
      </c>
      <c r="C166" s="5">
        <v>46073</v>
      </c>
      <c r="D166" s="30"/>
      <c r="E166" s="5" t="s">
        <v>317</v>
      </c>
      <c r="F166" s="5" t="s">
        <v>621</v>
      </c>
      <c r="G166" s="53" t="s">
        <v>618</v>
      </c>
      <c r="H166" s="2" t="s">
        <v>25</v>
      </c>
      <c r="I166" s="2" t="s">
        <v>349</v>
      </c>
      <c r="J166" s="2" t="s">
        <v>22</v>
      </c>
      <c r="K166" s="2" t="s">
        <v>325</v>
      </c>
      <c r="L166" s="7">
        <v>-74.144552768635293</v>
      </c>
      <c r="M166" s="7">
        <v>4.6713972047663397</v>
      </c>
      <c r="N166" s="51" t="s">
        <v>764</v>
      </c>
    </row>
    <row r="167" spans="1:14">
      <c r="A167" s="24">
        <v>166</v>
      </c>
      <c r="B167" s="5">
        <v>46073</v>
      </c>
      <c r="C167" s="5">
        <v>46076</v>
      </c>
      <c r="D167" s="30">
        <f t="shared" ref="D167:D209" si="6">C167-B167</f>
        <v>3</v>
      </c>
      <c r="E167" s="5" t="s">
        <v>317</v>
      </c>
      <c r="F167" s="5" t="s">
        <v>604</v>
      </c>
      <c r="G167" s="53" t="s">
        <v>618</v>
      </c>
      <c r="H167" s="2" t="s">
        <v>25</v>
      </c>
      <c r="I167" s="2" t="s">
        <v>351</v>
      </c>
      <c r="J167" s="2" t="s">
        <v>22</v>
      </c>
      <c r="K167" s="2" t="s">
        <v>343</v>
      </c>
      <c r="L167" s="7">
        <v>-74.058214857510805</v>
      </c>
      <c r="M167" s="7">
        <v>4.6680741955132703</v>
      </c>
      <c r="N167" s="51" t="s">
        <v>765</v>
      </c>
    </row>
    <row r="168" spans="1:14">
      <c r="A168" s="24">
        <v>167</v>
      </c>
      <c r="B168" s="5">
        <v>46073</v>
      </c>
      <c r="C168" s="5">
        <v>46077</v>
      </c>
      <c r="D168" s="30">
        <f t="shared" si="6"/>
        <v>4</v>
      </c>
      <c r="E168" s="5" t="s">
        <v>317</v>
      </c>
      <c r="F168" s="5" t="s">
        <v>604</v>
      </c>
      <c r="G168" s="53" t="s">
        <v>605</v>
      </c>
      <c r="H168" s="2" t="s">
        <v>25</v>
      </c>
      <c r="I168" s="2" t="s">
        <v>766</v>
      </c>
      <c r="J168" s="2" t="s">
        <v>22</v>
      </c>
      <c r="K168" s="2" t="s">
        <v>343</v>
      </c>
      <c r="L168" s="7">
        <v>-74.144712200000001</v>
      </c>
      <c r="M168" s="7">
        <v>4.6399783000000001</v>
      </c>
      <c r="N168" s="51" t="s">
        <v>767</v>
      </c>
    </row>
    <row r="169" spans="1:14">
      <c r="A169" s="24">
        <v>168</v>
      </c>
      <c r="B169" s="5">
        <v>46073</v>
      </c>
      <c r="C169" s="5">
        <v>46077</v>
      </c>
      <c r="D169" s="30">
        <f t="shared" si="6"/>
        <v>4</v>
      </c>
      <c r="E169" s="5" t="s">
        <v>317</v>
      </c>
      <c r="F169" s="5" t="s">
        <v>604</v>
      </c>
      <c r="G169" s="53" t="s">
        <v>618</v>
      </c>
      <c r="H169" s="2" t="s">
        <v>25</v>
      </c>
      <c r="I169" s="2" t="s">
        <v>352</v>
      </c>
      <c r="J169" s="2" t="s">
        <v>22</v>
      </c>
      <c r="K169" s="2" t="s">
        <v>343</v>
      </c>
      <c r="L169" s="7">
        <v>-74.055708800000005</v>
      </c>
      <c r="M169" s="7">
        <v>4.6684827999999996</v>
      </c>
      <c r="N169" s="51" t="s">
        <v>768</v>
      </c>
    </row>
    <row r="170" spans="1:14">
      <c r="A170" s="24">
        <v>169</v>
      </c>
      <c r="B170" s="5">
        <v>46073</v>
      </c>
      <c r="C170" s="5">
        <v>46077</v>
      </c>
      <c r="D170" s="30">
        <f t="shared" si="6"/>
        <v>4</v>
      </c>
      <c r="E170" s="5" t="s">
        <v>317</v>
      </c>
      <c r="F170" s="5" t="s">
        <v>604</v>
      </c>
      <c r="G170" s="53" t="s">
        <v>618</v>
      </c>
      <c r="H170" s="2" t="s">
        <v>25</v>
      </c>
      <c r="I170" s="2" t="s">
        <v>353</v>
      </c>
      <c r="J170" s="2" t="s">
        <v>22</v>
      </c>
      <c r="K170" s="2" t="s">
        <v>343</v>
      </c>
      <c r="L170" s="7">
        <v>-74.052550499999995</v>
      </c>
      <c r="M170" s="7">
        <v>4.6685502999999997</v>
      </c>
      <c r="N170" s="51" t="s">
        <v>769</v>
      </c>
    </row>
    <row r="171" spans="1:14">
      <c r="A171" s="24">
        <v>170</v>
      </c>
      <c r="B171" s="5">
        <v>46073</v>
      </c>
      <c r="C171" s="5">
        <v>46078</v>
      </c>
      <c r="D171" s="30">
        <f t="shared" si="6"/>
        <v>5</v>
      </c>
      <c r="E171" s="5" t="s">
        <v>317</v>
      </c>
      <c r="F171" s="5" t="s">
        <v>604</v>
      </c>
      <c r="G171" s="53" t="s">
        <v>618</v>
      </c>
      <c r="H171" s="2" t="s">
        <v>25</v>
      </c>
      <c r="I171" s="2" t="s">
        <v>355</v>
      </c>
      <c r="J171" s="2" t="s">
        <v>22</v>
      </c>
      <c r="K171" s="2" t="s">
        <v>343</v>
      </c>
      <c r="L171" s="7">
        <v>-74.118836099999996</v>
      </c>
      <c r="M171" s="7">
        <v>4.6281780000000001</v>
      </c>
      <c r="N171" s="51" t="s">
        <v>770</v>
      </c>
    </row>
    <row r="172" spans="1:14">
      <c r="A172" s="24">
        <v>171</v>
      </c>
      <c r="B172" s="5">
        <v>46073</v>
      </c>
      <c r="C172" s="5">
        <v>46077</v>
      </c>
      <c r="D172" s="30">
        <f t="shared" si="6"/>
        <v>4</v>
      </c>
      <c r="E172" s="5" t="s">
        <v>317</v>
      </c>
      <c r="F172" s="5" t="s">
        <v>604</v>
      </c>
      <c r="G172" s="53" t="s">
        <v>605</v>
      </c>
      <c r="H172" s="2" t="s">
        <v>25</v>
      </c>
      <c r="I172" s="2" t="s">
        <v>771</v>
      </c>
      <c r="J172" s="2" t="s">
        <v>22</v>
      </c>
      <c r="K172" s="2" t="s">
        <v>343</v>
      </c>
      <c r="L172" s="7">
        <v>-74.140238999999994</v>
      </c>
      <c r="M172" s="7">
        <v>4.7437113000000002</v>
      </c>
      <c r="N172" s="51" t="s">
        <v>772</v>
      </c>
    </row>
    <row r="173" spans="1:14">
      <c r="A173" s="24">
        <v>174</v>
      </c>
      <c r="B173" s="5">
        <v>46073</v>
      </c>
      <c r="C173" s="5">
        <v>46076</v>
      </c>
      <c r="D173" s="30">
        <f t="shared" si="6"/>
        <v>3</v>
      </c>
      <c r="E173" s="5" t="s">
        <v>254</v>
      </c>
      <c r="F173" s="5" t="s">
        <v>621</v>
      </c>
      <c r="G173" s="53" t="s">
        <v>605</v>
      </c>
      <c r="H173" s="2" t="s">
        <v>25</v>
      </c>
      <c r="I173" s="2" t="s">
        <v>773</v>
      </c>
      <c r="J173" s="2" t="s">
        <v>22</v>
      </c>
      <c r="K173" s="2" t="s">
        <v>38</v>
      </c>
      <c r="L173" s="7">
        <v>-74.470420300000001</v>
      </c>
      <c r="M173" s="7">
        <v>5.0109706000000003</v>
      </c>
    </row>
    <row r="174" spans="1:14">
      <c r="A174" s="24">
        <v>172</v>
      </c>
      <c r="B174" s="5">
        <v>46076</v>
      </c>
      <c r="C174" s="5">
        <v>46077</v>
      </c>
      <c r="D174" s="30">
        <f t="shared" si="6"/>
        <v>1</v>
      </c>
      <c r="E174" s="5" t="s">
        <v>317</v>
      </c>
      <c r="F174" s="5" t="s">
        <v>621</v>
      </c>
      <c r="G174" s="53" t="s">
        <v>605</v>
      </c>
      <c r="H174" s="2" t="s">
        <v>25</v>
      </c>
      <c r="I174" s="2" t="s">
        <v>774</v>
      </c>
      <c r="J174" s="2" t="s">
        <v>22</v>
      </c>
      <c r="K174" s="2" t="s">
        <v>325</v>
      </c>
      <c r="L174" s="7">
        <v>-74.0955519675489</v>
      </c>
      <c r="M174" s="7">
        <v>4.6783288117453798</v>
      </c>
    </row>
    <row r="175" spans="1:14">
      <c r="A175" s="24">
        <v>173</v>
      </c>
      <c r="B175" s="5">
        <v>46076</v>
      </c>
      <c r="C175" s="5">
        <v>46078</v>
      </c>
      <c r="D175" s="30">
        <f t="shared" si="6"/>
        <v>2</v>
      </c>
      <c r="E175" s="5" t="s">
        <v>317</v>
      </c>
      <c r="F175" s="5" t="s">
        <v>621</v>
      </c>
      <c r="G175" s="53" t="s">
        <v>605</v>
      </c>
      <c r="H175" s="2" t="s">
        <v>25</v>
      </c>
      <c r="I175" s="2" t="s">
        <v>775</v>
      </c>
      <c r="J175" s="2" t="s">
        <v>22</v>
      </c>
      <c r="K175" s="2" t="s">
        <v>325</v>
      </c>
      <c r="L175" s="7">
        <v>-74.124320517868497</v>
      </c>
      <c r="M175" s="7">
        <v>4.6795398622859503</v>
      </c>
      <c r="N175" s="51" t="s">
        <v>776</v>
      </c>
    </row>
    <row r="176" spans="1:14">
      <c r="A176" s="24">
        <v>175</v>
      </c>
      <c r="B176" s="5">
        <v>46076</v>
      </c>
      <c r="C176" s="5">
        <v>46076</v>
      </c>
      <c r="D176" s="30">
        <f t="shared" si="6"/>
        <v>0</v>
      </c>
      <c r="E176" s="5" t="s">
        <v>254</v>
      </c>
      <c r="F176" s="5" t="s">
        <v>621</v>
      </c>
      <c r="G176" s="53" t="s">
        <v>605</v>
      </c>
      <c r="H176" s="2" t="s">
        <v>25</v>
      </c>
      <c r="I176" s="2" t="s">
        <v>777</v>
      </c>
      <c r="J176" s="2" t="s">
        <v>773</v>
      </c>
      <c r="K176" s="2" t="s">
        <v>38</v>
      </c>
      <c r="L176" s="7">
        <v>-74.477234540516505</v>
      </c>
      <c r="M176" s="7">
        <v>5.0083927449708598</v>
      </c>
    </row>
    <row r="177" spans="1:13">
      <c r="A177" s="24">
        <v>176</v>
      </c>
      <c r="B177" s="5">
        <v>46076</v>
      </c>
      <c r="C177" s="5">
        <v>46077</v>
      </c>
      <c r="D177" s="30">
        <f t="shared" si="6"/>
        <v>1</v>
      </c>
      <c r="E177" s="5" t="s">
        <v>254</v>
      </c>
      <c r="F177" s="5" t="s">
        <v>621</v>
      </c>
      <c r="G177" s="53" t="s">
        <v>605</v>
      </c>
      <c r="H177" s="2" t="s">
        <v>25</v>
      </c>
      <c r="I177" s="2" t="s">
        <v>778</v>
      </c>
      <c r="J177" s="2" t="s">
        <v>668</v>
      </c>
      <c r="K177" s="2" t="s">
        <v>669</v>
      </c>
      <c r="L177" s="7">
        <v>-75.624705862123506</v>
      </c>
      <c r="M177" s="7">
        <v>6.15183963727792</v>
      </c>
    </row>
    <row r="178" spans="1:13">
      <c r="A178" s="24">
        <v>177</v>
      </c>
      <c r="B178" s="5">
        <v>46076</v>
      </c>
      <c r="C178" s="5">
        <v>46077</v>
      </c>
      <c r="D178" s="30">
        <f t="shared" si="6"/>
        <v>1</v>
      </c>
      <c r="E178" s="5" t="s">
        <v>254</v>
      </c>
      <c r="F178" s="5" t="s">
        <v>621</v>
      </c>
      <c r="G178" s="53" t="s">
        <v>605</v>
      </c>
      <c r="H178" s="2" t="s">
        <v>25</v>
      </c>
      <c r="I178" s="2" t="s">
        <v>779</v>
      </c>
      <c r="J178" s="2" t="s">
        <v>668</v>
      </c>
      <c r="K178" s="2" t="s">
        <v>669</v>
      </c>
      <c r="L178" s="7">
        <v>-75.585106113493396</v>
      </c>
      <c r="M178" s="7">
        <v>6.1780288970943698</v>
      </c>
    </row>
    <row r="179" spans="1:13">
      <c r="A179" s="24">
        <v>178</v>
      </c>
      <c r="B179" s="5">
        <v>46077</v>
      </c>
      <c r="C179" s="5">
        <v>46077</v>
      </c>
      <c r="D179" s="30">
        <f t="shared" si="6"/>
        <v>0</v>
      </c>
      <c r="E179" s="5" t="s">
        <v>317</v>
      </c>
      <c r="F179" s="5" t="s">
        <v>621</v>
      </c>
      <c r="G179" s="53" t="s">
        <v>605</v>
      </c>
      <c r="H179" s="2" t="s">
        <v>25</v>
      </c>
      <c r="I179" s="2" t="s">
        <v>780</v>
      </c>
      <c r="J179" s="2" t="s">
        <v>22</v>
      </c>
      <c r="K179" s="2" t="s">
        <v>48</v>
      </c>
      <c r="L179" s="7">
        <v>-74.0632698</v>
      </c>
      <c r="M179" s="7">
        <v>4.7549355000000002</v>
      </c>
    </row>
    <row r="180" spans="1:13">
      <c r="A180" s="24">
        <v>179</v>
      </c>
      <c r="B180" s="5">
        <v>46077</v>
      </c>
      <c r="C180" s="5">
        <v>46078</v>
      </c>
      <c r="D180" s="30">
        <f t="shared" si="6"/>
        <v>1</v>
      </c>
      <c r="E180" s="5" t="s">
        <v>317</v>
      </c>
      <c r="F180" s="5" t="s">
        <v>604</v>
      </c>
      <c r="G180" s="53" t="s">
        <v>605</v>
      </c>
      <c r="H180" s="2" t="s">
        <v>25</v>
      </c>
      <c r="I180" s="2" t="s">
        <v>781</v>
      </c>
      <c r="J180" s="2" t="s">
        <v>22</v>
      </c>
      <c r="K180" s="2" t="s">
        <v>343</v>
      </c>
      <c r="L180" s="7">
        <v>-74.098325299999999</v>
      </c>
      <c r="M180" s="7">
        <v>4.5654091000000001</v>
      </c>
    </row>
    <row r="181" spans="1:13">
      <c r="A181" s="24">
        <v>180</v>
      </c>
      <c r="B181" s="5">
        <v>46077</v>
      </c>
      <c r="C181" s="5">
        <v>46078</v>
      </c>
      <c r="D181" s="30">
        <f t="shared" si="6"/>
        <v>1</v>
      </c>
      <c r="E181" s="5" t="s">
        <v>317</v>
      </c>
      <c r="F181" s="5" t="s">
        <v>604</v>
      </c>
      <c r="G181" s="53" t="s">
        <v>618</v>
      </c>
      <c r="H181" s="2" t="s">
        <v>25</v>
      </c>
      <c r="I181" s="2" t="s">
        <v>356</v>
      </c>
      <c r="J181" s="2" t="s">
        <v>22</v>
      </c>
      <c r="K181" s="2" t="s">
        <v>343</v>
      </c>
      <c r="L181" s="7">
        <v>-74.044951400000002</v>
      </c>
      <c r="M181" s="7">
        <v>4.6814689999999999</v>
      </c>
    </row>
    <row r="182" spans="1:13">
      <c r="A182" s="24">
        <v>181</v>
      </c>
      <c r="B182" s="5">
        <v>46077</v>
      </c>
      <c r="C182" s="5">
        <v>46077</v>
      </c>
      <c r="D182" s="30">
        <f t="shared" si="6"/>
        <v>0</v>
      </c>
      <c r="E182" s="5" t="s">
        <v>317</v>
      </c>
      <c r="F182" s="5" t="s">
        <v>604</v>
      </c>
      <c r="G182" s="53" t="s">
        <v>605</v>
      </c>
      <c r="H182" s="2" t="s">
        <v>25</v>
      </c>
      <c r="I182" s="2" t="s">
        <v>782</v>
      </c>
      <c r="J182" s="2" t="s">
        <v>22</v>
      </c>
      <c r="K182" s="2" t="s">
        <v>343</v>
      </c>
      <c r="L182" s="7">
        <v>-74.072783200000003</v>
      </c>
      <c r="M182" s="7">
        <v>4.6694978000000003</v>
      </c>
    </row>
    <row r="183" spans="1:13">
      <c r="A183" s="24">
        <v>182</v>
      </c>
      <c r="B183" s="5">
        <v>46077</v>
      </c>
      <c r="C183" s="5">
        <v>46078</v>
      </c>
      <c r="D183" s="30">
        <f t="shared" si="6"/>
        <v>1</v>
      </c>
      <c r="E183" s="5" t="s">
        <v>317</v>
      </c>
      <c r="F183" s="5" t="s">
        <v>604</v>
      </c>
      <c r="G183" s="53" t="s">
        <v>605</v>
      </c>
      <c r="H183" s="2" t="s">
        <v>25</v>
      </c>
      <c r="I183" s="2" t="s">
        <v>783</v>
      </c>
      <c r="J183" s="2" t="s">
        <v>22</v>
      </c>
      <c r="K183" s="2" t="s">
        <v>343</v>
      </c>
      <c r="L183" s="7">
        <v>-74.077674500000001</v>
      </c>
      <c r="M183" s="7">
        <v>4.6656570999999998</v>
      </c>
    </row>
    <row r="184" spans="1:13">
      <c r="A184" s="24">
        <v>183</v>
      </c>
      <c r="B184" s="5">
        <v>46077</v>
      </c>
      <c r="C184" s="5">
        <v>46079</v>
      </c>
      <c r="D184" s="30">
        <f t="shared" si="6"/>
        <v>2</v>
      </c>
      <c r="E184" s="5" t="s">
        <v>317</v>
      </c>
      <c r="F184" s="5" t="s">
        <v>604</v>
      </c>
      <c r="G184" s="53" t="s">
        <v>618</v>
      </c>
      <c r="H184" s="2" t="s">
        <v>25</v>
      </c>
      <c r="I184" s="2" t="s">
        <v>359</v>
      </c>
      <c r="J184" s="2" t="s">
        <v>22</v>
      </c>
      <c r="K184" s="2" t="s">
        <v>343</v>
      </c>
      <c r="L184" s="7">
        <v>-74.078748300000001</v>
      </c>
      <c r="M184" s="7">
        <v>4.6642172000000004</v>
      </c>
    </row>
    <row r="185" spans="1:13">
      <c r="A185" s="24">
        <v>184</v>
      </c>
      <c r="B185" s="5">
        <v>46077</v>
      </c>
      <c r="C185" s="5">
        <v>46079</v>
      </c>
      <c r="D185" s="30">
        <f t="shared" si="6"/>
        <v>2</v>
      </c>
      <c r="E185" s="5" t="s">
        <v>317</v>
      </c>
      <c r="F185" s="5" t="s">
        <v>604</v>
      </c>
      <c r="G185" s="53" t="s">
        <v>605</v>
      </c>
      <c r="H185" s="2" t="s">
        <v>25</v>
      </c>
      <c r="I185" s="2" t="s">
        <v>784</v>
      </c>
      <c r="J185" s="2" t="s">
        <v>22</v>
      </c>
      <c r="K185" s="2" t="s">
        <v>343</v>
      </c>
      <c r="L185" s="7">
        <v>-74.154736499999999</v>
      </c>
      <c r="M185" s="7">
        <v>4.6380600999999997</v>
      </c>
    </row>
    <row r="186" spans="1:13">
      <c r="A186" s="24">
        <v>185</v>
      </c>
      <c r="B186" s="5">
        <v>46077</v>
      </c>
      <c r="C186" s="5">
        <v>46077</v>
      </c>
      <c r="D186" s="30">
        <f t="shared" si="6"/>
        <v>0</v>
      </c>
      <c r="E186" s="5" t="s">
        <v>254</v>
      </c>
      <c r="F186" s="5" t="s">
        <v>604</v>
      </c>
      <c r="G186" s="53" t="s">
        <v>618</v>
      </c>
      <c r="H186" s="2" t="s">
        <v>25</v>
      </c>
      <c r="I186" s="2" t="s">
        <v>346</v>
      </c>
      <c r="J186" s="2" t="s">
        <v>668</v>
      </c>
      <c r="K186" s="2" t="s">
        <v>669</v>
      </c>
      <c r="L186" s="7">
        <v>-74.100237300000003</v>
      </c>
      <c r="M186" s="7">
        <v>4.5853407954673697</v>
      </c>
    </row>
    <row r="187" spans="1:13">
      <c r="A187" s="24">
        <v>186</v>
      </c>
      <c r="B187" s="5">
        <v>46078</v>
      </c>
      <c r="C187" s="5">
        <v>46079</v>
      </c>
      <c r="D187" s="30">
        <f t="shared" si="6"/>
        <v>1</v>
      </c>
      <c r="E187" s="5" t="s">
        <v>254</v>
      </c>
      <c r="F187" s="5" t="s">
        <v>621</v>
      </c>
      <c r="G187" s="53" t="s">
        <v>605</v>
      </c>
      <c r="H187" s="2" t="s">
        <v>25</v>
      </c>
      <c r="I187" s="2" t="s">
        <v>164</v>
      </c>
      <c r="J187" s="2" t="s">
        <v>22</v>
      </c>
      <c r="K187" s="2" t="s">
        <v>80</v>
      </c>
      <c r="L187" s="7">
        <v>-74.089052915341995</v>
      </c>
      <c r="M187" s="7">
        <v>4.6315050389124304</v>
      </c>
    </row>
    <row r="188" spans="1:13">
      <c r="A188" s="24">
        <v>187</v>
      </c>
      <c r="B188" s="5">
        <v>46079</v>
      </c>
      <c r="C188" s="5">
        <v>46079</v>
      </c>
      <c r="D188" s="30">
        <f t="shared" si="6"/>
        <v>0</v>
      </c>
      <c r="E188" s="5" t="s">
        <v>317</v>
      </c>
      <c r="F188" s="5" t="s">
        <v>621</v>
      </c>
      <c r="G188" s="53" t="s">
        <v>605</v>
      </c>
      <c r="H188" s="2" t="s">
        <v>25</v>
      </c>
      <c r="I188" s="2" t="s">
        <v>785</v>
      </c>
      <c r="J188" s="2" t="s">
        <v>22</v>
      </c>
      <c r="K188" s="2" t="s">
        <v>325</v>
      </c>
      <c r="L188" s="7">
        <v>-74.166916615409093</v>
      </c>
      <c r="M188" s="7">
        <v>4.6958078174411098</v>
      </c>
    </row>
    <row r="189" spans="1:13">
      <c r="A189" s="24">
        <v>188</v>
      </c>
      <c r="B189" s="5">
        <v>46079</v>
      </c>
      <c r="C189" s="5">
        <v>46079</v>
      </c>
      <c r="D189" s="30">
        <f t="shared" si="6"/>
        <v>0</v>
      </c>
      <c r="E189" s="5" t="s">
        <v>317</v>
      </c>
      <c r="F189" s="5" t="s">
        <v>621</v>
      </c>
      <c r="G189" s="53" t="s">
        <v>618</v>
      </c>
      <c r="H189" s="2" t="s">
        <v>25</v>
      </c>
      <c r="I189" s="2" t="s">
        <v>361</v>
      </c>
      <c r="J189" s="2" t="s">
        <v>22</v>
      </c>
      <c r="K189" s="2" t="s">
        <v>325</v>
      </c>
      <c r="L189" s="7">
        <v>-74.064028470551193</v>
      </c>
      <c r="M189" s="7">
        <v>4.6438902367019699</v>
      </c>
    </row>
    <row r="190" spans="1:13">
      <c r="A190" s="24">
        <v>189</v>
      </c>
      <c r="B190" s="5">
        <v>46079</v>
      </c>
      <c r="C190" s="5">
        <v>46079</v>
      </c>
      <c r="D190" s="30">
        <f t="shared" si="6"/>
        <v>0</v>
      </c>
      <c r="E190" s="5" t="s">
        <v>317</v>
      </c>
      <c r="F190" s="5" t="s">
        <v>621</v>
      </c>
      <c r="G190" s="53" t="s">
        <v>605</v>
      </c>
      <c r="H190" s="2" t="s">
        <v>25</v>
      </c>
      <c r="I190" s="2" t="s">
        <v>786</v>
      </c>
      <c r="J190" s="2" t="s">
        <v>22</v>
      </c>
      <c r="K190" s="2" t="s">
        <v>325</v>
      </c>
      <c r="L190" s="7">
        <v>-74.122304735881798</v>
      </c>
      <c r="M190" s="7">
        <v>4.6696390603466398</v>
      </c>
    </row>
    <row r="191" spans="1:13">
      <c r="A191" s="24">
        <v>190</v>
      </c>
      <c r="B191" s="5">
        <v>46079</v>
      </c>
      <c r="C191" s="5">
        <v>46079</v>
      </c>
      <c r="D191" s="30">
        <f t="shared" si="6"/>
        <v>0</v>
      </c>
      <c r="E191" s="5" t="s">
        <v>317</v>
      </c>
      <c r="F191" s="5" t="s">
        <v>621</v>
      </c>
      <c r="G191" s="53" t="s">
        <v>618</v>
      </c>
      <c r="H191" s="2" t="s">
        <v>25</v>
      </c>
      <c r="I191" s="2" t="s">
        <v>364</v>
      </c>
      <c r="J191" s="2" t="s">
        <v>22</v>
      </c>
      <c r="K191" s="2" t="s">
        <v>325</v>
      </c>
      <c r="L191" s="7">
        <v>-74.120144631057897</v>
      </c>
      <c r="M191" s="7">
        <v>4.6663066873275101</v>
      </c>
    </row>
    <row r="192" spans="1:13">
      <c r="A192" s="24">
        <v>191</v>
      </c>
      <c r="B192" s="5">
        <v>46079</v>
      </c>
      <c r="C192" s="5">
        <v>46080</v>
      </c>
      <c r="D192" s="30">
        <f t="shared" si="6"/>
        <v>1</v>
      </c>
      <c r="E192" s="5" t="s">
        <v>317</v>
      </c>
      <c r="F192" s="5" t="s">
        <v>621</v>
      </c>
      <c r="G192" s="53" t="s">
        <v>605</v>
      </c>
      <c r="H192" s="2" t="s">
        <v>25</v>
      </c>
      <c r="I192" s="2" t="s">
        <v>787</v>
      </c>
      <c r="J192" s="2" t="s">
        <v>22</v>
      </c>
      <c r="K192" s="2" t="s">
        <v>325</v>
      </c>
      <c r="L192" s="7">
        <v>-74.095111299999999</v>
      </c>
      <c r="M192" s="7">
        <v>4.6787602000000001</v>
      </c>
    </row>
    <row r="193" spans="1:14">
      <c r="A193" s="24">
        <v>192</v>
      </c>
      <c r="B193" s="5">
        <v>46080</v>
      </c>
      <c r="C193" s="5">
        <v>46080</v>
      </c>
      <c r="D193" s="30">
        <f t="shared" si="6"/>
        <v>0</v>
      </c>
      <c r="E193" s="5" t="s">
        <v>317</v>
      </c>
      <c r="F193" s="5" t="s">
        <v>621</v>
      </c>
      <c r="G193" s="53" t="s">
        <v>605</v>
      </c>
      <c r="H193" s="2" t="s">
        <v>25</v>
      </c>
      <c r="I193" s="2" t="s">
        <v>788</v>
      </c>
      <c r="J193" s="2" t="s">
        <v>22</v>
      </c>
      <c r="K193" s="2" t="s">
        <v>569</v>
      </c>
      <c r="L193" s="7">
        <v>-74.046712728836297</v>
      </c>
      <c r="M193" s="7">
        <v>4.7794630745890103</v>
      </c>
    </row>
    <row r="194" spans="1:14">
      <c r="A194" s="24">
        <v>193</v>
      </c>
      <c r="B194" s="5">
        <v>46080</v>
      </c>
      <c r="C194" s="5">
        <v>46080</v>
      </c>
      <c r="D194" s="30">
        <f t="shared" si="6"/>
        <v>0</v>
      </c>
      <c r="E194" s="5" t="s">
        <v>317</v>
      </c>
      <c r="F194" s="5" t="s">
        <v>621</v>
      </c>
      <c r="G194" s="53" t="s">
        <v>605</v>
      </c>
      <c r="H194" s="2" t="s">
        <v>25</v>
      </c>
      <c r="I194" s="2" t="s">
        <v>789</v>
      </c>
      <c r="J194" s="2" t="s">
        <v>22</v>
      </c>
      <c r="K194" s="2" t="s">
        <v>569</v>
      </c>
      <c r="L194" s="7">
        <v>-74.043668271163597</v>
      </c>
      <c r="M194" s="7">
        <v>4.7612354836268702</v>
      </c>
    </row>
    <row r="195" spans="1:14">
      <c r="A195" s="24">
        <v>194</v>
      </c>
      <c r="B195" s="5">
        <v>46080</v>
      </c>
      <c r="C195" s="5">
        <v>46080</v>
      </c>
      <c r="D195" s="30">
        <f t="shared" si="6"/>
        <v>0</v>
      </c>
      <c r="E195" s="5" t="s">
        <v>317</v>
      </c>
      <c r="F195" s="5" t="s">
        <v>621</v>
      </c>
      <c r="G195" s="53" t="s">
        <v>605</v>
      </c>
      <c r="H195" s="2" t="s">
        <v>25</v>
      </c>
      <c r="I195" s="2" t="s">
        <v>790</v>
      </c>
      <c r="J195" s="2" t="s">
        <v>22</v>
      </c>
      <c r="K195" s="2" t="s">
        <v>569</v>
      </c>
      <c r="L195" s="7">
        <v>-74.055909999999997</v>
      </c>
      <c r="M195" s="7">
        <v>4.7190435924662202</v>
      </c>
    </row>
    <row r="196" spans="1:14">
      <c r="A196" s="24">
        <v>195</v>
      </c>
      <c r="B196" s="5">
        <v>46080</v>
      </c>
      <c r="C196" s="5">
        <v>46080</v>
      </c>
      <c r="D196" s="30">
        <f t="shared" si="6"/>
        <v>0</v>
      </c>
      <c r="E196" s="5" t="s">
        <v>317</v>
      </c>
      <c r="F196" s="5" t="s">
        <v>621</v>
      </c>
      <c r="G196" s="53" t="s">
        <v>618</v>
      </c>
      <c r="H196" s="2" t="s">
        <v>25</v>
      </c>
      <c r="I196" s="2" t="s">
        <v>367</v>
      </c>
      <c r="J196" s="2" t="s">
        <v>22</v>
      </c>
      <c r="K196" s="2" t="s">
        <v>325</v>
      </c>
      <c r="L196" s="7">
        <v>-74.044897918948806</v>
      </c>
      <c r="M196" s="7">
        <v>4.7323782486049497</v>
      </c>
    </row>
    <row r="197" spans="1:14">
      <c r="A197" s="24">
        <v>196</v>
      </c>
      <c r="B197" s="5">
        <v>46080</v>
      </c>
      <c r="C197" s="5">
        <v>46085</v>
      </c>
      <c r="D197" s="30">
        <f t="shared" si="6"/>
        <v>5</v>
      </c>
      <c r="E197" s="5" t="s">
        <v>317</v>
      </c>
      <c r="F197" s="5" t="s">
        <v>621</v>
      </c>
      <c r="G197" s="53" t="s">
        <v>618</v>
      </c>
      <c r="H197" s="2" t="s">
        <v>25</v>
      </c>
      <c r="I197" s="2" t="s">
        <v>369</v>
      </c>
      <c r="J197" s="2" t="s">
        <v>22</v>
      </c>
      <c r="K197" s="2" t="s">
        <v>325</v>
      </c>
      <c r="L197" s="7">
        <v>-74.067059849704606</v>
      </c>
      <c r="M197" s="7">
        <v>4.6294016096673696</v>
      </c>
      <c r="N197" s="51" t="s">
        <v>791</v>
      </c>
    </row>
    <row r="198" spans="1:14">
      <c r="A198" s="24">
        <v>197</v>
      </c>
      <c r="B198" s="5">
        <v>46080</v>
      </c>
      <c r="C198" s="5">
        <v>46083</v>
      </c>
      <c r="D198" s="30">
        <f t="shared" si="6"/>
        <v>3</v>
      </c>
      <c r="E198" s="5" t="s">
        <v>317</v>
      </c>
      <c r="F198" s="5" t="s">
        <v>621</v>
      </c>
      <c r="G198" s="53" t="s">
        <v>605</v>
      </c>
      <c r="H198" s="2" t="s">
        <v>25</v>
      </c>
      <c r="I198" s="2" t="s">
        <v>792</v>
      </c>
      <c r="J198" s="2" t="s">
        <v>22</v>
      </c>
      <c r="K198" s="2" t="s">
        <v>325</v>
      </c>
      <c r="L198" s="7">
        <v>-74.129538050839798</v>
      </c>
      <c r="M198" s="7">
        <v>4.5780704924813902</v>
      </c>
      <c r="N198" s="51" t="s">
        <v>793</v>
      </c>
    </row>
    <row r="199" spans="1:14">
      <c r="A199" s="24">
        <v>198</v>
      </c>
      <c r="B199" s="5">
        <v>46083</v>
      </c>
      <c r="C199" s="5">
        <v>46083</v>
      </c>
      <c r="D199" s="30">
        <f t="shared" si="6"/>
        <v>0</v>
      </c>
      <c r="E199" s="5" t="s">
        <v>317</v>
      </c>
      <c r="F199" s="5" t="s">
        <v>621</v>
      </c>
      <c r="G199" s="53" t="s">
        <v>618</v>
      </c>
      <c r="H199" s="2" t="s">
        <v>25</v>
      </c>
      <c r="I199" s="2" t="s">
        <v>372</v>
      </c>
      <c r="J199" s="2" t="s">
        <v>22</v>
      </c>
      <c r="K199" s="2" t="s">
        <v>325</v>
      </c>
      <c r="L199" s="7">
        <v>-74.125582688665304</v>
      </c>
      <c r="M199" s="7">
        <v>4.6038044923407098</v>
      </c>
    </row>
    <row r="200" spans="1:14">
      <c r="A200" s="24">
        <v>199</v>
      </c>
      <c r="B200" s="5">
        <v>46083</v>
      </c>
      <c r="C200" s="5">
        <v>46083</v>
      </c>
      <c r="D200" s="30">
        <f t="shared" si="6"/>
        <v>0</v>
      </c>
      <c r="E200" s="5" t="s">
        <v>317</v>
      </c>
      <c r="F200" s="5" t="s">
        <v>621</v>
      </c>
      <c r="G200" s="53" t="s">
        <v>618</v>
      </c>
      <c r="H200" s="2" t="s">
        <v>25</v>
      </c>
      <c r="I200" s="2" t="s">
        <v>375</v>
      </c>
      <c r="J200" s="2" t="s">
        <v>22</v>
      </c>
      <c r="K200" s="2" t="s">
        <v>325</v>
      </c>
      <c r="L200" s="7">
        <v>-74.060322371163593</v>
      </c>
      <c r="M200" s="7">
        <v>4.6471334871313603</v>
      </c>
    </row>
    <row r="201" spans="1:14">
      <c r="A201" s="24">
        <v>200</v>
      </c>
      <c r="B201" s="5">
        <v>46083</v>
      </c>
      <c r="C201" s="5">
        <v>46083</v>
      </c>
      <c r="D201" s="30">
        <f t="shared" si="6"/>
        <v>0</v>
      </c>
      <c r="E201" s="5" t="s">
        <v>317</v>
      </c>
      <c r="F201" s="5" t="s">
        <v>604</v>
      </c>
      <c r="G201" s="53" t="s">
        <v>605</v>
      </c>
      <c r="H201" s="2" t="s">
        <v>25</v>
      </c>
      <c r="I201" s="2" t="s">
        <v>794</v>
      </c>
      <c r="J201" s="2" t="s">
        <v>22</v>
      </c>
      <c r="K201" s="2" t="s">
        <v>325</v>
      </c>
      <c r="N201" s="51" t="s">
        <v>795</v>
      </c>
    </row>
    <row r="202" spans="1:14">
      <c r="A202" s="24">
        <v>201</v>
      </c>
      <c r="B202" s="5">
        <v>46084</v>
      </c>
      <c r="C202" s="5">
        <v>46085</v>
      </c>
      <c r="D202" s="30">
        <f t="shared" si="6"/>
        <v>1</v>
      </c>
      <c r="E202" s="5" t="s">
        <v>254</v>
      </c>
      <c r="F202" s="5" t="s">
        <v>621</v>
      </c>
      <c r="G202" s="53" t="s">
        <v>605</v>
      </c>
      <c r="H202" s="2" t="s">
        <v>25</v>
      </c>
      <c r="I202" s="2" t="s">
        <v>796</v>
      </c>
      <c r="J202" s="2" t="s">
        <v>22</v>
      </c>
      <c r="K202" s="2" t="s">
        <v>33</v>
      </c>
      <c r="L202" s="7">
        <v>-74.052550233645206</v>
      </c>
      <c r="M202" s="7">
        <v>4.68685931563975</v>
      </c>
    </row>
    <row r="203" spans="1:14">
      <c r="A203" s="24">
        <v>202</v>
      </c>
      <c r="B203" s="5">
        <v>46084</v>
      </c>
      <c r="C203" s="5">
        <v>46085</v>
      </c>
      <c r="D203" s="30">
        <f t="shared" si="6"/>
        <v>1</v>
      </c>
      <c r="E203" s="5" t="s">
        <v>254</v>
      </c>
      <c r="F203" s="5" t="s">
        <v>621</v>
      </c>
      <c r="G203" s="53" t="s">
        <v>605</v>
      </c>
      <c r="H203" s="2" t="s">
        <v>25</v>
      </c>
      <c r="I203" s="2" t="s">
        <v>797</v>
      </c>
      <c r="J203" s="2" t="s">
        <v>22</v>
      </c>
      <c r="K203" s="2" t="s">
        <v>33</v>
      </c>
      <c r="L203" s="7">
        <v>-74.062508266819805</v>
      </c>
      <c r="M203" s="7">
        <v>4.6911603628325196</v>
      </c>
      <c r="N203" s="51" t="s">
        <v>798</v>
      </c>
    </row>
    <row r="204" spans="1:14">
      <c r="A204" s="24">
        <v>203</v>
      </c>
      <c r="B204" s="5">
        <v>46084</v>
      </c>
      <c r="C204" s="5">
        <v>46085</v>
      </c>
      <c r="D204" s="30">
        <f t="shared" si="6"/>
        <v>1</v>
      </c>
      <c r="E204" s="5" t="s">
        <v>317</v>
      </c>
      <c r="F204" s="5" t="s">
        <v>604</v>
      </c>
      <c r="G204" s="53" t="s">
        <v>605</v>
      </c>
      <c r="H204" s="2" t="s">
        <v>25</v>
      </c>
      <c r="I204" s="2" t="s">
        <v>799</v>
      </c>
      <c r="J204" s="2" t="s">
        <v>22</v>
      </c>
      <c r="K204" s="2" t="s">
        <v>343</v>
      </c>
      <c r="L204" s="7">
        <v>-74.047061406063307</v>
      </c>
      <c r="M204" s="7">
        <v>4.7773873562685596</v>
      </c>
      <c r="N204" s="51" t="s">
        <v>800</v>
      </c>
    </row>
    <row r="205" spans="1:14">
      <c r="A205" s="24">
        <v>204</v>
      </c>
      <c r="B205" s="5">
        <v>46084</v>
      </c>
      <c r="C205" s="5">
        <v>46085</v>
      </c>
      <c r="D205" s="30">
        <f t="shared" si="6"/>
        <v>1</v>
      </c>
      <c r="E205" s="5" t="s">
        <v>254</v>
      </c>
      <c r="F205" s="5" t="s">
        <v>621</v>
      </c>
      <c r="H205" s="2" t="s">
        <v>25</v>
      </c>
      <c r="I205" s="2" t="s">
        <v>801</v>
      </c>
      <c r="J205" s="2" t="s">
        <v>22</v>
      </c>
      <c r="K205" s="2" t="s">
        <v>33</v>
      </c>
      <c r="L205" s="7">
        <v>-74.045216075228495</v>
      </c>
      <c r="M205" s="7">
        <v>4.7022468130946802</v>
      </c>
    </row>
    <row r="206" spans="1:14">
      <c r="A206" s="24">
        <v>205</v>
      </c>
      <c r="B206" s="5">
        <v>46085</v>
      </c>
      <c r="C206" s="5">
        <v>46085</v>
      </c>
      <c r="D206" s="30">
        <f t="shared" si="6"/>
        <v>0</v>
      </c>
      <c r="E206" s="5" t="s">
        <v>317</v>
      </c>
      <c r="F206" s="5" t="s">
        <v>621</v>
      </c>
      <c r="G206" s="53" t="s">
        <v>605</v>
      </c>
      <c r="H206" s="2" t="s">
        <v>25</v>
      </c>
      <c r="I206" s="2" t="s">
        <v>802</v>
      </c>
      <c r="J206" s="2" t="s">
        <v>22</v>
      </c>
      <c r="K206" s="2" t="s">
        <v>48</v>
      </c>
      <c r="L206" s="7">
        <v>-74.085843390460994</v>
      </c>
      <c r="M206" s="7">
        <v>4.7334982753589703</v>
      </c>
    </row>
    <row r="207" spans="1:14">
      <c r="A207" s="24">
        <v>206</v>
      </c>
      <c r="B207" s="5">
        <v>46085</v>
      </c>
      <c r="C207" s="5">
        <v>46086</v>
      </c>
      <c r="D207" s="30">
        <f t="shared" si="6"/>
        <v>1</v>
      </c>
      <c r="E207" s="5" t="s">
        <v>254</v>
      </c>
      <c r="F207" s="5" t="s">
        <v>621</v>
      </c>
      <c r="G207" s="53" t="s">
        <v>605</v>
      </c>
      <c r="H207" s="2" t="s">
        <v>25</v>
      </c>
      <c r="I207" s="2" t="s">
        <v>803</v>
      </c>
      <c r="J207" s="2" t="s">
        <v>804</v>
      </c>
      <c r="K207" s="2" t="s">
        <v>38</v>
      </c>
      <c r="L207" s="7">
        <v>-74.336929411908798</v>
      </c>
      <c r="M207" s="7">
        <v>4.9946720500368302</v>
      </c>
    </row>
    <row r="208" spans="1:14">
      <c r="A208" s="24">
        <v>207</v>
      </c>
      <c r="B208" s="5">
        <v>46085</v>
      </c>
      <c r="C208" s="5">
        <v>46086</v>
      </c>
      <c r="D208" s="30">
        <f t="shared" si="6"/>
        <v>1</v>
      </c>
      <c r="E208" s="5" t="s">
        <v>254</v>
      </c>
      <c r="F208" s="5" t="s">
        <v>621</v>
      </c>
      <c r="G208" s="53" t="s">
        <v>605</v>
      </c>
      <c r="H208" s="2" t="s">
        <v>25</v>
      </c>
      <c r="I208" s="2" t="s">
        <v>805</v>
      </c>
      <c r="J208" s="2" t="s">
        <v>22</v>
      </c>
      <c r="K208" s="2" t="s">
        <v>80</v>
      </c>
      <c r="L208" s="7">
        <v>-74.074689829435997</v>
      </c>
      <c r="M208" s="7">
        <v>4.6038088929925403</v>
      </c>
    </row>
    <row r="209" spans="1:14">
      <c r="A209" s="24">
        <v>208</v>
      </c>
      <c r="B209" s="5">
        <v>46086</v>
      </c>
      <c r="C209" s="5">
        <v>46086</v>
      </c>
      <c r="D209" s="30">
        <f t="shared" si="6"/>
        <v>0</v>
      </c>
      <c r="E209" s="5" t="s">
        <v>317</v>
      </c>
      <c r="F209" s="5" t="s">
        <v>621</v>
      </c>
      <c r="G209" s="53" t="s">
        <v>605</v>
      </c>
      <c r="H209" s="2" t="s">
        <v>25</v>
      </c>
      <c r="I209" s="2" t="s">
        <v>806</v>
      </c>
      <c r="J209" s="2" t="s">
        <v>22</v>
      </c>
      <c r="K209" s="2" t="s">
        <v>569</v>
      </c>
      <c r="L209" s="7">
        <v>-74.111559195278701</v>
      </c>
      <c r="M209" s="7">
        <v>4.7223035312315496</v>
      </c>
    </row>
    <row r="210" spans="1:14">
      <c r="A210" s="24">
        <v>209</v>
      </c>
      <c r="B210" s="5">
        <v>46086</v>
      </c>
      <c r="D210" s="30"/>
      <c r="E210" s="5" t="s">
        <v>254</v>
      </c>
      <c r="F210" s="5" t="s">
        <v>621</v>
      </c>
      <c r="G210" s="53" t="s">
        <v>605</v>
      </c>
      <c r="H210" s="2" t="s">
        <v>169</v>
      </c>
      <c r="I210" s="2" t="s">
        <v>807</v>
      </c>
      <c r="J210" s="2" t="s">
        <v>668</v>
      </c>
      <c r="K210" s="2" t="s">
        <v>669</v>
      </c>
      <c r="L210" s="7">
        <v>-75.595756342328897</v>
      </c>
      <c r="M210" s="7">
        <v>6.2463476257112802</v>
      </c>
      <c r="N210" s="51" t="s">
        <v>808</v>
      </c>
    </row>
    <row r="211" spans="1:14">
      <c r="A211" s="24">
        <v>210</v>
      </c>
      <c r="B211" s="5">
        <v>46086</v>
      </c>
      <c r="C211" s="5">
        <v>46090</v>
      </c>
      <c r="D211" s="30">
        <f t="shared" ref="D211:D242" si="7">C211-B211</f>
        <v>4</v>
      </c>
      <c r="E211" s="5" t="s">
        <v>254</v>
      </c>
      <c r="F211" s="5" t="s">
        <v>621</v>
      </c>
      <c r="G211" s="53" t="s">
        <v>605</v>
      </c>
      <c r="H211" s="2" t="s">
        <v>25</v>
      </c>
      <c r="I211" s="2" t="s">
        <v>809</v>
      </c>
      <c r="J211" s="2" t="s">
        <v>668</v>
      </c>
      <c r="K211" s="2" t="s">
        <v>669</v>
      </c>
      <c r="L211" s="7">
        <v>-75.582320373013005</v>
      </c>
      <c r="M211" s="7">
        <v>6.2540129546863401</v>
      </c>
    </row>
    <row r="212" spans="1:14">
      <c r="A212" s="24">
        <v>211</v>
      </c>
      <c r="B212" s="5">
        <v>46086</v>
      </c>
      <c r="C212" s="5">
        <v>46087</v>
      </c>
      <c r="D212" s="30">
        <f t="shared" si="7"/>
        <v>1</v>
      </c>
      <c r="E212" s="5" t="s">
        <v>254</v>
      </c>
      <c r="F212" s="5" t="s">
        <v>621</v>
      </c>
      <c r="G212" s="53" t="s">
        <v>618</v>
      </c>
      <c r="H212" s="2" t="s">
        <v>25</v>
      </c>
      <c r="I212" s="2" t="s">
        <v>378</v>
      </c>
      <c r="J212" s="2" t="s">
        <v>22</v>
      </c>
      <c r="K212" s="2" t="s">
        <v>80</v>
      </c>
      <c r="L212" s="7">
        <v>-74.100731100000004</v>
      </c>
      <c r="M212" s="7">
        <v>4.5872928000000002</v>
      </c>
    </row>
    <row r="213" spans="1:14">
      <c r="A213" s="24">
        <v>213</v>
      </c>
      <c r="B213" s="5">
        <v>46087</v>
      </c>
      <c r="C213" s="5">
        <v>46087</v>
      </c>
      <c r="D213" s="30">
        <f t="shared" si="7"/>
        <v>0</v>
      </c>
      <c r="E213" s="5" t="s">
        <v>254</v>
      </c>
      <c r="F213" s="5" t="s">
        <v>621</v>
      </c>
      <c r="G213" s="53" t="s">
        <v>618</v>
      </c>
      <c r="H213" s="2" t="s">
        <v>25</v>
      </c>
      <c r="I213" s="2" t="s">
        <v>377</v>
      </c>
      <c r="J213" s="2" t="s">
        <v>22</v>
      </c>
      <c r="K213" s="2" t="s">
        <v>38</v>
      </c>
      <c r="L213" s="7">
        <v>-74.069487999999893</v>
      </c>
      <c r="M213" s="7">
        <v>4.5957340000000002</v>
      </c>
    </row>
    <row r="214" spans="1:14">
      <c r="A214" s="24">
        <v>214</v>
      </c>
      <c r="B214" s="5">
        <v>46087</v>
      </c>
      <c r="C214" s="5">
        <v>46090</v>
      </c>
      <c r="D214" s="30">
        <f t="shared" si="7"/>
        <v>3</v>
      </c>
      <c r="E214" s="5" t="s">
        <v>317</v>
      </c>
      <c r="F214" s="5" t="s">
        <v>604</v>
      </c>
      <c r="G214" s="53" t="s">
        <v>618</v>
      </c>
      <c r="H214" s="2" t="s">
        <v>25</v>
      </c>
      <c r="I214" s="2" t="s">
        <v>384</v>
      </c>
      <c r="J214" s="2" t="s">
        <v>22</v>
      </c>
      <c r="K214" s="2" t="s">
        <v>343</v>
      </c>
      <c r="L214" s="7">
        <v>-74.044993500000004</v>
      </c>
      <c r="M214" s="7">
        <v>4.6795622999999997</v>
      </c>
    </row>
    <row r="215" spans="1:14">
      <c r="A215" s="24">
        <v>215</v>
      </c>
      <c r="B215" s="5">
        <v>46087</v>
      </c>
      <c r="C215" s="5">
        <v>46090</v>
      </c>
      <c r="D215" s="30">
        <f t="shared" si="7"/>
        <v>3</v>
      </c>
      <c r="E215" s="5" t="s">
        <v>317</v>
      </c>
      <c r="F215" s="5" t="s">
        <v>604</v>
      </c>
      <c r="G215" s="53" t="s">
        <v>618</v>
      </c>
      <c r="H215" s="2" t="s">
        <v>25</v>
      </c>
      <c r="I215" s="2" t="s">
        <v>385</v>
      </c>
      <c r="J215" s="2" t="s">
        <v>22</v>
      </c>
      <c r="K215" s="2" t="s">
        <v>343</v>
      </c>
      <c r="L215" s="7">
        <v>-74.063054600000001</v>
      </c>
      <c r="M215" s="7">
        <v>4.6715228</v>
      </c>
    </row>
    <row r="216" spans="1:14">
      <c r="A216" s="24">
        <v>216</v>
      </c>
      <c r="B216" s="5">
        <v>46087</v>
      </c>
      <c r="C216" s="5">
        <v>46090</v>
      </c>
      <c r="D216" s="30">
        <f t="shared" si="7"/>
        <v>3</v>
      </c>
      <c r="E216" s="5" t="s">
        <v>317</v>
      </c>
      <c r="F216" s="5" t="s">
        <v>604</v>
      </c>
      <c r="G216" s="53" t="s">
        <v>618</v>
      </c>
      <c r="H216" s="2" t="s">
        <v>25</v>
      </c>
      <c r="I216" s="2" t="s">
        <v>388</v>
      </c>
      <c r="J216" s="2" t="s">
        <v>22</v>
      </c>
      <c r="K216" s="2" t="s">
        <v>343</v>
      </c>
      <c r="L216" s="7">
        <v>-74.098165899999998</v>
      </c>
      <c r="M216" s="7">
        <v>4.6743987999999996</v>
      </c>
    </row>
    <row r="217" spans="1:14">
      <c r="A217" s="24">
        <v>212</v>
      </c>
      <c r="B217" s="5">
        <v>46090</v>
      </c>
      <c r="C217" s="5">
        <v>46091</v>
      </c>
      <c r="D217" s="30">
        <f t="shared" si="7"/>
        <v>1</v>
      </c>
      <c r="E217" s="5" t="s">
        <v>254</v>
      </c>
      <c r="F217" s="5" t="s">
        <v>621</v>
      </c>
      <c r="G217" s="53" t="s">
        <v>605</v>
      </c>
      <c r="H217" s="2" t="s">
        <v>25</v>
      </c>
      <c r="I217" s="2" t="s">
        <v>810</v>
      </c>
      <c r="J217" s="2" t="s">
        <v>668</v>
      </c>
      <c r="K217" s="2" t="s">
        <v>669</v>
      </c>
      <c r="L217" s="7">
        <v>-75.590956160062404</v>
      </c>
      <c r="M217" s="7">
        <v>6.2321234939089303</v>
      </c>
    </row>
    <row r="218" spans="1:14">
      <c r="A218" s="24">
        <v>217</v>
      </c>
      <c r="B218" s="5">
        <v>46090</v>
      </c>
      <c r="C218" s="5">
        <v>46090</v>
      </c>
      <c r="D218" s="30">
        <f t="shared" si="7"/>
        <v>0</v>
      </c>
      <c r="E218" s="5" t="s">
        <v>317</v>
      </c>
      <c r="F218" s="5" t="s">
        <v>621</v>
      </c>
      <c r="G218" s="53" t="s">
        <v>605</v>
      </c>
      <c r="H218" s="2" t="s">
        <v>25</v>
      </c>
      <c r="I218" s="2" t="s">
        <v>811</v>
      </c>
      <c r="J218" s="2" t="s">
        <v>22</v>
      </c>
      <c r="K218" s="2" t="s">
        <v>393</v>
      </c>
      <c r="L218" s="7">
        <v>-74.0352636228139</v>
      </c>
      <c r="M218" s="7">
        <v>4.6880457167235798</v>
      </c>
    </row>
    <row r="219" spans="1:14">
      <c r="A219" s="24">
        <v>218</v>
      </c>
      <c r="B219" s="5">
        <v>46090</v>
      </c>
      <c r="C219" s="5">
        <v>46090</v>
      </c>
      <c r="D219" s="30">
        <f t="shared" si="7"/>
        <v>0</v>
      </c>
      <c r="E219" s="5" t="s">
        <v>317</v>
      </c>
      <c r="F219" s="5" t="s">
        <v>621</v>
      </c>
      <c r="G219" s="53" t="s">
        <v>618</v>
      </c>
      <c r="H219" s="2" t="s">
        <v>25</v>
      </c>
      <c r="I219" s="2" t="s">
        <v>413</v>
      </c>
      <c r="J219" s="2" t="s">
        <v>22</v>
      </c>
      <c r="K219" s="2" t="s">
        <v>393</v>
      </c>
      <c r="L219" s="7">
        <v>-74.078676400000006</v>
      </c>
      <c r="M219" s="7">
        <v>4.7000183</v>
      </c>
    </row>
    <row r="220" spans="1:14">
      <c r="A220" s="24">
        <v>219</v>
      </c>
      <c r="B220" s="5">
        <v>46091</v>
      </c>
      <c r="C220" s="5">
        <v>46091</v>
      </c>
      <c r="D220" s="30">
        <f t="shared" si="7"/>
        <v>0</v>
      </c>
      <c r="E220" s="5" t="s">
        <v>254</v>
      </c>
      <c r="F220" s="5" t="s">
        <v>621</v>
      </c>
      <c r="H220" s="2" t="s">
        <v>25</v>
      </c>
      <c r="I220" s="2" t="s">
        <v>812</v>
      </c>
      <c r="J220" s="2" t="s">
        <v>668</v>
      </c>
      <c r="K220" s="2" t="s">
        <v>669</v>
      </c>
      <c r="L220" s="7">
        <v>-75.595496542328902</v>
      </c>
      <c r="M220" s="7">
        <v>6.2318319668810203</v>
      </c>
    </row>
    <row r="221" spans="1:14">
      <c r="A221" s="24">
        <v>220</v>
      </c>
      <c r="B221" s="5">
        <v>46091</v>
      </c>
      <c r="C221" s="5">
        <v>46091</v>
      </c>
      <c r="D221" s="30">
        <f t="shared" si="7"/>
        <v>0</v>
      </c>
      <c r="E221" s="5" t="s">
        <v>317</v>
      </c>
      <c r="F221" s="5" t="s">
        <v>621</v>
      </c>
      <c r="G221" s="53" t="s">
        <v>605</v>
      </c>
      <c r="H221" s="2" t="s">
        <v>25</v>
      </c>
      <c r="I221" s="2" t="s">
        <v>813</v>
      </c>
      <c r="J221" s="2" t="s">
        <v>22</v>
      </c>
      <c r="K221" s="2" t="s">
        <v>325</v>
      </c>
      <c r="L221" s="7">
        <v>-74.1289740153466</v>
      </c>
      <c r="M221" s="7">
        <v>4.6811372952716699</v>
      </c>
    </row>
    <row r="222" spans="1:14">
      <c r="A222" s="24">
        <v>221</v>
      </c>
      <c r="B222" s="5">
        <v>46091</v>
      </c>
      <c r="C222" s="5">
        <v>46091</v>
      </c>
      <c r="D222" s="30">
        <f t="shared" si="7"/>
        <v>0</v>
      </c>
      <c r="E222" s="5" t="s">
        <v>317</v>
      </c>
      <c r="F222" s="5" t="s">
        <v>621</v>
      </c>
      <c r="G222" s="53" t="s">
        <v>618</v>
      </c>
      <c r="H222" s="2" t="s">
        <v>25</v>
      </c>
      <c r="I222" s="2" t="s">
        <v>392</v>
      </c>
      <c r="J222" s="2" t="s">
        <v>22</v>
      </c>
      <c r="K222" s="2" t="s">
        <v>393</v>
      </c>
      <c r="L222" s="7">
        <v>-74.0528347541876</v>
      </c>
      <c r="M222" s="7">
        <v>4.7565709118221804</v>
      </c>
    </row>
    <row r="223" spans="1:14">
      <c r="A223" s="24">
        <v>222</v>
      </c>
      <c r="B223" s="5">
        <v>46092</v>
      </c>
      <c r="C223" s="5">
        <v>46092</v>
      </c>
      <c r="D223" s="30">
        <f t="shared" si="7"/>
        <v>0</v>
      </c>
      <c r="E223" s="5" t="s">
        <v>254</v>
      </c>
      <c r="F223" s="5" t="s">
        <v>621</v>
      </c>
      <c r="G223" s="53" t="s">
        <v>605</v>
      </c>
      <c r="H223" s="2" t="s">
        <v>25</v>
      </c>
      <c r="I223" s="2" t="s">
        <v>814</v>
      </c>
      <c r="J223" s="2" t="s">
        <v>668</v>
      </c>
      <c r="K223" s="2" t="s">
        <v>669</v>
      </c>
      <c r="L223" s="7">
        <v>-75.586126215342006</v>
      </c>
      <c r="M223" s="7">
        <v>6.2413050964280199</v>
      </c>
    </row>
    <row r="224" spans="1:14">
      <c r="A224" s="24">
        <v>224</v>
      </c>
      <c r="B224" s="5">
        <v>46094</v>
      </c>
      <c r="C224" s="5">
        <v>46097</v>
      </c>
      <c r="D224" s="30">
        <f t="shared" si="7"/>
        <v>3</v>
      </c>
      <c r="E224" s="5" t="s">
        <v>317</v>
      </c>
      <c r="F224" s="5" t="s">
        <v>604</v>
      </c>
      <c r="G224" s="53" t="s">
        <v>618</v>
      </c>
      <c r="H224" s="2" t="s">
        <v>25</v>
      </c>
      <c r="I224" s="2" t="s">
        <v>395</v>
      </c>
      <c r="J224" s="2" t="s">
        <v>22</v>
      </c>
      <c r="K224" s="2" t="s">
        <v>343</v>
      </c>
      <c r="L224" s="7">
        <v>-74.058256999999998</v>
      </c>
      <c r="M224" s="7">
        <v>4.6669419000000003</v>
      </c>
    </row>
    <row r="225" spans="1:14">
      <c r="A225" s="24">
        <v>225</v>
      </c>
      <c r="B225" s="5">
        <v>46094</v>
      </c>
      <c r="C225" s="5">
        <v>46097</v>
      </c>
      <c r="D225" s="30">
        <f t="shared" si="7"/>
        <v>3</v>
      </c>
      <c r="E225" s="5" t="s">
        <v>317</v>
      </c>
      <c r="F225" s="5" t="s">
        <v>604</v>
      </c>
      <c r="G225" s="53" t="s">
        <v>618</v>
      </c>
      <c r="H225" s="2" t="s">
        <v>25</v>
      </c>
      <c r="I225" s="2" t="s">
        <v>397</v>
      </c>
      <c r="J225" s="2" t="s">
        <v>22</v>
      </c>
      <c r="K225" s="2" t="s">
        <v>343</v>
      </c>
      <c r="L225" s="7">
        <v>-74.059767699999995</v>
      </c>
      <c r="M225" s="7">
        <v>4.6558096999999998</v>
      </c>
    </row>
    <row r="226" spans="1:14">
      <c r="A226" s="24">
        <v>226</v>
      </c>
      <c r="B226" s="5">
        <v>46094</v>
      </c>
      <c r="C226" s="5">
        <v>46097</v>
      </c>
      <c r="D226" s="30">
        <f t="shared" si="7"/>
        <v>3</v>
      </c>
      <c r="E226" s="5" t="s">
        <v>317</v>
      </c>
      <c r="F226" s="5" t="s">
        <v>604</v>
      </c>
      <c r="G226" s="53" t="s">
        <v>618</v>
      </c>
      <c r="H226" s="2" t="s">
        <v>25</v>
      </c>
      <c r="I226" s="2" t="s">
        <v>399</v>
      </c>
      <c r="J226" s="2" t="s">
        <v>22</v>
      </c>
      <c r="K226" s="2" t="s">
        <v>343</v>
      </c>
      <c r="L226" s="7">
        <v>-74.047049000000001</v>
      </c>
      <c r="M226" s="7">
        <v>4.6829799999999997</v>
      </c>
    </row>
    <row r="227" spans="1:14">
      <c r="A227" s="24">
        <v>223</v>
      </c>
      <c r="B227" s="5">
        <v>46097</v>
      </c>
      <c r="C227" s="5">
        <v>46099</v>
      </c>
      <c r="D227" s="30">
        <f t="shared" si="7"/>
        <v>2</v>
      </c>
      <c r="E227" s="5" t="s">
        <v>254</v>
      </c>
      <c r="F227" s="5" t="s">
        <v>621</v>
      </c>
      <c r="H227" s="2" t="s">
        <v>25</v>
      </c>
      <c r="I227" s="2" t="s">
        <v>381</v>
      </c>
      <c r="J227" s="2" t="s">
        <v>22</v>
      </c>
      <c r="K227" s="2" t="s">
        <v>80</v>
      </c>
      <c r="L227" s="10">
        <v>-74.068346457170804</v>
      </c>
      <c r="M227" s="7">
        <v>4.6085297779889398</v>
      </c>
    </row>
    <row r="228" spans="1:14">
      <c r="A228" s="24">
        <v>227</v>
      </c>
      <c r="B228" s="5">
        <v>46097</v>
      </c>
      <c r="C228" s="5">
        <v>46097</v>
      </c>
      <c r="D228" s="30">
        <f t="shared" si="7"/>
        <v>0</v>
      </c>
      <c r="E228" s="5" t="s">
        <v>317</v>
      </c>
      <c r="F228" s="5" t="s">
        <v>621</v>
      </c>
      <c r="G228" s="53" t="s">
        <v>605</v>
      </c>
      <c r="H228" s="2" t="s">
        <v>25</v>
      </c>
      <c r="I228" s="2" t="s">
        <v>815</v>
      </c>
      <c r="J228" s="2" t="s">
        <v>816</v>
      </c>
      <c r="K228" s="2" t="s">
        <v>48</v>
      </c>
      <c r="L228" s="7">
        <v>-74.286720357670902</v>
      </c>
      <c r="M228" s="7">
        <v>4.7293933846133802</v>
      </c>
    </row>
    <row r="229" spans="1:14">
      <c r="A229" s="24">
        <v>228</v>
      </c>
      <c r="B229" s="5">
        <v>46097</v>
      </c>
      <c r="C229" s="5">
        <v>46097</v>
      </c>
      <c r="D229" s="30">
        <f t="shared" si="7"/>
        <v>0</v>
      </c>
      <c r="E229" s="5" t="s">
        <v>317</v>
      </c>
      <c r="F229" s="5" t="s">
        <v>604</v>
      </c>
      <c r="G229" s="53" t="s">
        <v>605</v>
      </c>
      <c r="H229" s="2" t="s">
        <v>25</v>
      </c>
      <c r="I229" s="2" t="s">
        <v>817</v>
      </c>
      <c r="J229" s="2" t="s">
        <v>818</v>
      </c>
      <c r="K229" s="2" t="s">
        <v>343</v>
      </c>
      <c r="L229" s="7">
        <v>-74.214877200000004</v>
      </c>
      <c r="M229" s="7">
        <v>4.5826561000000003</v>
      </c>
    </row>
    <row r="230" spans="1:14">
      <c r="A230" s="24">
        <v>229</v>
      </c>
      <c r="B230" s="5">
        <v>46097</v>
      </c>
      <c r="C230" s="5">
        <v>46097</v>
      </c>
      <c r="D230" s="30">
        <f t="shared" si="7"/>
        <v>0</v>
      </c>
      <c r="E230" s="5" t="s">
        <v>317</v>
      </c>
      <c r="F230" s="5" t="s">
        <v>621</v>
      </c>
      <c r="G230" s="53" t="s">
        <v>605</v>
      </c>
      <c r="H230" s="2" t="s">
        <v>25</v>
      </c>
      <c r="I230" s="2" t="s">
        <v>819</v>
      </c>
      <c r="J230" s="2" t="s">
        <v>22</v>
      </c>
      <c r="K230" s="2" t="s">
        <v>569</v>
      </c>
      <c r="L230" s="7">
        <v>-74.034752238632095</v>
      </c>
      <c r="M230" s="7">
        <v>4.76049942411227</v>
      </c>
    </row>
    <row r="231" spans="1:14">
      <c r="A231" s="24">
        <v>230</v>
      </c>
      <c r="B231" s="5">
        <v>46097</v>
      </c>
      <c r="C231" s="5">
        <v>46097</v>
      </c>
      <c r="D231" s="30">
        <f t="shared" si="7"/>
        <v>0</v>
      </c>
      <c r="E231" s="5" t="s">
        <v>317</v>
      </c>
      <c r="F231" s="5" t="s">
        <v>621</v>
      </c>
      <c r="G231" s="53" t="s">
        <v>605</v>
      </c>
      <c r="H231" s="2" t="s">
        <v>25</v>
      </c>
      <c r="I231" s="2" t="s">
        <v>820</v>
      </c>
      <c r="J231" s="2" t="s">
        <v>22</v>
      </c>
      <c r="K231" s="2" t="s">
        <v>325</v>
      </c>
      <c r="L231" s="7">
        <v>-74.093119599999994</v>
      </c>
      <c r="M231" s="7">
        <v>4.6854224000000002</v>
      </c>
    </row>
    <row r="232" spans="1:14">
      <c r="A232" s="24">
        <v>231</v>
      </c>
      <c r="B232" s="5">
        <v>46097</v>
      </c>
      <c r="C232" s="5">
        <v>46097</v>
      </c>
      <c r="D232" s="30">
        <f t="shared" si="7"/>
        <v>0</v>
      </c>
      <c r="E232" s="5" t="s">
        <v>317</v>
      </c>
      <c r="F232" s="5" t="s">
        <v>621</v>
      </c>
      <c r="G232" s="53" t="s">
        <v>618</v>
      </c>
      <c r="H232" s="2" t="s">
        <v>25</v>
      </c>
      <c r="I232" s="2" t="s">
        <v>416</v>
      </c>
      <c r="J232" s="2" t="s">
        <v>22</v>
      </c>
      <c r="K232" s="2" t="s">
        <v>325</v>
      </c>
      <c r="L232" s="7">
        <v>-74.130239200000005</v>
      </c>
      <c r="M232" s="7">
        <v>4.6864815000000002</v>
      </c>
    </row>
    <row r="233" spans="1:14">
      <c r="A233" s="24">
        <v>232</v>
      </c>
      <c r="B233" s="5">
        <v>46097</v>
      </c>
      <c r="D233" s="30">
        <f t="shared" si="7"/>
        <v>-46097</v>
      </c>
      <c r="E233" s="5" t="s">
        <v>254</v>
      </c>
      <c r="F233" s="5" t="s">
        <v>621</v>
      </c>
      <c r="G233" s="53" t="s">
        <v>605</v>
      </c>
      <c r="H233" s="2" t="s">
        <v>169</v>
      </c>
      <c r="I233" s="2" t="s">
        <v>821</v>
      </c>
      <c r="J233" s="2" t="s">
        <v>668</v>
      </c>
      <c r="K233" s="2" t="s">
        <v>669</v>
      </c>
      <c r="L233" s="7">
        <v>-75.586061842328903</v>
      </c>
      <c r="M233" s="7">
        <v>6.2412304397118303</v>
      </c>
      <c r="N233" s="51" t="s">
        <v>808</v>
      </c>
    </row>
    <row r="234" spans="1:14">
      <c r="A234" s="24">
        <v>233</v>
      </c>
      <c r="B234" s="5">
        <v>46098</v>
      </c>
      <c r="C234" s="5">
        <v>46098</v>
      </c>
      <c r="D234" s="30">
        <f t="shared" si="7"/>
        <v>0</v>
      </c>
      <c r="E234" s="5" t="s">
        <v>254</v>
      </c>
      <c r="F234" s="5" t="s">
        <v>621</v>
      </c>
      <c r="G234" s="53" t="s">
        <v>605</v>
      </c>
      <c r="H234" s="2" t="s">
        <v>25</v>
      </c>
      <c r="I234" s="2" t="s">
        <v>822</v>
      </c>
      <c r="J234" s="2" t="s">
        <v>668</v>
      </c>
      <c r="K234" s="2" t="s">
        <v>669</v>
      </c>
      <c r="L234" s="7">
        <v>-75.620854757670998</v>
      </c>
      <c r="M234" s="7">
        <v>6.2513457309291596</v>
      </c>
    </row>
    <row r="235" spans="1:14">
      <c r="A235" s="24">
        <v>234</v>
      </c>
      <c r="B235" s="5">
        <v>46098</v>
      </c>
      <c r="C235" s="5">
        <v>46099</v>
      </c>
      <c r="D235" s="30">
        <f t="shared" si="7"/>
        <v>1</v>
      </c>
      <c r="E235" s="5" t="s">
        <v>317</v>
      </c>
      <c r="F235" s="5" t="s">
        <v>604</v>
      </c>
      <c r="G235" s="53" t="s">
        <v>618</v>
      </c>
      <c r="H235" s="2" t="s">
        <v>25</v>
      </c>
      <c r="I235" s="2" t="s">
        <v>400</v>
      </c>
      <c r="J235" s="2" t="s">
        <v>22</v>
      </c>
      <c r="K235" s="2" t="s">
        <v>343</v>
      </c>
      <c r="L235" s="7">
        <v>-74.048611399999999</v>
      </c>
      <c r="M235" s="7">
        <v>4.6813878000000004</v>
      </c>
    </row>
    <row r="236" spans="1:14">
      <c r="A236" s="24">
        <v>235</v>
      </c>
      <c r="B236" s="5">
        <v>46098</v>
      </c>
      <c r="C236" s="5">
        <v>46099</v>
      </c>
      <c r="D236" s="30">
        <f t="shared" si="7"/>
        <v>1</v>
      </c>
      <c r="E236" s="5" t="s">
        <v>317</v>
      </c>
      <c r="F236" s="5" t="s">
        <v>604</v>
      </c>
      <c r="G236" s="53" t="s">
        <v>618</v>
      </c>
      <c r="H236" s="2" t="s">
        <v>25</v>
      </c>
      <c r="I236" s="2" t="s">
        <v>402</v>
      </c>
      <c r="J236" s="2" t="s">
        <v>22</v>
      </c>
      <c r="K236" s="2" t="s">
        <v>343</v>
      </c>
      <c r="L236" s="7">
        <v>-74.046850699999993</v>
      </c>
      <c r="M236" s="7">
        <v>4.6841600000000003</v>
      </c>
    </row>
    <row r="237" spans="1:14">
      <c r="A237" s="24">
        <v>236</v>
      </c>
      <c r="B237" s="5">
        <v>46098</v>
      </c>
      <c r="C237" s="5">
        <v>46098</v>
      </c>
      <c r="D237" s="30">
        <f t="shared" si="7"/>
        <v>0</v>
      </c>
      <c r="E237" s="5" t="s">
        <v>317</v>
      </c>
      <c r="F237" s="5" t="s">
        <v>604</v>
      </c>
      <c r="G237" s="53" t="s">
        <v>605</v>
      </c>
      <c r="H237" s="2" t="s">
        <v>25</v>
      </c>
      <c r="I237" s="2" t="s">
        <v>823</v>
      </c>
      <c r="J237" s="2" t="s">
        <v>22</v>
      </c>
      <c r="K237" s="2" t="s">
        <v>343</v>
      </c>
      <c r="L237" s="7">
        <v>-74.077870500000003</v>
      </c>
      <c r="M237" s="7">
        <v>4.6658970000000002</v>
      </c>
    </row>
    <row r="238" spans="1:14">
      <c r="A238" s="24">
        <v>237</v>
      </c>
      <c r="B238" s="5">
        <v>46098</v>
      </c>
      <c r="C238" s="5">
        <v>46099</v>
      </c>
      <c r="D238" s="30">
        <f t="shared" si="7"/>
        <v>1</v>
      </c>
      <c r="E238" s="5" t="s">
        <v>317</v>
      </c>
      <c r="F238" s="5" t="s">
        <v>604</v>
      </c>
      <c r="G238" s="53" t="s">
        <v>618</v>
      </c>
      <c r="H238" s="2" t="s">
        <v>25</v>
      </c>
      <c r="I238" s="2" t="s">
        <v>403</v>
      </c>
      <c r="J238" s="2" t="s">
        <v>22</v>
      </c>
      <c r="K238" s="2" t="s">
        <v>343</v>
      </c>
      <c r="L238" s="7">
        <v>-74.060502400000004</v>
      </c>
      <c r="M238" s="7">
        <v>4.6552715999999998</v>
      </c>
    </row>
    <row r="239" spans="1:14">
      <c r="A239" s="24">
        <v>238</v>
      </c>
      <c r="B239" s="5">
        <v>46098</v>
      </c>
      <c r="C239" s="5">
        <v>46098</v>
      </c>
      <c r="D239" s="30">
        <f t="shared" si="7"/>
        <v>0</v>
      </c>
      <c r="E239" s="5" t="s">
        <v>317</v>
      </c>
      <c r="F239" s="5" t="s">
        <v>604</v>
      </c>
      <c r="G239" s="53" t="s">
        <v>605</v>
      </c>
      <c r="H239" s="2" t="s">
        <v>25</v>
      </c>
      <c r="I239" s="2" t="s">
        <v>824</v>
      </c>
      <c r="J239" s="2" t="s">
        <v>22</v>
      </c>
      <c r="K239" s="2" t="s">
        <v>343</v>
      </c>
      <c r="L239" s="7">
        <v>-74.155834999999996</v>
      </c>
      <c r="M239" s="7">
        <v>4.5807326000000002</v>
      </c>
    </row>
    <row r="240" spans="1:14">
      <c r="A240" s="24">
        <v>239</v>
      </c>
      <c r="B240" s="5">
        <v>46098</v>
      </c>
      <c r="C240" s="5">
        <v>46099</v>
      </c>
      <c r="D240" s="30">
        <f t="shared" si="7"/>
        <v>1</v>
      </c>
      <c r="E240" s="5" t="s">
        <v>254</v>
      </c>
      <c r="F240" s="5" t="s">
        <v>604</v>
      </c>
      <c r="G240" s="53" t="s">
        <v>605</v>
      </c>
      <c r="H240" s="2" t="s">
        <v>25</v>
      </c>
      <c r="I240" s="2" t="s">
        <v>825</v>
      </c>
      <c r="J240" s="2" t="s">
        <v>22</v>
      </c>
      <c r="K240" s="2" t="s">
        <v>38</v>
      </c>
      <c r="L240" s="7">
        <v>-74.054789405446201</v>
      </c>
      <c r="M240" s="7">
        <v>4.6513882232004899</v>
      </c>
    </row>
    <row r="241" spans="1:14">
      <c r="A241" s="24">
        <v>240</v>
      </c>
      <c r="B241" s="5">
        <v>46098</v>
      </c>
      <c r="C241" s="5">
        <v>46099</v>
      </c>
      <c r="D241" s="30">
        <f t="shared" si="7"/>
        <v>1</v>
      </c>
      <c r="E241" s="5" t="s">
        <v>254</v>
      </c>
      <c r="F241" s="5" t="s">
        <v>621</v>
      </c>
      <c r="G241" s="54" t="s">
        <v>618</v>
      </c>
      <c r="H241" s="2" t="s">
        <v>25</v>
      </c>
      <c r="I241" s="2" t="s">
        <v>826</v>
      </c>
      <c r="J241" s="2" t="s">
        <v>22</v>
      </c>
      <c r="K241" s="2" t="s">
        <v>38</v>
      </c>
      <c r="L241" s="7">
        <v>-74.062830742329893</v>
      </c>
      <c r="M241" s="7">
        <v>4.6719092842305203</v>
      </c>
    </row>
    <row r="242" spans="1:14">
      <c r="A242" s="24">
        <v>241</v>
      </c>
      <c r="B242" s="5">
        <v>46098</v>
      </c>
      <c r="C242" s="5">
        <v>46099</v>
      </c>
      <c r="D242" s="30">
        <f t="shared" si="7"/>
        <v>1</v>
      </c>
      <c r="E242" s="5" t="s">
        <v>254</v>
      </c>
      <c r="F242" s="5" t="s">
        <v>621</v>
      </c>
      <c r="G242" s="53" t="s">
        <v>605</v>
      </c>
      <c r="H242" s="2" t="s">
        <v>25</v>
      </c>
      <c r="I242" s="2" t="s">
        <v>827</v>
      </c>
      <c r="J242" s="2" t="s">
        <v>22</v>
      </c>
      <c r="K242" s="2" t="s">
        <v>38</v>
      </c>
      <c r="L242" s="7">
        <v>-74.074145639396605</v>
      </c>
      <c r="M242" s="7">
        <v>4.6435502669405704</v>
      </c>
    </row>
    <row r="243" spans="1:14">
      <c r="A243" s="24">
        <v>242</v>
      </c>
      <c r="B243" s="5">
        <v>46100</v>
      </c>
      <c r="C243" s="5">
        <v>46100</v>
      </c>
      <c r="D243" s="30">
        <f t="shared" ref="D243:D274" si="8">C243-B243</f>
        <v>0</v>
      </c>
      <c r="E243" s="5" t="s">
        <v>317</v>
      </c>
      <c r="F243" s="5" t="s">
        <v>621</v>
      </c>
      <c r="G243" s="53" t="s">
        <v>605</v>
      </c>
      <c r="H243" s="2" t="s">
        <v>25</v>
      </c>
      <c r="I243" s="2" t="s">
        <v>828</v>
      </c>
      <c r="J243" s="2" t="s">
        <v>22</v>
      </c>
      <c r="K243" s="2" t="s">
        <v>325</v>
      </c>
      <c r="L243" s="7">
        <v>-74.158680000000004</v>
      </c>
      <c r="M243" s="7">
        <v>4.6951415000000001</v>
      </c>
    </row>
    <row r="244" spans="1:14">
      <c r="A244" s="24">
        <v>243</v>
      </c>
      <c r="B244" s="5">
        <v>46100</v>
      </c>
      <c r="C244" s="5">
        <v>46100</v>
      </c>
      <c r="D244" s="30">
        <f t="shared" si="8"/>
        <v>0</v>
      </c>
      <c r="E244" s="5" t="s">
        <v>317</v>
      </c>
      <c r="F244" s="5" t="s">
        <v>621</v>
      </c>
      <c r="G244" s="53" t="s">
        <v>605</v>
      </c>
      <c r="H244" s="2" t="s">
        <v>25</v>
      </c>
      <c r="I244" s="2" t="s">
        <v>829</v>
      </c>
      <c r="J244" s="2" t="s">
        <v>22</v>
      </c>
      <c r="K244" s="2" t="s">
        <v>325</v>
      </c>
      <c r="L244" s="7">
        <v>-74.086277800000005</v>
      </c>
      <c r="M244" s="7">
        <v>4.6917201644313202</v>
      </c>
    </row>
    <row r="245" spans="1:14">
      <c r="A245" s="24">
        <v>244</v>
      </c>
      <c r="B245" s="5">
        <v>46100</v>
      </c>
      <c r="C245" s="5">
        <v>46100</v>
      </c>
      <c r="D245" s="30">
        <f t="shared" si="8"/>
        <v>0</v>
      </c>
      <c r="E245" s="5" t="s">
        <v>317</v>
      </c>
      <c r="F245" s="5" t="s">
        <v>621</v>
      </c>
      <c r="G245" s="53" t="s">
        <v>605</v>
      </c>
      <c r="H245" s="2" t="s">
        <v>25</v>
      </c>
      <c r="I245" s="2" t="s">
        <v>830</v>
      </c>
      <c r="J245" s="2" t="s">
        <v>22</v>
      </c>
      <c r="K245" s="2" t="s">
        <v>325</v>
      </c>
      <c r="L245" s="7">
        <v>-74.1403781711645</v>
      </c>
      <c r="M245" s="7">
        <v>4.6772991862131104</v>
      </c>
    </row>
    <row r="246" spans="1:14">
      <c r="A246" s="24">
        <v>245</v>
      </c>
      <c r="B246" s="5">
        <v>46100</v>
      </c>
      <c r="C246" s="5">
        <v>46100</v>
      </c>
      <c r="D246" s="30">
        <f t="shared" si="8"/>
        <v>0</v>
      </c>
      <c r="E246" s="5" t="s">
        <v>317</v>
      </c>
      <c r="F246" s="5" t="s">
        <v>621</v>
      </c>
      <c r="G246" s="53" t="s">
        <v>605</v>
      </c>
      <c r="H246" s="2" t="s">
        <v>25</v>
      </c>
      <c r="I246" s="2" t="s">
        <v>831</v>
      </c>
      <c r="J246" s="2" t="s">
        <v>22</v>
      </c>
      <c r="K246" s="2" t="s">
        <v>325</v>
      </c>
      <c r="L246" s="7">
        <v>-74.138111100000003</v>
      </c>
      <c r="M246" s="7">
        <v>4.6789316723271597</v>
      </c>
    </row>
    <row r="247" spans="1:14">
      <c r="A247" s="24">
        <v>246</v>
      </c>
      <c r="B247" s="5">
        <v>46100</v>
      </c>
      <c r="C247" s="5">
        <v>46100</v>
      </c>
      <c r="D247" s="30">
        <f t="shared" si="8"/>
        <v>0</v>
      </c>
      <c r="E247" s="5" t="s">
        <v>317</v>
      </c>
      <c r="F247" s="5" t="s">
        <v>621</v>
      </c>
      <c r="G247" s="53" t="s">
        <v>605</v>
      </c>
      <c r="H247" s="2" t="s">
        <v>25</v>
      </c>
      <c r="I247" s="2" t="s">
        <v>702</v>
      </c>
      <c r="J247" s="2" t="s">
        <v>22</v>
      </c>
      <c r="K247" s="2" t="s">
        <v>325</v>
      </c>
      <c r="L247" s="7">
        <v>-74.141054632196003</v>
      </c>
      <c r="M247" s="7">
        <v>4.6765310218165501</v>
      </c>
    </row>
    <row r="248" spans="1:14">
      <c r="A248" s="24">
        <v>247</v>
      </c>
      <c r="B248" s="5">
        <v>46100</v>
      </c>
      <c r="C248" s="5">
        <v>46101</v>
      </c>
      <c r="D248" s="30">
        <f t="shared" si="8"/>
        <v>1</v>
      </c>
      <c r="E248" s="5" t="s">
        <v>317</v>
      </c>
      <c r="F248" s="5" t="s">
        <v>621</v>
      </c>
      <c r="G248" s="53" t="s">
        <v>605</v>
      </c>
      <c r="H248" s="2" t="s">
        <v>25</v>
      </c>
      <c r="I248" s="2" t="s">
        <v>832</v>
      </c>
      <c r="J248" s="2" t="s">
        <v>22</v>
      </c>
      <c r="K248" s="2" t="s">
        <v>325</v>
      </c>
      <c r="L248" s="7">
        <v>-74.088053159519305</v>
      </c>
      <c r="M248" s="7">
        <v>4.6755326274678604</v>
      </c>
      <c r="N248" s="51" t="s">
        <v>833</v>
      </c>
    </row>
    <row r="249" spans="1:14">
      <c r="A249" s="24">
        <v>248</v>
      </c>
      <c r="B249" s="5">
        <v>46101</v>
      </c>
      <c r="C249" s="5">
        <v>46101</v>
      </c>
      <c r="D249" s="30">
        <f t="shared" si="8"/>
        <v>0</v>
      </c>
      <c r="E249" s="5" t="s">
        <v>254</v>
      </c>
      <c r="F249" s="5" t="s">
        <v>621</v>
      </c>
      <c r="G249" s="54" t="s">
        <v>834</v>
      </c>
      <c r="H249" s="2" t="s">
        <v>25</v>
      </c>
      <c r="I249" s="2" t="s">
        <v>406</v>
      </c>
      <c r="J249" s="2" t="s">
        <v>22</v>
      </c>
      <c r="K249" s="2" t="s">
        <v>38</v>
      </c>
      <c r="L249" s="7">
        <v>-74.070137585259005</v>
      </c>
      <c r="M249" s="7">
        <v>4.6582231335587503</v>
      </c>
    </row>
    <row r="250" spans="1:14">
      <c r="A250" s="24">
        <v>249</v>
      </c>
      <c r="B250" s="5">
        <v>46101</v>
      </c>
      <c r="C250" s="5">
        <v>46101</v>
      </c>
      <c r="D250" s="30">
        <f t="shared" si="8"/>
        <v>0</v>
      </c>
      <c r="E250" s="5" t="s">
        <v>317</v>
      </c>
      <c r="F250" s="5" t="s">
        <v>621</v>
      </c>
      <c r="G250" s="53" t="s">
        <v>605</v>
      </c>
      <c r="H250" s="2" t="s">
        <v>25</v>
      </c>
      <c r="I250" s="2" t="s">
        <v>835</v>
      </c>
      <c r="J250" s="2" t="s">
        <v>22</v>
      </c>
      <c r="K250" s="2" t="s">
        <v>569</v>
      </c>
      <c r="L250" s="7">
        <v>-74.074985803696805</v>
      </c>
      <c r="M250" s="7">
        <v>4.6913283644613202</v>
      </c>
    </row>
    <row r="251" spans="1:14">
      <c r="A251" s="24">
        <v>250</v>
      </c>
      <c r="B251" s="5">
        <v>46101</v>
      </c>
      <c r="C251" s="5">
        <v>46105</v>
      </c>
      <c r="D251" s="30">
        <f t="shared" si="8"/>
        <v>4</v>
      </c>
      <c r="E251" s="5" t="s">
        <v>254</v>
      </c>
      <c r="F251" s="5" t="s">
        <v>621</v>
      </c>
      <c r="G251" s="53" t="s">
        <v>605</v>
      </c>
      <c r="H251" s="2" t="s">
        <v>25</v>
      </c>
      <c r="I251" s="2" t="s">
        <v>836</v>
      </c>
      <c r="J251" s="2" t="s">
        <v>668</v>
      </c>
      <c r="K251" s="2" t="s">
        <v>669</v>
      </c>
      <c r="L251" s="7">
        <v>-75.601553553973801</v>
      </c>
      <c r="M251" s="7">
        <v>6.2389839866039196</v>
      </c>
    </row>
    <row r="252" spans="1:14">
      <c r="A252" s="24">
        <v>251</v>
      </c>
      <c r="B252" s="5">
        <v>46101</v>
      </c>
      <c r="C252" s="5">
        <v>46105</v>
      </c>
      <c r="D252" s="30">
        <f t="shared" si="8"/>
        <v>4</v>
      </c>
      <c r="E252" s="5" t="s">
        <v>254</v>
      </c>
      <c r="F252" s="5" t="s">
        <v>621</v>
      </c>
      <c r="G252" s="53" t="s">
        <v>605</v>
      </c>
      <c r="H252" s="2" t="s">
        <v>25</v>
      </c>
      <c r="I252" s="2" t="s">
        <v>837</v>
      </c>
      <c r="J252" s="2" t="s">
        <v>668</v>
      </c>
      <c r="K252" s="2" t="s">
        <v>669</v>
      </c>
      <c r="L252" s="7">
        <v>-75.596921859190303</v>
      </c>
      <c r="M252" s="7">
        <v>6.2321517629099503</v>
      </c>
    </row>
    <row r="253" spans="1:14">
      <c r="A253" s="24">
        <v>252</v>
      </c>
      <c r="B253" s="5">
        <v>46101</v>
      </c>
      <c r="C253" s="5">
        <v>46105</v>
      </c>
      <c r="D253" s="30">
        <f t="shared" si="8"/>
        <v>4</v>
      </c>
      <c r="E253" s="5" t="s">
        <v>254</v>
      </c>
      <c r="F253" s="5" t="s">
        <v>621</v>
      </c>
      <c r="G253" s="53" t="s">
        <v>605</v>
      </c>
      <c r="H253" s="2" t="s">
        <v>25</v>
      </c>
      <c r="I253" s="2" t="s">
        <v>838</v>
      </c>
      <c r="J253" s="2" t="s">
        <v>668</v>
      </c>
      <c r="K253" s="2" t="s">
        <v>669</v>
      </c>
      <c r="L253" s="7">
        <v>-75.587583651151405</v>
      </c>
      <c r="M253" s="7">
        <v>6.1718280815869004</v>
      </c>
    </row>
    <row r="254" spans="1:14">
      <c r="A254" s="24">
        <v>253</v>
      </c>
      <c r="B254" s="5">
        <v>46105</v>
      </c>
      <c r="C254" s="5">
        <v>46105</v>
      </c>
      <c r="D254" s="30">
        <f t="shared" si="8"/>
        <v>0</v>
      </c>
      <c r="E254" s="5" t="s">
        <v>317</v>
      </c>
      <c r="F254" s="5" t="s">
        <v>621</v>
      </c>
      <c r="G254" s="53" t="s">
        <v>605</v>
      </c>
      <c r="H254" s="2" t="s">
        <v>25</v>
      </c>
      <c r="I254" s="2" t="s">
        <v>839</v>
      </c>
      <c r="J254" s="2" t="s">
        <v>22</v>
      </c>
      <c r="K254" s="2" t="s">
        <v>393</v>
      </c>
      <c r="L254" s="7">
        <v>-74.071005863723499</v>
      </c>
      <c r="M254" s="7">
        <v>4.71146728000212</v>
      </c>
    </row>
    <row r="255" spans="1:14">
      <c r="A255" s="24">
        <v>254</v>
      </c>
      <c r="B255" s="5">
        <v>46105</v>
      </c>
      <c r="C255" s="5">
        <v>46105</v>
      </c>
      <c r="D255" s="30">
        <f t="shared" si="8"/>
        <v>0</v>
      </c>
      <c r="E255" s="5" t="s">
        <v>317</v>
      </c>
      <c r="F255" s="5" t="s">
        <v>621</v>
      </c>
      <c r="G255" s="53" t="s">
        <v>605</v>
      </c>
      <c r="H255" s="2" t="s">
        <v>25</v>
      </c>
      <c r="I255" s="2" t="s">
        <v>840</v>
      </c>
      <c r="J255" s="2" t="s">
        <v>22</v>
      </c>
      <c r="K255" s="2" t="s">
        <v>569</v>
      </c>
      <c r="L255" s="7">
        <v>-74.066648999999899</v>
      </c>
      <c r="M255" s="7">
        <v>4.613804</v>
      </c>
    </row>
    <row r="256" spans="1:14">
      <c r="A256" s="24">
        <v>255</v>
      </c>
      <c r="B256" s="5">
        <v>46105</v>
      </c>
      <c r="C256" s="5">
        <v>46105</v>
      </c>
      <c r="D256" s="30">
        <f t="shared" si="8"/>
        <v>0</v>
      </c>
      <c r="E256" s="5" t="s">
        <v>317</v>
      </c>
      <c r="F256" s="5" t="s">
        <v>621</v>
      </c>
      <c r="G256" s="53" t="s">
        <v>605</v>
      </c>
      <c r="H256" s="2" t="s">
        <v>25</v>
      </c>
      <c r="I256" s="2" t="s">
        <v>841</v>
      </c>
      <c r="J256" s="2" t="s">
        <v>22</v>
      </c>
      <c r="K256" s="2" t="s">
        <v>569</v>
      </c>
      <c r="L256" s="7">
        <v>-74.148516007033194</v>
      </c>
      <c r="M256" s="7">
        <v>4.5950264790561297</v>
      </c>
    </row>
    <row r="257" spans="1:14">
      <c r="A257" s="24">
        <v>256</v>
      </c>
      <c r="B257" s="5">
        <v>46105</v>
      </c>
      <c r="C257" s="5">
        <v>46105</v>
      </c>
      <c r="D257" s="30">
        <f t="shared" si="8"/>
        <v>0</v>
      </c>
      <c r="E257" s="5" t="s">
        <v>254</v>
      </c>
      <c r="F257" s="5" t="s">
        <v>621</v>
      </c>
      <c r="G257" s="53" t="s">
        <v>605</v>
      </c>
      <c r="H257" s="2" t="s">
        <v>25</v>
      </c>
      <c r="I257" s="2" t="s">
        <v>842</v>
      </c>
      <c r="J257" s="2" t="s">
        <v>843</v>
      </c>
      <c r="K257" s="2" t="s">
        <v>80</v>
      </c>
      <c r="L257" s="7">
        <v>-75.221670127333695</v>
      </c>
      <c r="M257" s="7">
        <v>4.4398465811128096</v>
      </c>
    </row>
    <row r="258" spans="1:14">
      <c r="A258" s="24">
        <v>257</v>
      </c>
      <c r="B258" s="5">
        <v>46105</v>
      </c>
      <c r="C258" s="5">
        <v>46105</v>
      </c>
      <c r="D258" s="30">
        <f t="shared" si="8"/>
        <v>0</v>
      </c>
      <c r="E258" s="5" t="s">
        <v>254</v>
      </c>
      <c r="F258" s="5" t="s">
        <v>621</v>
      </c>
      <c r="G258" s="53" t="s">
        <v>618</v>
      </c>
      <c r="H258" s="2" t="s">
        <v>25</v>
      </c>
      <c r="I258" s="2" t="s">
        <v>409</v>
      </c>
      <c r="J258" s="2" t="s">
        <v>22</v>
      </c>
      <c r="K258" s="2" t="s">
        <v>80</v>
      </c>
      <c r="L258" s="7">
        <v>-74.101045900000003</v>
      </c>
      <c r="M258" s="7">
        <v>4.5988690999999999</v>
      </c>
    </row>
    <row r="259" spans="1:14">
      <c r="A259" s="24">
        <v>258</v>
      </c>
      <c r="B259" s="5">
        <v>46106</v>
      </c>
      <c r="C259" s="5">
        <v>46106</v>
      </c>
      <c r="D259" s="30">
        <f t="shared" si="8"/>
        <v>0</v>
      </c>
      <c r="E259" s="5" t="s">
        <v>254</v>
      </c>
      <c r="F259" s="5" t="s">
        <v>621</v>
      </c>
      <c r="G259" s="53" t="s">
        <v>605</v>
      </c>
      <c r="H259" s="2" t="s">
        <v>25</v>
      </c>
      <c r="I259" s="2" t="s">
        <v>844</v>
      </c>
      <c r="J259" s="2" t="s">
        <v>22</v>
      </c>
      <c r="K259" s="2" t="s">
        <v>33</v>
      </c>
      <c r="L259" s="7">
        <v>-74.055266000000003</v>
      </c>
      <c r="M259" s="7">
        <v>4.7007496</v>
      </c>
    </row>
    <row r="260" spans="1:14">
      <c r="A260" s="24">
        <v>259</v>
      </c>
      <c r="B260" s="5">
        <v>46106</v>
      </c>
      <c r="C260" s="5">
        <v>46107</v>
      </c>
      <c r="D260" s="30">
        <f t="shared" si="8"/>
        <v>1</v>
      </c>
      <c r="E260" s="5" t="s">
        <v>317</v>
      </c>
      <c r="F260" s="5" t="s">
        <v>604</v>
      </c>
      <c r="G260" s="53" t="s">
        <v>618</v>
      </c>
      <c r="H260" s="2" t="s">
        <v>25</v>
      </c>
      <c r="I260" s="2" t="s">
        <v>423</v>
      </c>
      <c r="J260" s="2" t="s">
        <v>22</v>
      </c>
      <c r="K260" s="2" t="s">
        <v>343</v>
      </c>
      <c r="L260" s="7">
        <v>-73.969371761149006</v>
      </c>
      <c r="M260" s="7">
        <v>4.7199665822796302</v>
      </c>
      <c r="N260" s="51" t="s">
        <v>845</v>
      </c>
    </row>
    <row r="261" spans="1:14" s="73" customFormat="1">
      <c r="A261" s="66">
        <v>261</v>
      </c>
      <c r="B261" s="67">
        <v>46108</v>
      </c>
      <c r="C261" s="67">
        <v>46108</v>
      </c>
      <c r="D261" s="68">
        <f t="shared" si="8"/>
        <v>0</v>
      </c>
      <c r="E261" s="67" t="s">
        <v>317</v>
      </c>
      <c r="F261" s="67" t="s">
        <v>621</v>
      </c>
      <c r="G261" s="69" t="s">
        <v>618</v>
      </c>
      <c r="H261" s="70" t="s">
        <v>25</v>
      </c>
      <c r="I261" s="70" t="s">
        <v>846</v>
      </c>
      <c r="J261" s="70" t="s">
        <v>22</v>
      </c>
      <c r="K261" s="70" t="s">
        <v>325</v>
      </c>
      <c r="L261" s="71">
        <v>-74.089434999999995</v>
      </c>
      <c r="M261" s="71">
        <v>4.6817803069621498</v>
      </c>
      <c r="N261" s="72" t="s">
        <v>847</v>
      </c>
    </row>
    <row r="262" spans="1:14">
      <c r="A262" s="24">
        <v>262</v>
      </c>
      <c r="B262" s="5">
        <v>46108</v>
      </c>
      <c r="C262" s="5">
        <v>46108</v>
      </c>
      <c r="D262" s="30">
        <f t="shared" si="8"/>
        <v>0</v>
      </c>
      <c r="E262" s="5" t="s">
        <v>317</v>
      </c>
      <c r="F262" s="5" t="s">
        <v>621</v>
      </c>
      <c r="G262" s="53" t="s">
        <v>605</v>
      </c>
      <c r="H262" s="2" t="s">
        <v>25</v>
      </c>
      <c r="I262" s="2" t="s">
        <v>848</v>
      </c>
      <c r="J262" s="2" t="s">
        <v>22</v>
      </c>
      <c r="K262" s="2" t="s">
        <v>325</v>
      </c>
      <c r="L262" s="7">
        <v>-74.127360768959704</v>
      </c>
      <c r="M262" s="7">
        <v>4.5619553475347896</v>
      </c>
      <c r="N262" s="51" t="s">
        <v>847</v>
      </c>
    </row>
    <row r="263" spans="1:14">
      <c r="A263" s="24">
        <v>263</v>
      </c>
      <c r="B263" s="5">
        <v>46108</v>
      </c>
      <c r="C263" s="5">
        <v>46108</v>
      </c>
      <c r="D263" s="30">
        <f t="shared" si="8"/>
        <v>0</v>
      </c>
      <c r="E263" s="5" t="s">
        <v>317</v>
      </c>
      <c r="F263" s="5" t="s">
        <v>621</v>
      </c>
      <c r="G263" s="53" t="s">
        <v>618</v>
      </c>
      <c r="H263" s="2" t="s">
        <v>25</v>
      </c>
      <c r="I263" s="2" t="s">
        <v>849</v>
      </c>
      <c r="J263" s="2" t="s">
        <v>22</v>
      </c>
      <c r="K263" s="2" t="s">
        <v>393</v>
      </c>
      <c r="L263" s="7">
        <v>-74.077307392807697</v>
      </c>
      <c r="M263" s="7">
        <v>4.6212959109214298</v>
      </c>
      <c r="N263" s="51" t="s">
        <v>850</v>
      </c>
    </row>
    <row r="264" spans="1:14">
      <c r="A264" s="24">
        <v>264</v>
      </c>
      <c r="B264" s="5">
        <v>46108</v>
      </c>
      <c r="C264" s="5">
        <v>46111</v>
      </c>
      <c r="D264" s="30">
        <f t="shared" si="8"/>
        <v>3</v>
      </c>
      <c r="E264" s="5" t="s">
        <v>254</v>
      </c>
      <c r="F264" s="5" t="s">
        <v>621</v>
      </c>
      <c r="G264" s="53" t="s">
        <v>605</v>
      </c>
      <c r="H264" s="2" t="s">
        <v>25</v>
      </c>
      <c r="I264" s="2" t="s">
        <v>851</v>
      </c>
      <c r="J264" s="2" t="s">
        <v>22</v>
      </c>
      <c r="K264" s="2" t="s">
        <v>38</v>
      </c>
      <c r="L264" s="7">
        <v>-74.096961186505098</v>
      </c>
      <c r="M264" s="7">
        <v>4.6688154106667401</v>
      </c>
    </row>
    <row r="265" spans="1:14">
      <c r="A265" s="24">
        <v>265</v>
      </c>
      <c r="B265" s="5">
        <v>46108</v>
      </c>
      <c r="C265" s="5">
        <v>46111</v>
      </c>
      <c r="D265" s="30">
        <f t="shared" si="8"/>
        <v>3</v>
      </c>
      <c r="E265" s="5" t="s">
        <v>254</v>
      </c>
      <c r="F265" s="5" t="s">
        <v>621</v>
      </c>
      <c r="G265" s="53" t="s">
        <v>605</v>
      </c>
      <c r="H265" s="2" t="s">
        <v>25</v>
      </c>
      <c r="I265" s="2" t="s">
        <v>852</v>
      </c>
      <c r="J265" s="2" t="s">
        <v>668</v>
      </c>
      <c r="K265" s="2" t="s">
        <v>669</v>
      </c>
    </row>
    <row r="266" spans="1:14">
      <c r="A266" s="24">
        <v>266</v>
      </c>
      <c r="B266" s="5">
        <v>46111</v>
      </c>
      <c r="C266" s="5">
        <v>46111</v>
      </c>
      <c r="D266" s="30">
        <f t="shared" si="8"/>
        <v>0</v>
      </c>
      <c r="E266" s="5" t="s">
        <v>254</v>
      </c>
      <c r="F266" s="5" t="s">
        <v>621</v>
      </c>
      <c r="G266" s="53" t="s">
        <v>605</v>
      </c>
      <c r="H266" s="2" t="s">
        <v>25</v>
      </c>
      <c r="I266" s="2" t="s">
        <v>853</v>
      </c>
      <c r="J266" s="2" t="s">
        <v>22</v>
      </c>
      <c r="K266" s="2" t="s">
        <v>80</v>
      </c>
    </row>
    <row r="267" spans="1:14">
      <c r="A267" s="24">
        <v>267</v>
      </c>
      <c r="B267" s="5">
        <v>46111</v>
      </c>
      <c r="C267" s="5">
        <v>46111</v>
      </c>
      <c r="D267" s="30">
        <f t="shared" si="8"/>
        <v>0</v>
      </c>
      <c r="E267" s="5" t="s">
        <v>317</v>
      </c>
      <c r="F267" s="5" t="s">
        <v>604</v>
      </c>
      <c r="G267" s="53" t="s">
        <v>618</v>
      </c>
      <c r="H267" s="2" t="s">
        <v>25</v>
      </c>
      <c r="I267" s="2" t="s">
        <v>417</v>
      </c>
      <c r="J267" s="2" t="s">
        <v>22</v>
      </c>
      <c r="K267" s="2" t="s">
        <v>343</v>
      </c>
      <c r="L267" s="7">
        <v>-74.057527165156301</v>
      </c>
      <c r="M267" s="7">
        <v>4.6639372423098298</v>
      </c>
    </row>
    <row r="268" spans="1:14">
      <c r="A268" s="24">
        <v>268</v>
      </c>
      <c r="B268" s="5">
        <v>46111</v>
      </c>
      <c r="C268" s="5">
        <v>46111</v>
      </c>
      <c r="D268" s="30">
        <f t="shared" si="8"/>
        <v>0</v>
      </c>
      <c r="E268" s="5" t="s">
        <v>317</v>
      </c>
      <c r="F268" s="5" t="s">
        <v>604</v>
      </c>
      <c r="G268" s="53" t="s">
        <v>618</v>
      </c>
      <c r="H268" s="2" t="s">
        <v>25</v>
      </c>
      <c r="I268" s="2" t="s">
        <v>418</v>
      </c>
      <c r="J268" s="2" t="s">
        <v>22</v>
      </c>
      <c r="K268" s="2" t="s">
        <v>343</v>
      </c>
      <c r="L268" s="7">
        <v>-74.058963947855204</v>
      </c>
      <c r="M268" s="7">
        <v>4.6599890275913198</v>
      </c>
    </row>
    <row r="269" spans="1:14">
      <c r="A269" s="24">
        <v>269</v>
      </c>
      <c r="B269" s="5">
        <v>46111</v>
      </c>
      <c r="C269" s="5">
        <v>46111</v>
      </c>
      <c r="D269" s="30">
        <f t="shared" si="8"/>
        <v>0</v>
      </c>
      <c r="E269" s="5" t="s">
        <v>317</v>
      </c>
      <c r="F269" s="5" t="s">
        <v>604</v>
      </c>
      <c r="G269" s="53" t="s">
        <v>618</v>
      </c>
      <c r="H269" s="2" t="s">
        <v>25</v>
      </c>
      <c r="I269" s="2" t="s">
        <v>419</v>
      </c>
      <c r="J269" s="2" t="s">
        <v>22</v>
      </c>
      <c r="K269" s="2" t="s">
        <v>343</v>
      </c>
      <c r="L269" s="7">
        <v>-74.047473574070906</v>
      </c>
      <c r="M269" s="7">
        <v>4.6819684762442497</v>
      </c>
    </row>
    <row r="270" spans="1:14">
      <c r="A270" s="24">
        <v>270</v>
      </c>
      <c r="B270" s="5">
        <v>46111</v>
      </c>
      <c r="D270" s="30">
        <f t="shared" si="8"/>
        <v>-46111</v>
      </c>
      <c r="E270" s="5" t="s">
        <v>254</v>
      </c>
      <c r="F270" s="5" t="s">
        <v>621</v>
      </c>
      <c r="I270" s="2" t="s">
        <v>854</v>
      </c>
      <c r="J270" s="2" t="s">
        <v>22</v>
      </c>
      <c r="K270" s="2" t="s">
        <v>80</v>
      </c>
      <c r="L270" s="7">
        <v>-74.067574786505006</v>
      </c>
      <c r="M270" s="7">
        <v>4.6268889713472596</v>
      </c>
      <c r="N270" s="51" t="s">
        <v>855</v>
      </c>
    </row>
    <row r="271" spans="1:14">
      <c r="A271" s="24">
        <v>271</v>
      </c>
      <c r="B271" s="5">
        <v>46111</v>
      </c>
      <c r="C271" s="5">
        <v>46112</v>
      </c>
      <c r="D271" s="30">
        <f t="shared" si="8"/>
        <v>1</v>
      </c>
      <c r="E271" s="5" t="s">
        <v>317</v>
      </c>
      <c r="F271" s="5" t="s">
        <v>604</v>
      </c>
      <c r="G271" s="53" t="s">
        <v>618</v>
      </c>
      <c r="H271" s="2" t="s">
        <v>25</v>
      </c>
      <c r="I271" s="2" t="s">
        <v>420</v>
      </c>
      <c r="J271" s="2" t="s">
        <v>22</v>
      </c>
      <c r="K271" s="2" t="s">
        <v>343</v>
      </c>
      <c r="L271" s="7">
        <v>-74.047653999999994</v>
      </c>
      <c r="M271" s="7">
        <v>4.6832216999999998</v>
      </c>
    </row>
    <row r="272" spans="1:14">
      <c r="A272" s="24">
        <v>272</v>
      </c>
      <c r="B272" s="5">
        <v>46111</v>
      </c>
      <c r="C272" s="5">
        <v>46112</v>
      </c>
      <c r="D272" s="30">
        <f t="shared" si="8"/>
        <v>1</v>
      </c>
      <c r="E272" s="5" t="s">
        <v>317</v>
      </c>
      <c r="F272" s="5" t="s">
        <v>604</v>
      </c>
      <c r="G272" s="53" t="s">
        <v>605</v>
      </c>
      <c r="H272" s="2" t="s">
        <v>25</v>
      </c>
      <c r="I272" s="2" t="s">
        <v>856</v>
      </c>
      <c r="J272" s="2" t="s">
        <v>22</v>
      </c>
      <c r="K272" s="2" t="s">
        <v>343</v>
      </c>
      <c r="L272" s="7">
        <v>-74.091885142374906</v>
      </c>
      <c r="M272" s="7">
        <v>4.69632716974861</v>
      </c>
    </row>
    <row r="273" spans="1:14">
      <c r="A273" s="24">
        <v>273</v>
      </c>
      <c r="B273" s="5">
        <v>46118</v>
      </c>
      <c r="C273" s="5">
        <v>46118</v>
      </c>
      <c r="D273" s="30">
        <f t="shared" si="8"/>
        <v>0</v>
      </c>
      <c r="E273" s="5" t="s">
        <v>254</v>
      </c>
      <c r="F273" s="5" t="s">
        <v>621</v>
      </c>
      <c r="G273" s="53" t="s">
        <v>605</v>
      </c>
      <c r="H273" s="2" t="s">
        <v>25</v>
      </c>
      <c r="I273" s="2" t="s">
        <v>857</v>
      </c>
      <c r="J273" s="2" t="s">
        <v>668</v>
      </c>
      <c r="K273" s="2" t="s">
        <v>669</v>
      </c>
      <c r="L273" s="7">
        <v>-75.583746710197204</v>
      </c>
      <c r="M273" s="7">
        <v>6.2452014898691202</v>
      </c>
    </row>
    <row r="274" spans="1:14">
      <c r="A274" s="24">
        <v>274</v>
      </c>
      <c r="B274" s="5">
        <v>46118</v>
      </c>
      <c r="C274" s="5">
        <v>46118</v>
      </c>
      <c r="D274" s="30">
        <f t="shared" si="8"/>
        <v>0</v>
      </c>
      <c r="E274" s="5" t="s">
        <v>317</v>
      </c>
      <c r="F274" s="5" t="s">
        <v>621</v>
      </c>
      <c r="G274" s="53" t="s">
        <v>605</v>
      </c>
      <c r="H274" s="2" t="s">
        <v>25</v>
      </c>
      <c r="I274" s="2" t="s">
        <v>858</v>
      </c>
      <c r="J274" s="2" t="s">
        <v>560</v>
      </c>
      <c r="K274" s="2" t="s">
        <v>48</v>
      </c>
      <c r="L274" s="7">
        <v>-75.690403044848296</v>
      </c>
      <c r="M274" s="7">
        <v>4.8052236282787497</v>
      </c>
    </row>
    <row r="275" spans="1:14">
      <c r="A275" s="24">
        <v>275</v>
      </c>
      <c r="B275" s="5">
        <v>46118</v>
      </c>
      <c r="C275" s="5">
        <v>46118</v>
      </c>
      <c r="D275" s="30">
        <f t="shared" ref="D275:D306" si="9">C275-B275</f>
        <v>0</v>
      </c>
      <c r="E275" s="5" t="s">
        <v>317</v>
      </c>
      <c r="F275" s="5" t="s">
        <v>621</v>
      </c>
      <c r="G275" s="53" t="s">
        <v>605</v>
      </c>
      <c r="H275" s="2" t="s">
        <v>25</v>
      </c>
      <c r="I275" s="2" t="s">
        <v>859</v>
      </c>
      <c r="J275" s="2" t="s">
        <v>181</v>
      </c>
      <c r="K275" s="2" t="s">
        <v>48</v>
      </c>
      <c r="L275" s="7">
        <v>-74.811263994456098</v>
      </c>
      <c r="M275" s="7">
        <v>4.2872812852945703</v>
      </c>
    </row>
    <row r="276" spans="1:14">
      <c r="A276" s="24">
        <v>276</v>
      </c>
      <c r="B276" s="5">
        <v>46118</v>
      </c>
      <c r="C276" s="5">
        <v>46120</v>
      </c>
      <c r="D276" s="30">
        <f t="shared" si="9"/>
        <v>2</v>
      </c>
      <c r="E276" s="5" t="s">
        <v>317</v>
      </c>
      <c r="F276" s="5" t="s">
        <v>604</v>
      </c>
      <c r="G276" s="53" t="s">
        <v>618</v>
      </c>
      <c r="H276" s="2" t="s">
        <v>25</v>
      </c>
      <c r="I276" s="2" t="s">
        <v>426</v>
      </c>
      <c r="J276" s="2" t="s">
        <v>22</v>
      </c>
      <c r="K276" s="2" t="s">
        <v>343</v>
      </c>
      <c r="L276" s="7">
        <v>-74.140123848038201</v>
      </c>
      <c r="M276" s="7">
        <v>4.6400998762110603</v>
      </c>
      <c r="N276" s="51" t="s">
        <v>860</v>
      </c>
    </row>
    <row r="277" spans="1:14">
      <c r="A277" s="24">
        <v>277</v>
      </c>
      <c r="B277" s="5">
        <v>46118</v>
      </c>
      <c r="C277" s="5">
        <v>46120</v>
      </c>
      <c r="D277" s="30">
        <f t="shared" si="9"/>
        <v>2</v>
      </c>
      <c r="E277" s="5" t="s">
        <v>317</v>
      </c>
      <c r="F277" s="5" t="s">
        <v>604</v>
      </c>
      <c r="G277" s="53" t="s">
        <v>618</v>
      </c>
      <c r="H277" s="2" t="s">
        <v>25</v>
      </c>
      <c r="I277" s="2" t="s">
        <v>428</v>
      </c>
      <c r="J277" s="2" t="s">
        <v>22</v>
      </c>
      <c r="K277" s="2" t="s">
        <v>343</v>
      </c>
      <c r="L277" s="7">
        <v>-74.056971674902698</v>
      </c>
      <c r="M277" s="7">
        <v>4.6697240557380404</v>
      </c>
      <c r="N277" s="51" t="s">
        <v>861</v>
      </c>
    </row>
    <row r="278" spans="1:14">
      <c r="A278" s="24">
        <v>278</v>
      </c>
      <c r="B278" s="5">
        <v>46118</v>
      </c>
      <c r="C278" s="5">
        <v>46120</v>
      </c>
      <c r="D278" s="30">
        <f t="shared" si="9"/>
        <v>2</v>
      </c>
      <c r="E278" s="5" t="s">
        <v>317</v>
      </c>
      <c r="F278" s="5" t="s">
        <v>604</v>
      </c>
      <c r="G278" s="53" t="s">
        <v>618</v>
      </c>
      <c r="H278" s="2" t="s">
        <v>25</v>
      </c>
      <c r="I278" s="2" t="s">
        <v>429</v>
      </c>
      <c r="J278" s="2" t="s">
        <v>22</v>
      </c>
      <c r="K278" s="2" t="s">
        <v>343</v>
      </c>
      <c r="L278" s="7">
        <v>-74.053183072017802</v>
      </c>
      <c r="M278" s="7">
        <v>4.6690997939892798</v>
      </c>
      <c r="N278" s="51" t="s">
        <v>862</v>
      </c>
    </row>
    <row r="279" spans="1:14">
      <c r="A279" s="24">
        <v>279</v>
      </c>
      <c r="B279" s="5">
        <v>46119</v>
      </c>
      <c r="C279" s="5">
        <v>46119</v>
      </c>
      <c r="D279" s="30">
        <f t="shared" si="9"/>
        <v>0</v>
      </c>
      <c r="E279" s="5" t="s">
        <v>317</v>
      </c>
      <c r="F279" s="5" t="s">
        <v>621</v>
      </c>
      <c r="G279" s="53" t="s">
        <v>605</v>
      </c>
      <c r="H279" s="2" t="s">
        <v>25</v>
      </c>
      <c r="I279" s="2" t="s">
        <v>127</v>
      </c>
      <c r="J279" s="2" t="s">
        <v>22</v>
      </c>
      <c r="K279" s="2" t="s">
        <v>325</v>
      </c>
      <c r="L279" s="7">
        <v>-74.061144984835394</v>
      </c>
      <c r="M279" s="7">
        <v>4.6439607869070603</v>
      </c>
    </row>
    <row r="280" spans="1:14">
      <c r="A280" s="24">
        <v>280</v>
      </c>
      <c r="B280" s="5">
        <v>46120</v>
      </c>
      <c r="C280" s="5">
        <v>46120</v>
      </c>
      <c r="D280" s="30">
        <f t="shared" si="9"/>
        <v>0</v>
      </c>
      <c r="E280" s="5" t="s">
        <v>254</v>
      </c>
      <c r="F280" s="5" t="s">
        <v>621</v>
      </c>
      <c r="G280" s="53" t="s">
        <v>605</v>
      </c>
      <c r="H280" s="2" t="s">
        <v>25</v>
      </c>
      <c r="I280" s="2" t="s">
        <v>863</v>
      </c>
      <c r="J280" s="2" t="s">
        <v>657</v>
      </c>
      <c r="K280" s="2" t="s">
        <v>80</v>
      </c>
      <c r="L280" s="7">
        <v>-74.836230496302804</v>
      </c>
      <c r="M280" s="7">
        <v>11.014398960807201</v>
      </c>
    </row>
    <row r="281" spans="1:14">
      <c r="A281" s="24">
        <v>281</v>
      </c>
      <c r="B281" s="5">
        <v>46120</v>
      </c>
      <c r="C281" s="5">
        <v>46120</v>
      </c>
      <c r="D281" s="30">
        <f t="shared" si="9"/>
        <v>0</v>
      </c>
      <c r="E281" s="5" t="s">
        <v>317</v>
      </c>
      <c r="F281" s="5" t="s">
        <v>621</v>
      </c>
      <c r="G281" s="53" t="s">
        <v>618</v>
      </c>
      <c r="H281" s="2" t="s">
        <v>25</v>
      </c>
      <c r="I281" s="2" t="s">
        <v>430</v>
      </c>
      <c r="J281" s="2" t="s">
        <v>22</v>
      </c>
      <c r="K281" s="2" t="s">
        <v>343</v>
      </c>
      <c r="L281" s="7">
        <v>-74.061142682332601</v>
      </c>
      <c r="M281" s="7">
        <v>4.6439592118599302</v>
      </c>
    </row>
    <row r="282" spans="1:14">
      <c r="A282" s="24">
        <v>282</v>
      </c>
      <c r="B282" s="5">
        <v>46120</v>
      </c>
      <c r="C282" s="5">
        <v>46120</v>
      </c>
      <c r="D282" s="30">
        <f t="shared" si="9"/>
        <v>0</v>
      </c>
      <c r="E282" s="5" t="s">
        <v>317</v>
      </c>
      <c r="F282" s="5" t="s">
        <v>621</v>
      </c>
      <c r="G282" s="53" t="s">
        <v>618</v>
      </c>
      <c r="H282" s="2" t="s">
        <v>25</v>
      </c>
      <c r="I282" s="2" t="s">
        <v>431</v>
      </c>
      <c r="J282" s="2" t="s">
        <v>22</v>
      </c>
      <c r="K282" s="2" t="s">
        <v>343</v>
      </c>
      <c r="L282" s="7">
        <v>-74.059125967441702</v>
      </c>
      <c r="M282" s="7">
        <v>4.6560695635523102</v>
      </c>
    </row>
    <row r="283" spans="1:14">
      <c r="A283" s="24">
        <v>283</v>
      </c>
      <c r="B283" s="5">
        <v>46120</v>
      </c>
      <c r="C283" s="5">
        <v>46120</v>
      </c>
      <c r="D283" s="30">
        <f t="shared" si="9"/>
        <v>0</v>
      </c>
      <c r="E283" s="5" t="s">
        <v>317</v>
      </c>
      <c r="F283" s="5" t="s">
        <v>621</v>
      </c>
      <c r="G283" s="53" t="s">
        <v>605</v>
      </c>
      <c r="H283" s="2" t="s">
        <v>25</v>
      </c>
      <c r="I283" s="2" t="s">
        <v>864</v>
      </c>
      <c r="J283" s="2" t="s">
        <v>22</v>
      </c>
      <c r="K283" s="2" t="s">
        <v>48</v>
      </c>
      <c r="L283" s="7">
        <v>-74.091885142374906</v>
      </c>
      <c r="M283" s="7">
        <v>4.69632716974861</v>
      </c>
      <c r="N283" s="51" t="s">
        <v>865</v>
      </c>
    </row>
    <row r="284" spans="1:14">
      <c r="A284" s="24">
        <v>284</v>
      </c>
      <c r="B284" s="5">
        <v>46120</v>
      </c>
      <c r="C284" s="5">
        <v>46120</v>
      </c>
      <c r="D284" s="30">
        <f t="shared" si="9"/>
        <v>0</v>
      </c>
      <c r="E284" s="5" t="s">
        <v>317</v>
      </c>
      <c r="F284" s="5" t="s">
        <v>621</v>
      </c>
      <c r="G284" s="53" t="s">
        <v>605</v>
      </c>
      <c r="H284" s="2" t="s">
        <v>25</v>
      </c>
      <c r="I284" s="2" t="s">
        <v>866</v>
      </c>
      <c r="J284" s="2" t="s">
        <v>22</v>
      </c>
      <c r="K284" s="2" t="s">
        <v>343</v>
      </c>
      <c r="L284" s="7">
        <v>-74.050764738987098</v>
      </c>
      <c r="M284" s="7">
        <v>4.6838671840628798</v>
      </c>
    </row>
    <row r="285" spans="1:14">
      <c r="A285" s="24">
        <v>285</v>
      </c>
      <c r="B285" s="5">
        <v>46120</v>
      </c>
      <c r="C285" s="5">
        <v>46121</v>
      </c>
      <c r="D285" s="30">
        <f t="shared" si="9"/>
        <v>1</v>
      </c>
      <c r="E285" s="5" t="s">
        <v>317</v>
      </c>
      <c r="F285" s="5" t="s">
        <v>621</v>
      </c>
      <c r="G285" s="53" t="s">
        <v>605</v>
      </c>
      <c r="H285" s="2" t="s">
        <v>25</v>
      </c>
      <c r="I285" s="2" t="s">
        <v>867</v>
      </c>
      <c r="J285" s="2" t="s">
        <v>320</v>
      </c>
      <c r="K285" s="2" t="s">
        <v>48</v>
      </c>
      <c r="L285" s="7">
        <v>-76.544111243519197</v>
      </c>
      <c r="M285" s="7">
        <v>3.4248847892480501</v>
      </c>
      <c r="N285" s="51" t="s">
        <v>868</v>
      </c>
    </row>
    <row r="286" spans="1:14">
      <c r="A286" s="24">
        <v>286</v>
      </c>
      <c r="B286" s="5">
        <v>46121</v>
      </c>
      <c r="C286" s="5">
        <v>46121</v>
      </c>
      <c r="D286" s="30">
        <f t="shared" si="9"/>
        <v>0</v>
      </c>
      <c r="E286" s="5" t="s">
        <v>317</v>
      </c>
      <c r="F286" s="5" t="s">
        <v>621</v>
      </c>
      <c r="G286" s="53" t="s">
        <v>605</v>
      </c>
      <c r="H286" s="2" t="s">
        <v>25</v>
      </c>
      <c r="I286" s="2" t="s">
        <v>869</v>
      </c>
      <c r="J286" s="2" t="s">
        <v>709</v>
      </c>
      <c r="K286" s="2" t="s">
        <v>393</v>
      </c>
      <c r="L286" s="7">
        <v>-75.555857916178496</v>
      </c>
      <c r="M286" s="7">
        <v>10.402192923126201</v>
      </c>
    </row>
    <row r="287" spans="1:14">
      <c r="A287" s="24">
        <v>287</v>
      </c>
      <c r="B287" s="5">
        <v>46121</v>
      </c>
      <c r="C287" s="5">
        <v>46121</v>
      </c>
      <c r="D287" s="30">
        <f t="shared" si="9"/>
        <v>0</v>
      </c>
      <c r="E287" s="5" t="s">
        <v>317</v>
      </c>
      <c r="F287" s="5" t="s">
        <v>621</v>
      </c>
      <c r="G287" s="53" t="s">
        <v>605</v>
      </c>
      <c r="H287" s="2" t="s">
        <v>25</v>
      </c>
      <c r="I287" s="2" t="s">
        <v>870</v>
      </c>
      <c r="J287" s="2" t="s">
        <v>709</v>
      </c>
      <c r="K287" s="2" t="s">
        <v>393</v>
      </c>
      <c r="L287" s="7">
        <v>-75.545472700000005</v>
      </c>
      <c r="M287" s="7">
        <v>10.422582200000001</v>
      </c>
    </row>
    <row r="288" spans="1:14">
      <c r="A288" s="24">
        <v>288</v>
      </c>
      <c r="B288" s="5">
        <v>46121</v>
      </c>
      <c r="C288" s="5">
        <v>46121</v>
      </c>
      <c r="D288" s="30">
        <f t="shared" si="9"/>
        <v>0</v>
      </c>
      <c r="E288" s="5" t="s">
        <v>317</v>
      </c>
      <c r="F288" s="5" t="s">
        <v>621</v>
      </c>
      <c r="G288" s="53" t="s">
        <v>605</v>
      </c>
      <c r="H288" s="2" t="s">
        <v>92</v>
      </c>
      <c r="I288" s="2" t="s">
        <v>871</v>
      </c>
      <c r="J288" s="2" t="s">
        <v>709</v>
      </c>
      <c r="K288" s="2" t="s">
        <v>393</v>
      </c>
      <c r="N288" s="51" t="s">
        <v>872</v>
      </c>
    </row>
    <row r="289" spans="1:13">
      <c r="A289" s="24">
        <v>289</v>
      </c>
      <c r="B289" s="5">
        <v>46121</v>
      </c>
      <c r="C289" s="5">
        <v>46121</v>
      </c>
      <c r="D289" s="30">
        <f t="shared" si="9"/>
        <v>0</v>
      </c>
      <c r="E289" s="5" t="s">
        <v>254</v>
      </c>
      <c r="F289" s="5" t="s">
        <v>621</v>
      </c>
      <c r="G289" s="53" t="s">
        <v>618</v>
      </c>
      <c r="H289" s="2" t="s">
        <v>25</v>
      </c>
      <c r="I289" s="2" t="s">
        <v>433</v>
      </c>
      <c r="J289" s="2" t="s">
        <v>22</v>
      </c>
      <c r="K289" s="2" t="s">
        <v>33</v>
      </c>
      <c r="L289" s="7">
        <v>-74.049779335300101</v>
      </c>
      <c r="M289" s="7">
        <v>4.6949276209689899</v>
      </c>
    </row>
    <row r="290" spans="1:13">
      <c r="A290" s="24">
        <v>290</v>
      </c>
      <c r="B290" s="5">
        <v>46121</v>
      </c>
      <c r="C290" s="5">
        <v>46122</v>
      </c>
      <c r="D290" s="30">
        <f t="shared" si="9"/>
        <v>1</v>
      </c>
      <c r="E290" s="5" t="s">
        <v>317</v>
      </c>
      <c r="F290" s="5" t="s">
        <v>621</v>
      </c>
      <c r="G290" s="53" t="s">
        <v>618</v>
      </c>
      <c r="H290" s="2" t="s">
        <v>25</v>
      </c>
      <c r="I290" s="2" t="s">
        <v>447</v>
      </c>
      <c r="J290" s="2" t="s">
        <v>22</v>
      </c>
      <c r="K290" s="2" t="s">
        <v>325</v>
      </c>
      <c r="L290" s="7">
        <v>-74.108178116014599</v>
      </c>
      <c r="M290" s="7">
        <v>4.5817712369356496</v>
      </c>
    </row>
    <row r="291" spans="1:13">
      <c r="A291" s="24">
        <v>291</v>
      </c>
      <c r="B291" s="5">
        <v>46122</v>
      </c>
      <c r="C291" s="5">
        <v>46122</v>
      </c>
      <c r="D291" s="30">
        <f t="shared" si="9"/>
        <v>0</v>
      </c>
      <c r="E291" s="5" t="s">
        <v>317</v>
      </c>
      <c r="F291" s="5" t="s">
        <v>621</v>
      </c>
      <c r="G291" s="53" t="s">
        <v>605</v>
      </c>
      <c r="H291" s="2" t="s">
        <v>25</v>
      </c>
      <c r="I291" s="2" t="s">
        <v>873</v>
      </c>
      <c r="J291" s="2" t="s">
        <v>668</v>
      </c>
      <c r="K291" s="2" t="s">
        <v>874</v>
      </c>
      <c r="L291" s="7">
        <v>-75.5971147231282</v>
      </c>
      <c r="M291" s="7">
        <v>6.2425948079763396</v>
      </c>
    </row>
    <row r="292" spans="1:13">
      <c r="A292" s="24">
        <v>292</v>
      </c>
      <c r="B292" s="5">
        <v>46122</v>
      </c>
      <c r="C292" s="5">
        <v>46122</v>
      </c>
      <c r="D292" s="30">
        <f t="shared" si="9"/>
        <v>0</v>
      </c>
      <c r="E292" s="5" t="s">
        <v>317</v>
      </c>
      <c r="F292" s="5" t="s">
        <v>621</v>
      </c>
      <c r="G292" s="53" t="s">
        <v>605</v>
      </c>
      <c r="H292" s="2" t="s">
        <v>25</v>
      </c>
      <c r="I292" s="2" t="s">
        <v>807</v>
      </c>
      <c r="J292" s="2" t="s">
        <v>668</v>
      </c>
      <c r="K292" s="2" t="s">
        <v>874</v>
      </c>
      <c r="L292" s="7">
        <v>-75.595961799771302</v>
      </c>
      <c r="M292" s="7">
        <v>6.2461379180137699</v>
      </c>
    </row>
    <row r="293" spans="1:13">
      <c r="A293" s="24">
        <v>293</v>
      </c>
      <c r="B293" s="5">
        <v>46126</v>
      </c>
      <c r="C293" s="5">
        <v>46127</v>
      </c>
      <c r="D293" s="30">
        <f t="shared" si="9"/>
        <v>1</v>
      </c>
      <c r="E293" s="5" t="s">
        <v>254</v>
      </c>
      <c r="F293" s="5" t="s">
        <v>604</v>
      </c>
      <c r="G293" s="53" t="s">
        <v>618</v>
      </c>
      <c r="H293" s="2" t="s">
        <v>25</v>
      </c>
      <c r="I293" s="2" t="s">
        <v>435</v>
      </c>
      <c r="J293" s="2" t="s">
        <v>22</v>
      </c>
      <c r="K293" s="2" t="s">
        <v>38</v>
      </c>
      <c r="L293" s="7">
        <v>-74.071621682230003</v>
      </c>
      <c r="M293" s="7">
        <v>4.6464671217220301</v>
      </c>
    </row>
    <row r="294" spans="1:13">
      <c r="A294" s="24">
        <v>294</v>
      </c>
      <c r="B294" s="5">
        <v>46127</v>
      </c>
      <c r="C294" s="5">
        <v>46128</v>
      </c>
      <c r="D294" s="30">
        <f t="shared" si="9"/>
        <v>1</v>
      </c>
      <c r="E294" s="5" t="s">
        <v>254</v>
      </c>
      <c r="F294" s="5" t="s">
        <v>621</v>
      </c>
      <c r="G294" s="53" t="s">
        <v>618</v>
      </c>
      <c r="H294" s="2" t="s">
        <v>25</v>
      </c>
      <c r="I294" s="2" t="s">
        <v>438</v>
      </c>
      <c r="J294" s="2" t="s">
        <v>22</v>
      </c>
      <c r="K294" s="2" t="s">
        <v>80</v>
      </c>
      <c r="L294" s="7">
        <v>-74.101295671316194</v>
      </c>
      <c r="M294" s="7">
        <v>4.5848127175863604</v>
      </c>
    </row>
    <row r="295" spans="1:13">
      <c r="A295" s="24">
        <v>295</v>
      </c>
      <c r="B295" s="5">
        <v>46127</v>
      </c>
      <c r="C295" s="5">
        <v>46127</v>
      </c>
      <c r="D295" s="30">
        <f t="shared" si="9"/>
        <v>0</v>
      </c>
      <c r="E295" s="5" t="s">
        <v>317</v>
      </c>
      <c r="F295" s="5" t="s">
        <v>621</v>
      </c>
      <c r="G295" s="53" t="s">
        <v>605</v>
      </c>
      <c r="H295" s="2" t="s">
        <v>25</v>
      </c>
      <c r="I295" s="2" t="s">
        <v>875</v>
      </c>
      <c r="J295" s="2" t="s">
        <v>22</v>
      </c>
      <c r="K295" s="2" t="s">
        <v>33</v>
      </c>
      <c r="L295" s="7">
        <v>-74.043660875023093</v>
      </c>
      <c r="M295" s="7">
        <v>4.69520390423496</v>
      </c>
    </row>
    <row r="296" spans="1:13">
      <c r="A296" s="24">
        <v>296</v>
      </c>
      <c r="B296" s="5">
        <v>46127</v>
      </c>
      <c r="C296" s="5">
        <v>46127</v>
      </c>
      <c r="D296" s="30">
        <f t="shared" si="9"/>
        <v>0</v>
      </c>
      <c r="E296" s="5" t="s">
        <v>317</v>
      </c>
      <c r="F296" s="5" t="s">
        <v>621</v>
      </c>
      <c r="G296" s="53" t="s">
        <v>618</v>
      </c>
      <c r="H296" s="2" t="s">
        <v>25</v>
      </c>
      <c r="I296" s="2" t="s">
        <v>449</v>
      </c>
      <c r="J296" s="2" t="s">
        <v>22</v>
      </c>
      <c r="K296" s="2" t="s">
        <v>393</v>
      </c>
      <c r="L296" s="7">
        <v>-74.043555999999995</v>
      </c>
      <c r="M296" s="7">
        <v>4.7409410000000003</v>
      </c>
    </row>
    <row r="297" spans="1:13">
      <c r="A297" s="24">
        <v>297</v>
      </c>
      <c r="B297" s="5">
        <v>46128</v>
      </c>
      <c r="C297" s="5">
        <v>46128</v>
      </c>
      <c r="D297" s="30">
        <f t="shared" si="9"/>
        <v>0</v>
      </c>
      <c r="E297" s="5" t="s">
        <v>317</v>
      </c>
      <c r="F297" s="5" t="s">
        <v>621</v>
      </c>
      <c r="G297" s="53" t="s">
        <v>605</v>
      </c>
      <c r="H297" s="2" t="s">
        <v>25</v>
      </c>
      <c r="I297" s="2" t="s">
        <v>876</v>
      </c>
      <c r="J297" s="2" t="s">
        <v>22</v>
      </c>
      <c r="K297" s="2" t="s">
        <v>325</v>
      </c>
      <c r="L297" s="7">
        <v>-74.061802052205493</v>
      </c>
      <c r="M297" s="7">
        <v>4.6370709089634703</v>
      </c>
    </row>
    <row r="298" spans="1:13">
      <c r="A298" s="24">
        <v>298</v>
      </c>
      <c r="B298" s="5">
        <v>46128</v>
      </c>
      <c r="C298" s="5">
        <v>46128</v>
      </c>
      <c r="D298" s="30">
        <f t="shared" si="9"/>
        <v>0</v>
      </c>
      <c r="E298" s="5" t="s">
        <v>317</v>
      </c>
      <c r="F298" s="5" t="s">
        <v>621</v>
      </c>
      <c r="G298" s="53" t="s">
        <v>605</v>
      </c>
      <c r="H298" s="2" t="s">
        <v>25</v>
      </c>
      <c r="I298" s="2" t="s">
        <v>877</v>
      </c>
      <c r="J298" s="2" t="s">
        <v>22</v>
      </c>
      <c r="K298" s="2" t="s">
        <v>325</v>
      </c>
      <c r="L298" s="7">
        <v>-74.113831587685894</v>
      </c>
      <c r="M298" s="7">
        <v>4.6383290285299097</v>
      </c>
    </row>
    <row r="299" spans="1:13">
      <c r="A299" s="24">
        <v>299</v>
      </c>
      <c r="B299" s="5">
        <v>46128</v>
      </c>
      <c r="C299" s="5">
        <v>46128</v>
      </c>
      <c r="D299" s="30">
        <f t="shared" si="9"/>
        <v>0</v>
      </c>
      <c r="E299" s="5" t="s">
        <v>317</v>
      </c>
      <c r="F299" s="5" t="s">
        <v>621</v>
      </c>
      <c r="G299" s="53" t="s">
        <v>605</v>
      </c>
      <c r="H299" s="2" t="s">
        <v>25</v>
      </c>
      <c r="I299" s="2" t="s">
        <v>878</v>
      </c>
      <c r="J299" s="2" t="s">
        <v>22</v>
      </c>
      <c r="K299" s="2" t="s">
        <v>325</v>
      </c>
      <c r="L299" s="7">
        <v>-74.032960220053596</v>
      </c>
      <c r="M299" s="7">
        <v>4.71305572306873</v>
      </c>
    </row>
    <row r="300" spans="1:13">
      <c r="A300" s="24">
        <v>300</v>
      </c>
      <c r="B300" s="5">
        <v>46128</v>
      </c>
      <c r="C300" s="5">
        <v>46128</v>
      </c>
      <c r="D300" s="30">
        <f t="shared" si="9"/>
        <v>0</v>
      </c>
      <c r="E300" s="5" t="s">
        <v>254</v>
      </c>
      <c r="F300" s="5" t="s">
        <v>621</v>
      </c>
      <c r="G300" s="53" t="s">
        <v>605</v>
      </c>
      <c r="H300" s="2" t="s">
        <v>25</v>
      </c>
      <c r="I300" s="2" t="s">
        <v>879</v>
      </c>
      <c r="J300" s="2" t="s">
        <v>22</v>
      </c>
      <c r="K300" s="2" t="s">
        <v>33</v>
      </c>
      <c r="L300" s="7">
        <v>-74.043327847833694</v>
      </c>
      <c r="M300" s="7">
        <v>4.6995972565721802</v>
      </c>
    </row>
    <row r="301" spans="1:13">
      <c r="A301" s="24">
        <v>301</v>
      </c>
      <c r="B301" s="5">
        <v>46128</v>
      </c>
      <c r="C301" s="5">
        <v>46128</v>
      </c>
      <c r="D301" s="30">
        <f t="shared" si="9"/>
        <v>0</v>
      </c>
      <c r="E301" s="5" t="s">
        <v>254</v>
      </c>
      <c r="F301" s="5" t="s">
        <v>621</v>
      </c>
      <c r="G301" s="53" t="s">
        <v>618</v>
      </c>
      <c r="H301" s="2" t="s">
        <v>25</v>
      </c>
      <c r="I301" s="2" t="s">
        <v>439</v>
      </c>
      <c r="J301" s="2" t="s">
        <v>22</v>
      </c>
      <c r="K301" s="2" t="s">
        <v>33</v>
      </c>
      <c r="L301" s="7">
        <v>-74.045866266744795</v>
      </c>
      <c r="M301" s="7">
        <v>4.6902240972875502</v>
      </c>
    </row>
    <row r="302" spans="1:13">
      <c r="A302" s="24">
        <v>302</v>
      </c>
      <c r="B302" s="5">
        <v>46128</v>
      </c>
      <c r="C302" s="5">
        <v>46128</v>
      </c>
      <c r="D302" s="30">
        <f t="shared" si="9"/>
        <v>0</v>
      </c>
      <c r="E302" s="5" t="s">
        <v>254</v>
      </c>
      <c r="F302" s="5" t="s">
        <v>621</v>
      </c>
      <c r="G302" s="53" t="s">
        <v>605</v>
      </c>
      <c r="H302" s="2" t="s">
        <v>25</v>
      </c>
      <c r="I302" s="2" t="s">
        <v>880</v>
      </c>
      <c r="J302" s="2" t="s">
        <v>22</v>
      </c>
      <c r="K302" s="2" t="s">
        <v>325</v>
      </c>
      <c r="L302" s="7">
        <v>-74.0970578306802</v>
      </c>
      <c r="M302" s="7">
        <v>4.6686479445255902</v>
      </c>
    </row>
    <row r="303" spans="1:13">
      <c r="A303" s="24">
        <v>303</v>
      </c>
      <c r="B303" s="5">
        <v>46128</v>
      </c>
      <c r="C303" s="5">
        <v>46128</v>
      </c>
      <c r="D303" s="30">
        <f t="shared" si="9"/>
        <v>0</v>
      </c>
      <c r="E303" s="5" t="s">
        <v>254</v>
      </c>
      <c r="F303" s="5" t="s">
        <v>621</v>
      </c>
      <c r="G303" s="53" t="s">
        <v>605</v>
      </c>
      <c r="H303" s="2" t="s">
        <v>25</v>
      </c>
      <c r="I303" s="2" t="s">
        <v>881</v>
      </c>
      <c r="J303" s="2" t="s">
        <v>22</v>
      </c>
      <c r="K303" s="2" t="s">
        <v>325</v>
      </c>
      <c r="L303" s="7">
        <v>-74.139529294711707</v>
      </c>
      <c r="M303" s="7">
        <v>4.6781613047782598</v>
      </c>
    </row>
    <row r="304" spans="1:13">
      <c r="A304" s="24">
        <v>304</v>
      </c>
      <c r="B304" s="5">
        <v>46128</v>
      </c>
      <c r="C304" s="5">
        <v>46128</v>
      </c>
      <c r="D304" s="30">
        <f t="shared" si="9"/>
        <v>0</v>
      </c>
      <c r="E304" s="5" t="s">
        <v>254</v>
      </c>
      <c r="F304" s="5" t="s">
        <v>621</v>
      </c>
      <c r="G304" s="53" t="s">
        <v>605</v>
      </c>
      <c r="H304" s="2" t="s">
        <v>25</v>
      </c>
      <c r="I304" s="2" t="s">
        <v>882</v>
      </c>
      <c r="J304" s="2" t="s">
        <v>22</v>
      </c>
      <c r="K304" s="2" t="s">
        <v>325</v>
      </c>
      <c r="L304" s="7">
        <v>-74.139495558224496</v>
      </c>
      <c r="M304" s="7">
        <v>4.6780210601843697</v>
      </c>
    </row>
    <row r="305" spans="1:13">
      <c r="A305" s="24">
        <v>305</v>
      </c>
      <c r="B305" s="5">
        <v>46132</v>
      </c>
      <c r="C305" s="5">
        <v>46132</v>
      </c>
      <c r="D305" s="30">
        <f t="shared" si="9"/>
        <v>0</v>
      </c>
      <c r="E305" s="5" t="s">
        <v>317</v>
      </c>
      <c r="F305" s="5" t="s">
        <v>621</v>
      </c>
      <c r="G305" s="53" t="s">
        <v>605</v>
      </c>
      <c r="H305" s="2" t="s">
        <v>25</v>
      </c>
      <c r="I305" s="2" t="s">
        <v>883</v>
      </c>
      <c r="J305" s="2" t="s">
        <v>884</v>
      </c>
      <c r="K305" s="2" t="s">
        <v>48</v>
      </c>
      <c r="L305" s="7">
        <v>-74.638071660656294</v>
      </c>
      <c r="M305" s="7">
        <v>4.2054894408511601</v>
      </c>
    </row>
    <row r="306" spans="1:13">
      <c r="A306" s="24">
        <v>306</v>
      </c>
      <c r="B306" s="5">
        <v>46132</v>
      </c>
      <c r="C306" s="5">
        <v>46132</v>
      </c>
      <c r="D306" s="30">
        <f t="shared" si="9"/>
        <v>0</v>
      </c>
      <c r="E306" s="5" t="s">
        <v>317</v>
      </c>
      <c r="F306" s="5" t="s">
        <v>621</v>
      </c>
      <c r="G306" s="53" t="s">
        <v>605</v>
      </c>
      <c r="H306" s="2" t="s">
        <v>25</v>
      </c>
      <c r="I306" s="2" t="s">
        <v>885</v>
      </c>
      <c r="J306" s="2" t="s">
        <v>22</v>
      </c>
      <c r="K306" s="2" t="s">
        <v>38</v>
      </c>
      <c r="L306" s="7">
        <v>-74.079157005016</v>
      </c>
      <c r="M306" s="7">
        <v>4.6461041100858198</v>
      </c>
    </row>
    <row r="307" spans="1:13">
      <c r="A307" s="24">
        <v>307</v>
      </c>
      <c r="B307" s="5">
        <v>46132</v>
      </c>
      <c r="C307" s="5">
        <v>46133</v>
      </c>
      <c r="D307" s="30">
        <f t="shared" ref="D307:D338" si="10">C307-B307</f>
        <v>1</v>
      </c>
      <c r="E307" s="5" t="s">
        <v>254</v>
      </c>
      <c r="F307" s="5" t="s">
        <v>621</v>
      </c>
      <c r="G307" s="53" t="s">
        <v>605</v>
      </c>
      <c r="H307" s="2" t="s">
        <v>25</v>
      </c>
      <c r="I307" s="2" t="s">
        <v>886</v>
      </c>
      <c r="J307" s="2" t="s">
        <v>22</v>
      </c>
      <c r="K307" s="2" t="s">
        <v>80</v>
      </c>
      <c r="L307" s="7">
        <v>-74.079157005016</v>
      </c>
      <c r="M307" s="7">
        <v>4.6461041100858198</v>
      </c>
    </row>
    <row r="308" spans="1:13">
      <c r="A308" s="24">
        <v>308</v>
      </c>
      <c r="B308" s="5">
        <v>46133</v>
      </c>
      <c r="C308" s="5">
        <v>46134</v>
      </c>
      <c r="D308" s="30">
        <f t="shared" si="10"/>
        <v>1</v>
      </c>
      <c r="E308" s="5" t="s">
        <v>254</v>
      </c>
      <c r="F308" s="5" t="s">
        <v>621</v>
      </c>
      <c r="G308" s="53" t="s">
        <v>618</v>
      </c>
      <c r="H308" s="2" t="s">
        <v>25</v>
      </c>
      <c r="I308" s="2" t="s">
        <v>443</v>
      </c>
      <c r="J308" s="2" t="s">
        <v>22</v>
      </c>
      <c r="K308" s="2" t="s">
        <v>80</v>
      </c>
      <c r="L308" s="7">
        <v>-74.079157005016</v>
      </c>
      <c r="M308" s="7">
        <v>4.6461041100858198</v>
      </c>
    </row>
    <row r="309" spans="1:13">
      <c r="A309" s="24">
        <v>310</v>
      </c>
      <c r="B309" s="5">
        <v>46133</v>
      </c>
      <c r="C309" s="5">
        <v>46134</v>
      </c>
      <c r="D309" s="30">
        <f t="shared" si="10"/>
        <v>1</v>
      </c>
      <c r="E309" s="5" t="s">
        <v>317</v>
      </c>
      <c r="F309" s="5" t="s">
        <v>604</v>
      </c>
      <c r="G309" s="53" t="s">
        <v>605</v>
      </c>
      <c r="H309" s="2" t="s">
        <v>25</v>
      </c>
      <c r="I309" s="2" t="s">
        <v>887</v>
      </c>
      <c r="J309" s="2" t="s">
        <v>22</v>
      </c>
      <c r="K309" s="2" t="s">
        <v>343</v>
      </c>
      <c r="L309" s="7">
        <v>-74.274844700000003</v>
      </c>
      <c r="M309" s="7">
        <v>4.8514568000000002</v>
      </c>
    </row>
    <row r="310" spans="1:13">
      <c r="A310" s="24">
        <v>311</v>
      </c>
      <c r="B310" s="5">
        <v>46133</v>
      </c>
      <c r="C310" s="5">
        <v>46135</v>
      </c>
      <c r="D310" s="30">
        <f t="shared" si="10"/>
        <v>2</v>
      </c>
      <c r="E310" s="5" t="s">
        <v>317</v>
      </c>
      <c r="F310" s="5" t="s">
        <v>604</v>
      </c>
      <c r="G310" s="53" t="s">
        <v>618</v>
      </c>
      <c r="H310" s="2" t="s">
        <v>25</v>
      </c>
      <c r="I310" s="2" t="s">
        <v>452</v>
      </c>
      <c r="J310" s="2" t="s">
        <v>22</v>
      </c>
      <c r="K310" s="2" t="s">
        <v>343</v>
      </c>
      <c r="L310" s="7">
        <v>-74.115879399999997</v>
      </c>
      <c r="M310" s="7">
        <v>4.6240446999999998</v>
      </c>
    </row>
    <row r="311" spans="1:13">
      <c r="A311" s="24">
        <v>309</v>
      </c>
      <c r="B311" s="5">
        <v>46134</v>
      </c>
      <c r="C311" s="5">
        <v>46134</v>
      </c>
      <c r="D311" s="30">
        <f t="shared" si="10"/>
        <v>0</v>
      </c>
      <c r="E311" s="5" t="s">
        <v>254</v>
      </c>
      <c r="F311" s="5" t="s">
        <v>621</v>
      </c>
      <c r="G311" s="53" t="s">
        <v>605</v>
      </c>
      <c r="H311" s="2" t="s">
        <v>25</v>
      </c>
      <c r="I311" s="2" t="s">
        <v>888</v>
      </c>
      <c r="J311" s="2" t="s">
        <v>22</v>
      </c>
      <c r="K311" s="2" t="s">
        <v>325</v>
      </c>
      <c r="L311" s="7">
        <v>-74.061025115945995</v>
      </c>
      <c r="M311" s="7">
        <v>4.6456334083271997</v>
      </c>
    </row>
    <row r="312" spans="1:13">
      <c r="A312" s="24">
        <v>312</v>
      </c>
      <c r="B312" s="5">
        <v>46134</v>
      </c>
      <c r="C312" s="5">
        <v>46134</v>
      </c>
      <c r="D312" s="30">
        <f t="shared" si="10"/>
        <v>0</v>
      </c>
      <c r="E312" s="5" t="s">
        <v>317</v>
      </c>
      <c r="F312" s="5" t="s">
        <v>621</v>
      </c>
      <c r="G312" s="53" t="s">
        <v>618</v>
      </c>
      <c r="H312" s="2" t="s">
        <v>25</v>
      </c>
      <c r="I312" s="2" t="s">
        <v>453</v>
      </c>
      <c r="J312" s="2" t="s">
        <v>22</v>
      </c>
      <c r="K312" s="2" t="s">
        <v>325</v>
      </c>
      <c r="L312" s="7">
        <v>-74.067416749836596</v>
      </c>
      <c r="M312" s="7">
        <v>4.6325867978374902</v>
      </c>
    </row>
    <row r="313" spans="1:13">
      <c r="A313" s="24">
        <v>313</v>
      </c>
      <c r="B313" s="5">
        <v>46134</v>
      </c>
      <c r="C313" s="5">
        <v>46134</v>
      </c>
      <c r="D313" s="30">
        <f t="shared" si="10"/>
        <v>0</v>
      </c>
      <c r="E313" s="5" t="s">
        <v>254</v>
      </c>
      <c r="F313" s="5" t="s">
        <v>621</v>
      </c>
      <c r="G313" s="53" t="s">
        <v>605</v>
      </c>
      <c r="H313" s="2" t="s">
        <v>25</v>
      </c>
      <c r="I313" s="2" t="s">
        <v>889</v>
      </c>
      <c r="J313" s="2" t="s">
        <v>22</v>
      </c>
      <c r="K313" s="2" t="s">
        <v>33</v>
      </c>
      <c r="L313" s="7">
        <v>-74.043561676586293</v>
      </c>
      <c r="M313" s="7">
        <v>4.6956074077023198</v>
      </c>
    </row>
    <row r="314" spans="1:13">
      <c r="A314" s="24">
        <v>314</v>
      </c>
      <c r="B314" s="5">
        <v>46134</v>
      </c>
      <c r="C314" s="5">
        <v>46135</v>
      </c>
      <c r="D314" s="30">
        <f t="shared" si="10"/>
        <v>1</v>
      </c>
      <c r="E314" s="5" t="s">
        <v>254</v>
      </c>
      <c r="F314" s="5" t="s">
        <v>621</v>
      </c>
      <c r="G314" s="53" t="s">
        <v>605</v>
      </c>
      <c r="H314" s="2" t="s">
        <v>25</v>
      </c>
      <c r="I314" s="2" t="s">
        <v>890</v>
      </c>
      <c r="J314" s="2" t="s">
        <v>22</v>
      </c>
      <c r="K314" s="2" t="s">
        <v>80</v>
      </c>
      <c r="L314" s="7">
        <v>-74.100775854740306</v>
      </c>
      <c r="M314" s="7">
        <v>4.5886985020391498</v>
      </c>
    </row>
    <row r="315" spans="1:13">
      <c r="A315" s="24">
        <v>315</v>
      </c>
      <c r="B315" s="5">
        <v>46135</v>
      </c>
      <c r="C315" s="5">
        <v>46135</v>
      </c>
      <c r="D315" s="30">
        <f t="shared" si="10"/>
        <v>0</v>
      </c>
      <c r="E315" s="5" t="s">
        <v>317</v>
      </c>
      <c r="F315" s="5" t="s">
        <v>621</v>
      </c>
      <c r="G315" s="53" t="s">
        <v>605</v>
      </c>
      <c r="H315" s="2" t="s">
        <v>25</v>
      </c>
      <c r="I315" s="2" t="s">
        <v>891</v>
      </c>
      <c r="J315" s="2" t="s">
        <v>892</v>
      </c>
      <c r="K315" s="2" t="s">
        <v>393</v>
      </c>
      <c r="L315" s="7">
        <v>-73.106415944946207</v>
      </c>
      <c r="M315" s="7">
        <v>7.11508757565732</v>
      </c>
    </row>
    <row r="316" spans="1:13">
      <c r="A316" s="24">
        <v>316</v>
      </c>
      <c r="B316" s="5">
        <v>46135</v>
      </c>
      <c r="C316" s="5">
        <v>46135</v>
      </c>
      <c r="D316" s="30">
        <f t="shared" si="10"/>
        <v>0</v>
      </c>
      <c r="E316" s="5" t="s">
        <v>317</v>
      </c>
      <c r="F316" s="5" t="s">
        <v>621</v>
      </c>
      <c r="G316" s="53" t="s">
        <v>618</v>
      </c>
      <c r="H316" s="2" t="s">
        <v>25</v>
      </c>
      <c r="I316" s="2" t="s">
        <v>893</v>
      </c>
      <c r="J316" s="2" t="s">
        <v>22</v>
      </c>
      <c r="K316" s="2" t="s">
        <v>38</v>
      </c>
      <c r="L316" s="7">
        <v>-74.076974699999994</v>
      </c>
      <c r="M316" s="7">
        <v>4.6005438999999999</v>
      </c>
    </row>
    <row r="317" spans="1:13">
      <c r="A317" s="24">
        <v>317</v>
      </c>
      <c r="B317" s="5">
        <v>46135</v>
      </c>
      <c r="C317" s="5">
        <v>46135</v>
      </c>
      <c r="D317" s="30">
        <f t="shared" si="10"/>
        <v>0</v>
      </c>
      <c r="E317" s="5" t="s">
        <v>317</v>
      </c>
      <c r="F317" s="5" t="s">
        <v>604</v>
      </c>
      <c r="G317" s="53" t="s">
        <v>618</v>
      </c>
      <c r="H317" s="2" t="s">
        <v>25</v>
      </c>
      <c r="I317" s="2" t="s">
        <v>455</v>
      </c>
      <c r="J317" s="2" t="s">
        <v>22</v>
      </c>
      <c r="K317" s="2" t="s">
        <v>38</v>
      </c>
      <c r="L317" s="7">
        <v>-74.067043995564902</v>
      </c>
      <c r="M317" s="7">
        <v>4.6626833308514</v>
      </c>
    </row>
    <row r="318" spans="1:13">
      <c r="A318" s="24">
        <v>318</v>
      </c>
      <c r="B318" s="5">
        <v>46135</v>
      </c>
      <c r="C318" s="5">
        <v>46135</v>
      </c>
      <c r="D318" s="30">
        <f t="shared" si="10"/>
        <v>0</v>
      </c>
      <c r="E318" s="5" t="s">
        <v>317</v>
      </c>
      <c r="F318" s="5" t="s">
        <v>621</v>
      </c>
      <c r="G318" s="53" t="s">
        <v>605</v>
      </c>
      <c r="H318" s="2" t="s">
        <v>25</v>
      </c>
      <c r="I318" s="2" t="s">
        <v>894</v>
      </c>
      <c r="J318" s="2" t="s">
        <v>895</v>
      </c>
      <c r="K318" s="2" t="s">
        <v>393</v>
      </c>
      <c r="L318" s="7">
        <v>-74.034116475418998</v>
      </c>
      <c r="M318" s="7">
        <v>4.8919142653937504</v>
      </c>
    </row>
    <row r="319" spans="1:13">
      <c r="A319" s="24">
        <v>319</v>
      </c>
      <c r="B319" s="5">
        <v>46139</v>
      </c>
      <c r="C319" s="5">
        <v>46139</v>
      </c>
      <c r="D319" s="30">
        <f t="shared" si="10"/>
        <v>0</v>
      </c>
      <c r="E319" s="5" t="s">
        <v>254</v>
      </c>
      <c r="F319" s="5" t="s">
        <v>621</v>
      </c>
      <c r="G319" s="53" t="s">
        <v>605</v>
      </c>
      <c r="H319" s="2" t="s">
        <v>25</v>
      </c>
      <c r="I319" s="2" t="s">
        <v>896</v>
      </c>
      <c r="J319" s="2" t="s">
        <v>668</v>
      </c>
      <c r="K319" s="2" t="s">
        <v>874</v>
      </c>
      <c r="L319" s="7">
        <v>-75.573965152984201</v>
      </c>
      <c r="M319" s="7">
        <v>6.20774774418968</v>
      </c>
    </row>
    <row r="320" spans="1:13">
      <c r="A320" s="24">
        <v>320</v>
      </c>
      <c r="B320" s="5">
        <v>46139</v>
      </c>
      <c r="C320" s="5">
        <v>46140</v>
      </c>
      <c r="D320" s="30">
        <f t="shared" si="10"/>
        <v>1</v>
      </c>
      <c r="E320" s="5" t="s">
        <v>254</v>
      </c>
      <c r="F320" s="5" t="s">
        <v>621</v>
      </c>
      <c r="G320" s="53" t="s">
        <v>605</v>
      </c>
      <c r="H320" s="2" t="s">
        <v>25</v>
      </c>
      <c r="I320" s="2" t="s">
        <v>897</v>
      </c>
      <c r="J320" s="2" t="s">
        <v>668</v>
      </c>
      <c r="K320" s="2" t="s">
        <v>874</v>
      </c>
      <c r="L320" s="7">
        <v>-75.570779122139797</v>
      </c>
      <c r="M320" s="7">
        <v>6.21242410414433</v>
      </c>
    </row>
    <row r="321" spans="1:13">
      <c r="A321" s="24">
        <v>321</v>
      </c>
      <c r="B321" s="5">
        <v>46139</v>
      </c>
      <c r="C321" s="5">
        <v>46140</v>
      </c>
      <c r="D321" s="30">
        <f t="shared" si="10"/>
        <v>1</v>
      </c>
      <c r="E321" s="5" t="s">
        <v>254</v>
      </c>
      <c r="F321" s="5" t="s">
        <v>621</v>
      </c>
      <c r="G321" s="53" t="s">
        <v>605</v>
      </c>
      <c r="H321" s="2" t="s">
        <v>25</v>
      </c>
      <c r="I321" s="2" t="s">
        <v>898</v>
      </c>
      <c r="J321" s="2" t="s">
        <v>668</v>
      </c>
      <c r="K321" s="2" t="s">
        <v>874</v>
      </c>
      <c r="L321" s="7">
        <v>-75.587574592605705</v>
      </c>
      <c r="M321" s="7">
        <v>6.1992450864085802</v>
      </c>
    </row>
    <row r="322" spans="1:13">
      <c r="A322" s="24">
        <v>322</v>
      </c>
      <c r="B322" s="5">
        <v>46140</v>
      </c>
      <c r="C322" s="5">
        <v>46140</v>
      </c>
      <c r="D322" s="30">
        <f t="shared" si="10"/>
        <v>0</v>
      </c>
      <c r="E322" s="5" t="s">
        <v>317</v>
      </c>
      <c r="F322" s="5" t="s">
        <v>621</v>
      </c>
      <c r="G322" s="53" t="s">
        <v>618</v>
      </c>
      <c r="H322" s="2" t="s">
        <v>25</v>
      </c>
      <c r="I322" s="2" t="s">
        <v>899</v>
      </c>
      <c r="J322" s="2" t="s">
        <v>884</v>
      </c>
      <c r="K322" s="2" t="s">
        <v>48</v>
      </c>
      <c r="L322" s="7">
        <v>-74.643568128370802</v>
      </c>
      <c r="M322" s="7">
        <v>4.2040204712793701</v>
      </c>
    </row>
    <row r="323" spans="1:13">
      <c r="A323" s="24">
        <v>323</v>
      </c>
      <c r="B323" s="5">
        <v>46140</v>
      </c>
      <c r="C323" s="5">
        <v>46140</v>
      </c>
      <c r="D323" s="30">
        <f t="shared" si="10"/>
        <v>0</v>
      </c>
      <c r="E323" s="5" t="s">
        <v>317</v>
      </c>
      <c r="F323" s="5" t="s">
        <v>621</v>
      </c>
      <c r="G323" s="53" t="s">
        <v>605</v>
      </c>
      <c r="H323" s="2" t="s">
        <v>25</v>
      </c>
      <c r="I323" s="2" t="s">
        <v>900</v>
      </c>
      <c r="J323" s="2" t="s">
        <v>22</v>
      </c>
      <c r="K323" s="2" t="s">
        <v>48</v>
      </c>
      <c r="L323" s="7">
        <v>-74.139360081240795</v>
      </c>
      <c r="M323" s="7">
        <v>4.7100137868056597</v>
      </c>
    </row>
    <row r="324" spans="1:13">
      <c r="A324" s="24">
        <v>324</v>
      </c>
      <c r="B324" s="5">
        <v>46140</v>
      </c>
      <c r="C324" s="5">
        <v>46140</v>
      </c>
      <c r="D324" s="30">
        <f t="shared" si="10"/>
        <v>0</v>
      </c>
      <c r="E324" s="5" t="s">
        <v>317</v>
      </c>
      <c r="F324" s="5" t="s">
        <v>621</v>
      </c>
      <c r="G324" s="53" t="s">
        <v>605</v>
      </c>
      <c r="H324" s="2" t="s">
        <v>25</v>
      </c>
      <c r="I324" s="2" t="s">
        <v>901</v>
      </c>
      <c r="J324" s="2" t="s">
        <v>902</v>
      </c>
      <c r="K324" s="2" t="s">
        <v>48</v>
      </c>
      <c r="L324" s="7">
        <v>-75.764701359602398</v>
      </c>
      <c r="M324" s="7">
        <v>4.4709445425072101</v>
      </c>
    </row>
    <row r="325" spans="1:13">
      <c r="A325" s="24">
        <v>325</v>
      </c>
      <c r="B325" s="5">
        <v>46140</v>
      </c>
      <c r="C325" s="5">
        <v>46140</v>
      </c>
      <c r="D325" s="30">
        <f t="shared" si="10"/>
        <v>0</v>
      </c>
      <c r="E325" s="5" t="s">
        <v>317</v>
      </c>
      <c r="F325" s="5" t="s">
        <v>621</v>
      </c>
      <c r="G325" s="53" t="s">
        <v>605</v>
      </c>
      <c r="H325" s="2" t="s">
        <v>25</v>
      </c>
      <c r="I325" s="2" t="s">
        <v>903</v>
      </c>
      <c r="J325" s="2" t="s">
        <v>560</v>
      </c>
      <c r="K325" s="2" t="s">
        <v>48</v>
      </c>
      <c r="L325" s="7">
        <v>-75.747234697340105</v>
      </c>
      <c r="M325" s="7">
        <v>4.7939158390658996</v>
      </c>
    </row>
    <row r="326" spans="1:13">
      <c r="A326" s="24">
        <v>326</v>
      </c>
      <c r="B326" s="5">
        <v>46140</v>
      </c>
      <c r="C326" s="5">
        <v>46140</v>
      </c>
      <c r="D326" s="30">
        <f t="shared" si="10"/>
        <v>0</v>
      </c>
      <c r="E326" s="5" t="s">
        <v>317</v>
      </c>
      <c r="F326" s="5" t="s">
        <v>621</v>
      </c>
      <c r="G326" s="53" t="s">
        <v>605</v>
      </c>
      <c r="H326" s="2" t="s">
        <v>25</v>
      </c>
      <c r="I326" s="2" t="s">
        <v>904</v>
      </c>
      <c r="J326" s="2" t="s">
        <v>163</v>
      </c>
      <c r="K326" s="2" t="s">
        <v>343</v>
      </c>
      <c r="L326" s="7">
        <v>-74.461249752252002</v>
      </c>
      <c r="M326" s="7">
        <v>4.6331086190967596</v>
      </c>
    </row>
    <row r="327" spans="1:13">
      <c r="A327" s="24">
        <v>327</v>
      </c>
      <c r="B327" s="5">
        <v>46141</v>
      </c>
      <c r="C327" s="5">
        <v>46141</v>
      </c>
      <c r="D327" s="30">
        <f t="shared" si="10"/>
        <v>0</v>
      </c>
      <c r="E327" s="5" t="s">
        <v>254</v>
      </c>
      <c r="F327" s="5" t="s">
        <v>621</v>
      </c>
      <c r="G327" s="53" t="s">
        <v>605</v>
      </c>
      <c r="H327" s="2" t="s">
        <v>25</v>
      </c>
      <c r="I327" s="2" t="s">
        <v>905</v>
      </c>
      <c r="J327" s="2" t="s">
        <v>668</v>
      </c>
      <c r="K327" s="2" t="s">
        <v>874</v>
      </c>
      <c r="L327" s="7">
        <v>-75.623273371164899</v>
      </c>
      <c r="M327" s="7">
        <v>6.1510802401857898</v>
      </c>
    </row>
    <row r="328" spans="1:13">
      <c r="A328" s="24">
        <v>328</v>
      </c>
      <c r="B328" s="5">
        <v>46141</v>
      </c>
      <c r="C328" s="5">
        <v>46141</v>
      </c>
      <c r="D328" s="30">
        <f t="shared" si="10"/>
        <v>0</v>
      </c>
      <c r="E328" s="5" t="s">
        <v>317</v>
      </c>
      <c r="F328" s="5" t="s">
        <v>621</v>
      </c>
      <c r="G328" s="53" t="s">
        <v>605</v>
      </c>
      <c r="H328" s="2" t="s">
        <v>25</v>
      </c>
      <c r="I328" s="2" t="s">
        <v>906</v>
      </c>
      <c r="J328" s="2" t="s">
        <v>843</v>
      </c>
      <c r="K328" s="2" t="s">
        <v>569</v>
      </c>
      <c r="L328" s="7">
        <v>-75.217136068887598</v>
      </c>
      <c r="M328" s="7">
        <v>4.4378476321530602</v>
      </c>
    </row>
    <row r="329" spans="1:13">
      <c r="A329" s="24">
        <v>329</v>
      </c>
      <c r="B329" s="5">
        <v>46141</v>
      </c>
      <c r="C329" s="5">
        <v>46141</v>
      </c>
      <c r="D329" s="30">
        <f t="shared" si="10"/>
        <v>0</v>
      </c>
      <c r="E329" s="5" t="s">
        <v>317</v>
      </c>
      <c r="F329" s="5" t="s">
        <v>621</v>
      </c>
      <c r="G329" s="53" t="s">
        <v>605</v>
      </c>
      <c r="H329" s="2" t="s">
        <v>25</v>
      </c>
      <c r="I329" s="2" t="s">
        <v>907</v>
      </c>
      <c r="J329" s="2" t="s">
        <v>843</v>
      </c>
      <c r="K329" s="2" t="s">
        <v>569</v>
      </c>
      <c r="L329" s="7">
        <v>-75.242090444771605</v>
      </c>
      <c r="M329" s="7">
        <v>4.4434069716532703</v>
      </c>
    </row>
    <row r="330" spans="1:13">
      <c r="A330" s="24">
        <v>330</v>
      </c>
      <c r="B330" s="5">
        <v>46141</v>
      </c>
      <c r="C330" s="5">
        <v>46141</v>
      </c>
      <c r="D330" s="30">
        <f t="shared" si="10"/>
        <v>0</v>
      </c>
      <c r="E330" s="5" t="s">
        <v>317</v>
      </c>
      <c r="F330" s="5" t="s">
        <v>621</v>
      </c>
      <c r="G330" s="53" t="s">
        <v>605</v>
      </c>
      <c r="H330" s="2" t="s">
        <v>25</v>
      </c>
      <c r="I330" s="2" t="s">
        <v>908</v>
      </c>
      <c r="J330" s="2" t="s">
        <v>22</v>
      </c>
      <c r="K330" s="2" t="s">
        <v>569</v>
      </c>
      <c r="L330" s="7">
        <v>-74.076306944034798</v>
      </c>
      <c r="M330" s="7">
        <v>4.6912246649228697</v>
      </c>
    </row>
    <row r="331" spans="1:13">
      <c r="A331" s="24">
        <v>331</v>
      </c>
      <c r="B331" s="5">
        <v>46141</v>
      </c>
      <c r="C331" s="5">
        <v>46141</v>
      </c>
      <c r="D331" s="30">
        <f t="shared" si="10"/>
        <v>0</v>
      </c>
      <c r="E331" s="5" t="s">
        <v>317</v>
      </c>
      <c r="F331" s="5" t="s">
        <v>621</v>
      </c>
      <c r="G331" s="53" t="s">
        <v>605</v>
      </c>
      <c r="H331" s="2" t="s">
        <v>25</v>
      </c>
      <c r="I331" s="2" t="s">
        <v>909</v>
      </c>
      <c r="J331" s="2" t="s">
        <v>843</v>
      </c>
      <c r="K331" s="2" t="s">
        <v>569</v>
      </c>
      <c r="L331" s="7">
        <v>-75.201866468046504</v>
      </c>
      <c r="M331" s="7">
        <v>4.4406413739257804</v>
      </c>
    </row>
    <row r="332" spans="1:13">
      <c r="A332" s="24">
        <v>332</v>
      </c>
      <c r="B332" s="5">
        <v>46141</v>
      </c>
      <c r="C332" s="5">
        <v>46141</v>
      </c>
      <c r="D332" s="30">
        <f t="shared" si="10"/>
        <v>0</v>
      </c>
      <c r="E332" s="5" t="s">
        <v>317</v>
      </c>
      <c r="F332" s="5" t="s">
        <v>621</v>
      </c>
      <c r="G332" s="53" t="s">
        <v>605</v>
      </c>
      <c r="H332" s="2" t="s">
        <v>25</v>
      </c>
      <c r="I332" s="2" t="s">
        <v>910</v>
      </c>
      <c r="J332" s="2" t="s">
        <v>843</v>
      </c>
      <c r="K332" s="2" t="s">
        <v>569</v>
      </c>
      <c r="L332" s="7">
        <v>-75.241094561202999</v>
      </c>
      <c r="M332" s="7">
        <v>4.4453017178908798</v>
      </c>
    </row>
    <row r="333" spans="1:13">
      <c r="A333" s="24">
        <v>333</v>
      </c>
      <c r="B333" s="5">
        <v>46141</v>
      </c>
      <c r="C333" s="5">
        <v>46141</v>
      </c>
      <c r="D333" s="30">
        <f t="shared" si="10"/>
        <v>0</v>
      </c>
      <c r="E333" s="5" t="s">
        <v>254</v>
      </c>
      <c r="F333" s="5" t="s">
        <v>621</v>
      </c>
      <c r="G333" s="53" t="s">
        <v>605</v>
      </c>
      <c r="H333" s="2" t="s">
        <v>25</v>
      </c>
      <c r="I333" s="2" t="s">
        <v>911</v>
      </c>
      <c r="J333" s="2" t="s">
        <v>22</v>
      </c>
      <c r="K333" s="2" t="s">
        <v>325</v>
      </c>
      <c r="L333" s="7">
        <v>-74.078364283985707</v>
      </c>
      <c r="M333" s="7">
        <v>4.6562667410653802</v>
      </c>
    </row>
    <row r="334" spans="1:13">
      <c r="A334" s="24">
        <v>334</v>
      </c>
      <c r="B334" s="5">
        <v>46141</v>
      </c>
      <c r="C334" s="5">
        <v>46141</v>
      </c>
      <c r="D334" s="30">
        <f t="shared" si="10"/>
        <v>0</v>
      </c>
      <c r="E334" s="5" t="s">
        <v>254</v>
      </c>
      <c r="F334" s="5" t="s">
        <v>621</v>
      </c>
      <c r="G334" s="53" t="s">
        <v>605</v>
      </c>
      <c r="H334" s="2" t="s">
        <v>25</v>
      </c>
      <c r="I334" s="2" t="s">
        <v>912</v>
      </c>
      <c r="J334" s="2" t="s">
        <v>22</v>
      </c>
      <c r="K334" s="2" t="s">
        <v>325</v>
      </c>
      <c r="L334" s="7">
        <v>-74.153942789812405</v>
      </c>
      <c r="M334" s="7">
        <v>4.6762796525615702</v>
      </c>
    </row>
    <row r="335" spans="1:13">
      <c r="A335" s="24">
        <v>335</v>
      </c>
      <c r="B335" s="5">
        <v>46146</v>
      </c>
      <c r="C335" s="5">
        <v>46146</v>
      </c>
      <c r="D335" s="30">
        <f t="shared" si="10"/>
        <v>0</v>
      </c>
      <c r="E335" s="5" t="s">
        <v>317</v>
      </c>
      <c r="F335" s="5" t="s">
        <v>604</v>
      </c>
      <c r="G335" s="53" t="s">
        <v>605</v>
      </c>
      <c r="H335" s="2" t="s">
        <v>25</v>
      </c>
      <c r="I335" s="2" t="s">
        <v>752</v>
      </c>
      <c r="J335" s="2" t="s">
        <v>753</v>
      </c>
      <c r="K335" s="2" t="s">
        <v>343</v>
      </c>
      <c r="L335" s="7">
        <v>-74.446223201766998</v>
      </c>
      <c r="M335" s="7">
        <v>4.5836372247020201</v>
      </c>
    </row>
    <row r="336" spans="1:13">
      <c r="A336" s="24">
        <v>336</v>
      </c>
      <c r="B336" s="5">
        <v>46146</v>
      </c>
      <c r="C336" s="5">
        <v>46146</v>
      </c>
      <c r="D336" s="30">
        <f t="shared" si="10"/>
        <v>0</v>
      </c>
      <c r="E336" s="5" t="s">
        <v>317</v>
      </c>
      <c r="F336" s="5" t="s">
        <v>604</v>
      </c>
      <c r="G336" s="53" t="s">
        <v>834</v>
      </c>
      <c r="H336" s="2" t="s">
        <v>25</v>
      </c>
      <c r="I336" s="2" t="s">
        <v>456</v>
      </c>
      <c r="J336" s="2" t="s">
        <v>22</v>
      </c>
      <c r="K336" s="2" t="s">
        <v>343</v>
      </c>
      <c r="L336" s="7">
        <v>-74.060120779466402</v>
      </c>
      <c r="M336" s="7">
        <v>4.6635132747366503</v>
      </c>
    </row>
    <row r="337" spans="1:14">
      <c r="A337" s="24">
        <v>337</v>
      </c>
      <c r="B337" s="5">
        <v>46146</v>
      </c>
      <c r="C337" s="5">
        <v>46146</v>
      </c>
      <c r="D337" s="30">
        <f t="shared" si="10"/>
        <v>0</v>
      </c>
      <c r="E337" s="5" t="s">
        <v>317</v>
      </c>
      <c r="F337" s="5" t="s">
        <v>604</v>
      </c>
      <c r="G337" s="53" t="s">
        <v>834</v>
      </c>
      <c r="H337" s="2" t="s">
        <v>25</v>
      </c>
      <c r="I337" s="2" t="s">
        <v>457</v>
      </c>
      <c r="J337" s="2" t="s">
        <v>22</v>
      </c>
      <c r="K337" s="2" t="s">
        <v>343</v>
      </c>
      <c r="L337" s="7">
        <v>-74.055872161572196</v>
      </c>
      <c r="M337" s="7">
        <v>4.6732457122078204</v>
      </c>
    </row>
    <row r="338" spans="1:14">
      <c r="A338" s="24">
        <v>338</v>
      </c>
      <c r="B338" s="5">
        <v>46146</v>
      </c>
      <c r="C338" s="5">
        <v>46146</v>
      </c>
      <c r="D338" s="30">
        <f t="shared" si="10"/>
        <v>0</v>
      </c>
      <c r="E338" s="5" t="s">
        <v>317</v>
      </c>
      <c r="F338" s="5" t="s">
        <v>604</v>
      </c>
      <c r="G338" s="53" t="s">
        <v>834</v>
      </c>
      <c r="H338" s="2" t="s">
        <v>25</v>
      </c>
      <c r="I338" s="2" t="s">
        <v>458</v>
      </c>
      <c r="J338" s="2" t="s">
        <v>22</v>
      </c>
      <c r="K338" s="2" t="s">
        <v>343</v>
      </c>
      <c r="L338" s="7">
        <v>-74.0499682316687</v>
      </c>
      <c r="M338" s="7">
        <v>4.6780106956124303</v>
      </c>
    </row>
    <row r="339" spans="1:14">
      <c r="A339" s="24">
        <v>339</v>
      </c>
      <c r="B339" s="5">
        <v>46146</v>
      </c>
      <c r="C339" s="5">
        <v>46146</v>
      </c>
      <c r="D339" s="30">
        <f t="shared" ref="D339:D370" si="11">C339-B339</f>
        <v>0</v>
      </c>
      <c r="E339" s="5" t="s">
        <v>317</v>
      </c>
      <c r="F339" s="5" t="s">
        <v>604</v>
      </c>
      <c r="G339" s="53" t="s">
        <v>605</v>
      </c>
      <c r="H339" s="2" t="s">
        <v>25</v>
      </c>
      <c r="I339" s="2" t="s">
        <v>913</v>
      </c>
      <c r="J339" s="2" t="s">
        <v>22</v>
      </c>
      <c r="K339" s="2" t="s">
        <v>343</v>
      </c>
      <c r="L339" s="7">
        <v>-74.097382680053997</v>
      </c>
      <c r="M339" s="7">
        <v>4.6246155696130096</v>
      </c>
    </row>
    <row r="340" spans="1:14">
      <c r="A340" s="24">
        <v>340</v>
      </c>
      <c r="B340" s="5">
        <v>46146</v>
      </c>
      <c r="C340" s="5">
        <v>46147</v>
      </c>
      <c r="D340" s="30">
        <f t="shared" si="11"/>
        <v>1</v>
      </c>
      <c r="E340" s="5" t="s">
        <v>317</v>
      </c>
      <c r="F340" s="5" t="s">
        <v>604</v>
      </c>
      <c r="G340" s="53" t="s">
        <v>834</v>
      </c>
      <c r="H340" s="2" t="s">
        <v>25</v>
      </c>
      <c r="I340" s="2" t="s">
        <v>459</v>
      </c>
      <c r="J340" s="2" t="s">
        <v>22</v>
      </c>
      <c r="K340" s="2" t="s">
        <v>343</v>
      </c>
      <c r="L340" s="7">
        <v>-74.116290275173398</v>
      </c>
      <c r="M340" s="7">
        <v>4.6277943032297904</v>
      </c>
    </row>
    <row r="341" spans="1:14">
      <c r="A341" s="24">
        <v>341</v>
      </c>
      <c r="B341" s="5">
        <v>46146</v>
      </c>
      <c r="C341" s="5">
        <v>46147</v>
      </c>
      <c r="D341" s="30">
        <f t="shared" si="11"/>
        <v>1</v>
      </c>
      <c r="E341" s="5" t="s">
        <v>317</v>
      </c>
      <c r="F341" s="5" t="s">
        <v>604</v>
      </c>
      <c r="G341" s="53" t="s">
        <v>605</v>
      </c>
      <c r="H341" s="2" t="s">
        <v>25</v>
      </c>
      <c r="I341" s="2" t="s">
        <v>914</v>
      </c>
      <c r="J341" s="2" t="s">
        <v>22</v>
      </c>
      <c r="K341" s="2" t="s">
        <v>343</v>
      </c>
      <c r="L341" s="7">
        <v>-74.050267820683999</v>
      </c>
      <c r="M341" s="7">
        <v>4.6853680430663998</v>
      </c>
    </row>
    <row r="342" spans="1:14">
      <c r="A342" s="24">
        <v>342</v>
      </c>
      <c r="B342" s="5">
        <v>46146</v>
      </c>
      <c r="C342" s="5">
        <v>46146</v>
      </c>
      <c r="D342" s="30">
        <f t="shared" si="11"/>
        <v>0</v>
      </c>
      <c r="E342" s="5" t="s">
        <v>254</v>
      </c>
      <c r="F342" s="5" t="s">
        <v>621</v>
      </c>
      <c r="G342" s="53" t="s">
        <v>605</v>
      </c>
      <c r="H342" s="2" t="s">
        <v>25</v>
      </c>
      <c r="I342" s="2" t="s">
        <v>915</v>
      </c>
      <c r="J342" s="2" t="s">
        <v>22</v>
      </c>
      <c r="K342" s="2" t="s">
        <v>325</v>
      </c>
      <c r="L342" s="7">
        <v>-74.125406349748005</v>
      </c>
      <c r="M342" s="7">
        <v>4.7143341782531598</v>
      </c>
    </row>
    <row r="343" spans="1:14">
      <c r="A343" s="24">
        <v>343</v>
      </c>
      <c r="B343" s="5">
        <v>46146</v>
      </c>
      <c r="C343" s="5">
        <v>46146</v>
      </c>
      <c r="D343" s="30">
        <f t="shared" si="11"/>
        <v>0</v>
      </c>
      <c r="E343" s="5" t="s">
        <v>254</v>
      </c>
      <c r="F343" s="5" t="s">
        <v>621</v>
      </c>
      <c r="G343" s="53" t="s">
        <v>605</v>
      </c>
      <c r="H343" s="2" t="s">
        <v>25</v>
      </c>
      <c r="I343" s="2" t="s">
        <v>916</v>
      </c>
      <c r="J343" s="2" t="s">
        <v>22</v>
      </c>
      <c r="K343" s="2" t="s">
        <v>325</v>
      </c>
      <c r="L343" s="7">
        <v>-74.110923337335507</v>
      </c>
      <c r="M343" s="7">
        <v>4.6675479138180203</v>
      </c>
    </row>
    <row r="344" spans="1:14">
      <c r="A344" s="24">
        <v>344</v>
      </c>
      <c r="B344" s="5">
        <v>46150</v>
      </c>
      <c r="C344" s="5">
        <v>46150</v>
      </c>
      <c r="D344" s="30">
        <f t="shared" si="11"/>
        <v>0</v>
      </c>
      <c r="E344" s="5" t="s">
        <v>317</v>
      </c>
      <c r="F344" s="5" t="s">
        <v>621</v>
      </c>
      <c r="G344" s="53" t="s">
        <v>605</v>
      </c>
      <c r="H344" s="2" t="s">
        <v>25</v>
      </c>
      <c r="I344" s="2" t="s">
        <v>917</v>
      </c>
      <c r="J344" s="2" t="s">
        <v>22</v>
      </c>
      <c r="K344" s="2" t="s">
        <v>48</v>
      </c>
      <c r="L344" s="7">
        <v>-74.061986765071893</v>
      </c>
      <c r="M344" s="7">
        <v>4.7468263240051103</v>
      </c>
    </row>
    <row r="345" spans="1:14">
      <c r="A345" s="24">
        <v>345</v>
      </c>
      <c r="B345" s="5">
        <v>46150</v>
      </c>
      <c r="C345" s="5">
        <v>46153</v>
      </c>
      <c r="D345" s="30">
        <f t="shared" si="11"/>
        <v>3</v>
      </c>
      <c r="E345" s="5" t="s">
        <v>254</v>
      </c>
      <c r="F345" s="5" t="s">
        <v>621</v>
      </c>
      <c r="G345" s="53" t="s">
        <v>605</v>
      </c>
      <c r="H345" s="2" t="s">
        <v>25</v>
      </c>
      <c r="I345" s="2" t="s">
        <v>918</v>
      </c>
      <c r="J345" s="2" t="s">
        <v>22</v>
      </c>
      <c r="K345" s="2" t="s">
        <v>325</v>
      </c>
      <c r="L345" s="7">
        <v>-74.125674434949005</v>
      </c>
      <c r="M345" s="7">
        <v>4.6674067132004904</v>
      </c>
    </row>
    <row r="346" spans="1:14">
      <c r="A346" s="24">
        <v>346</v>
      </c>
      <c r="B346" s="5">
        <v>46150</v>
      </c>
      <c r="C346" s="5">
        <v>46153</v>
      </c>
      <c r="D346" s="30">
        <f t="shared" si="11"/>
        <v>3</v>
      </c>
      <c r="E346" s="5" t="s">
        <v>254</v>
      </c>
      <c r="F346" s="5" t="s">
        <v>621</v>
      </c>
      <c r="G346" s="53" t="s">
        <v>605</v>
      </c>
      <c r="H346" s="2" t="s">
        <v>25</v>
      </c>
      <c r="I346" s="2" t="s">
        <v>919</v>
      </c>
      <c r="J346" s="2" t="s">
        <v>22</v>
      </c>
      <c r="K346" s="2" t="s">
        <v>325</v>
      </c>
      <c r="L346" s="7">
        <v>-74.122479058632607</v>
      </c>
      <c r="M346" s="7">
        <v>4.6693058935874303</v>
      </c>
    </row>
    <row r="347" spans="1:14">
      <c r="A347" s="24">
        <v>347</v>
      </c>
      <c r="B347" s="5">
        <v>46150</v>
      </c>
      <c r="D347" s="30">
        <f t="shared" si="11"/>
        <v>-46150</v>
      </c>
      <c r="E347" s="5" t="s">
        <v>254</v>
      </c>
      <c r="F347" s="5" t="s">
        <v>621</v>
      </c>
      <c r="J347" s="2" t="s">
        <v>22</v>
      </c>
      <c r="K347" s="2" t="s">
        <v>325</v>
      </c>
      <c r="N347" s="51" t="s">
        <v>920</v>
      </c>
    </row>
    <row r="348" spans="1:14">
      <c r="A348" s="24">
        <v>348</v>
      </c>
      <c r="B348" s="5">
        <v>46153</v>
      </c>
      <c r="C348" s="5">
        <v>46153</v>
      </c>
      <c r="D348" s="30">
        <f t="shared" si="11"/>
        <v>0</v>
      </c>
      <c r="E348" s="5" t="s">
        <v>254</v>
      </c>
      <c r="F348" s="5" t="s">
        <v>621</v>
      </c>
      <c r="G348" s="53" t="s">
        <v>605</v>
      </c>
      <c r="H348" s="2" t="s">
        <v>25</v>
      </c>
      <c r="I348" s="2" t="s">
        <v>921</v>
      </c>
      <c r="J348" s="2" t="s">
        <v>22</v>
      </c>
      <c r="K348" s="2" t="s">
        <v>325</v>
      </c>
      <c r="L348" s="7">
        <v>-74.064770546007793</v>
      </c>
      <c r="M348" s="7">
        <v>4.6471674010330402</v>
      </c>
    </row>
    <row r="349" spans="1:14">
      <c r="A349" s="24">
        <v>349</v>
      </c>
      <c r="B349" s="5">
        <v>46153</v>
      </c>
      <c r="C349" s="5">
        <v>46153</v>
      </c>
      <c r="D349" s="30">
        <f t="shared" si="11"/>
        <v>0</v>
      </c>
      <c r="E349" s="5" t="s">
        <v>317</v>
      </c>
      <c r="F349" s="5" t="s">
        <v>621</v>
      </c>
      <c r="G349" s="53" t="s">
        <v>605</v>
      </c>
      <c r="H349" s="2" t="s">
        <v>25</v>
      </c>
      <c r="I349" s="2" t="s">
        <v>922</v>
      </c>
      <c r="J349" s="2" t="s">
        <v>22</v>
      </c>
      <c r="K349" s="2" t="s">
        <v>325</v>
      </c>
      <c r="L349" s="7">
        <v>-74.084295292596394</v>
      </c>
      <c r="M349" s="7">
        <v>4.6133243346052701</v>
      </c>
    </row>
    <row r="350" spans="1:14">
      <c r="A350" s="24">
        <v>350</v>
      </c>
      <c r="B350" s="5">
        <v>46153</v>
      </c>
      <c r="C350" s="5">
        <v>46153</v>
      </c>
      <c r="D350" s="30">
        <f t="shared" si="11"/>
        <v>0</v>
      </c>
      <c r="E350" s="5" t="s">
        <v>317</v>
      </c>
      <c r="F350" s="5" t="s">
        <v>621</v>
      </c>
      <c r="G350" s="53" t="s">
        <v>618</v>
      </c>
      <c r="H350" s="2" t="s">
        <v>25</v>
      </c>
      <c r="I350" s="2" t="s">
        <v>460</v>
      </c>
      <c r="J350" s="2" t="s">
        <v>22</v>
      </c>
      <c r="K350" s="2" t="s">
        <v>38</v>
      </c>
      <c r="L350" s="7">
        <v>-74.065303347798306</v>
      </c>
      <c r="M350" s="7">
        <v>4.6654991532324299</v>
      </c>
    </row>
    <row r="351" spans="1:14">
      <c r="A351" s="24">
        <v>351</v>
      </c>
      <c r="B351" s="5">
        <v>46153</v>
      </c>
      <c r="C351" s="5">
        <v>46153</v>
      </c>
      <c r="D351" s="30">
        <f t="shared" si="11"/>
        <v>0</v>
      </c>
      <c r="E351" s="5" t="s">
        <v>317</v>
      </c>
      <c r="F351" s="5" t="s">
        <v>621</v>
      </c>
      <c r="G351" s="53" t="s">
        <v>618</v>
      </c>
      <c r="H351" s="2" t="s">
        <v>25</v>
      </c>
      <c r="I351" s="2" t="s">
        <v>461</v>
      </c>
      <c r="J351" s="2" t="s">
        <v>22</v>
      </c>
      <c r="K351" s="2" t="s">
        <v>38</v>
      </c>
      <c r="L351" s="7">
        <v>-74.052010146003795</v>
      </c>
      <c r="M351" s="7">
        <v>4.6661871452130796</v>
      </c>
    </row>
    <row r="352" spans="1:14">
      <c r="A352" s="24">
        <v>352</v>
      </c>
      <c r="B352" s="5">
        <v>46153</v>
      </c>
      <c r="C352" s="5">
        <v>46154</v>
      </c>
      <c r="D352" s="30">
        <f t="shared" si="11"/>
        <v>1</v>
      </c>
      <c r="E352" s="5" t="s">
        <v>254</v>
      </c>
      <c r="F352" s="5" t="s">
        <v>621</v>
      </c>
      <c r="G352" s="53" t="s">
        <v>618</v>
      </c>
      <c r="H352" s="2" t="s">
        <v>25</v>
      </c>
      <c r="I352" s="2" t="s">
        <v>482</v>
      </c>
      <c r="J352" s="2" t="s">
        <v>22</v>
      </c>
      <c r="K352" s="2" t="s">
        <v>33</v>
      </c>
    </row>
    <row r="353" spans="1:13">
      <c r="A353" s="24">
        <v>353</v>
      </c>
      <c r="B353" s="5">
        <v>46154</v>
      </c>
      <c r="C353" s="5">
        <v>46154</v>
      </c>
      <c r="D353" s="30">
        <f t="shared" si="11"/>
        <v>0</v>
      </c>
      <c r="E353" s="5" t="s">
        <v>317</v>
      </c>
      <c r="F353" s="5" t="s">
        <v>621</v>
      </c>
      <c r="G353" s="53" t="s">
        <v>605</v>
      </c>
      <c r="H353" s="2" t="s">
        <v>25</v>
      </c>
      <c r="I353" s="2" t="s">
        <v>923</v>
      </c>
      <c r="J353" s="2" t="s">
        <v>22</v>
      </c>
      <c r="K353" s="2" t="s">
        <v>569</v>
      </c>
      <c r="L353" s="7">
        <v>-75.184010729560896</v>
      </c>
      <c r="M353" s="7">
        <v>4.4307939227081903</v>
      </c>
    </row>
    <row r="354" spans="1:13">
      <c r="A354" s="24">
        <v>354</v>
      </c>
      <c r="B354" s="5">
        <v>46155</v>
      </c>
      <c r="C354" s="5">
        <v>46155</v>
      </c>
      <c r="D354" s="30">
        <f t="shared" si="11"/>
        <v>0</v>
      </c>
      <c r="E354" s="5" t="s">
        <v>317</v>
      </c>
      <c r="F354" s="5" t="s">
        <v>621</v>
      </c>
      <c r="G354" s="53" t="s">
        <v>605</v>
      </c>
      <c r="H354" s="2" t="s">
        <v>25</v>
      </c>
      <c r="I354" s="2" t="s">
        <v>924</v>
      </c>
      <c r="J354" s="2" t="s">
        <v>320</v>
      </c>
      <c r="K354" s="2" t="s">
        <v>48</v>
      </c>
      <c r="L354" s="7">
        <v>-76.542925596468095</v>
      </c>
      <c r="M354" s="7">
        <v>3.4228916886803802</v>
      </c>
    </row>
    <row r="355" spans="1:13">
      <c r="A355" s="24">
        <v>355</v>
      </c>
      <c r="B355" s="5">
        <v>46155</v>
      </c>
      <c r="C355" s="5">
        <v>46155</v>
      </c>
      <c r="D355" s="30">
        <f t="shared" si="11"/>
        <v>0</v>
      </c>
      <c r="E355" s="5" t="s">
        <v>317</v>
      </c>
      <c r="F355" s="5" t="s">
        <v>604</v>
      </c>
      <c r="G355" s="53" t="s">
        <v>605</v>
      </c>
      <c r="H355" s="2" t="s">
        <v>25</v>
      </c>
      <c r="I355" s="2" t="s">
        <v>925</v>
      </c>
      <c r="J355" s="2" t="s">
        <v>22</v>
      </c>
      <c r="K355" s="2" t="s">
        <v>343</v>
      </c>
      <c r="L355" s="7">
        <v>-74.060801993135996</v>
      </c>
      <c r="M355" s="7">
        <v>4.6599877834419896</v>
      </c>
    </row>
    <row r="356" spans="1:13">
      <c r="A356" s="24">
        <v>356</v>
      </c>
      <c r="B356" s="5">
        <v>46155</v>
      </c>
      <c r="C356" s="5">
        <v>46156</v>
      </c>
      <c r="D356" s="30">
        <f t="shared" si="11"/>
        <v>1</v>
      </c>
      <c r="E356" s="5" t="s">
        <v>317</v>
      </c>
      <c r="F356" s="5" t="s">
        <v>604</v>
      </c>
      <c r="G356" s="53" t="s">
        <v>618</v>
      </c>
      <c r="H356" s="2" t="s">
        <v>25</v>
      </c>
      <c r="I356" s="2" t="s">
        <v>463</v>
      </c>
      <c r="J356" s="2" t="s">
        <v>22</v>
      </c>
      <c r="K356" s="2" t="s">
        <v>343</v>
      </c>
      <c r="L356" s="7">
        <v>-74.806405300588295</v>
      </c>
      <c r="M356" s="7">
        <v>4.29707112954826</v>
      </c>
    </row>
    <row r="357" spans="1:13">
      <c r="A357" s="24">
        <v>357</v>
      </c>
      <c r="B357" s="5">
        <v>46155</v>
      </c>
      <c r="C357" s="5">
        <v>46156</v>
      </c>
      <c r="D357" s="30">
        <f t="shared" si="11"/>
        <v>1</v>
      </c>
      <c r="E357" s="5" t="s">
        <v>317</v>
      </c>
      <c r="F357" s="5" t="s">
        <v>604</v>
      </c>
      <c r="G357" s="53" t="s">
        <v>618</v>
      </c>
      <c r="H357" s="2" t="s">
        <v>25</v>
      </c>
      <c r="I357" s="2" t="s">
        <v>464</v>
      </c>
      <c r="J357" s="2" t="s">
        <v>22</v>
      </c>
      <c r="K357" s="2" t="s">
        <v>343</v>
      </c>
      <c r="L357" s="7">
        <v>-74.145013825014303</v>
      </c>
      <c r="M357" s="7">
        <v>4.6413540721460098</v>
      </c>
    </row>
    <row r="358" spans="1:13">
      <c r="A358" s="24">
        <v>358</v>
      </c>
      <c r="B358" s="5">
        <v>46155</v>
      </c>
      <c r="C358" s="5">
        <v>46157</v>
      </c>
      <c r="D358" s="30">
        <f t="shared" si="11"/>
        <v>2</v>
      </c>
      <c r="E358" s="5" t="s">
        <v>317</v>
      </c>
      <c r="F358" s="5" t="s">
        <v>604</v>
      </c>
      <c r="G358" s="53" t="s">
        <v>618</v>
      </c>
      <c r="H358" s="2" t="s">
        <v>25</v>
      </c>
      <c r="I358" s="2" t="s">
        <v>466</v>
      </c>
      <c r="J358" s="2" t="s">
        <v>22</v>
      </c>
      <c r="K358" s="2" t="s">
        <v>343</v>
      </c>
      <c r="L358" s="7">
        <v>-74.055600887865197</v>
      </c>
      <c r="M358" s="7">
        <v>4.6655271893863297</v>
      </c>
    </row>
    <row r="359" spans="1:13">
      <c r="A359" s="24">
        <v>359</v>
      </c>
      <c r="B359" s="5">
        <v>46155</v>
      </c>
      <c r="C359" s="5">
        <v>46157</v>
      </c>
      <c r="D359" s="30">
        <f t="shared" si="11"/>
        <v>2</v>
      </c>
      <c r="E359" s="5" t="s">
        <v>317</v>
      </c>
      <c r="F359" s="5" t="s">
        <v>604</v>
      </c>
      <c r="G359" s="53" t="s">
        <v>618</v>
      </c>
      <c r="H359" s="2" t="s">
        <v>25</v>
      </c>
      <c r="I359" s="2" t="s">
        <v>467</v>
      </c>
      <c r="J359" s="2" t="s">
        <v>22</v>
      </c>
      <c r="K359" s="2" t="s">
        <v>343</v>
      </c>
      <c r="L359" s="7">
        <v>-74.055408235177296</v>
      </c>
      <c r="M359" s="7">
        <v>4.6652353202914103</v>
      </c>
    </row>
    <row r="360" spans="1:13">
      <c r="A360" s="24">
        <v>360</v>
      </c>
      <c r="B360" s="5">
        <v>46155</v>
      </c>
      <c r="C360" s="5">
        <v>46156</v>
      </c>
      <c r="D360" s="30">
        <f t="shared" si="11"/>
        <v>1</v>
      </c>
      <c r="E360" s="5" t="s">
        <v>317</v>
      </c>
      <c r="F360" s="5" t="s">
        <v>604</v>
      </c>
      <c r="G360" s="53" t="s">
        <v>605</v>
      </c>
      <c r="H360" s="2" t="s">
        <v>25</v>
      </c>
      <c r="I360" s="2" t="s">
        <v>926</v>
      </c>
      <c r="J360" s="2" t="s">
        <v>22</v>
      </c>
      <c r="K360" s="2" t="s">
        <v>343</v>
      </c>
      <c r="L360" s="7">
        <v>-74.179089241745103</v>
      </c>
      <c r="M360" s="7">
        <v>4.73820318137256</v>
      </c>
    </row>
    <row r="361" spans="1:13">
      <c r="A361" s="24">
        <v>361</v>
      </c>
      <c r="B361" s="5">
        <v>46155</v>
      </c>
      <c r="C361" s="5">
        <v>46156</v>
      </c>
      <c r="D361" s="30">
        <f t="shared" si="11"/>
        <v>1</v>
      </c>
      <c r="E361" s="5" t="s">
        <v>317</v>
      </c>
      <c r="F361" s="5" t="s">
        <v>604</v>
      </c>
      <c r="G361" s="53" t="s">
        <v>618</v>
      </c>
      <c r="H361" s="2" t="s">
        <v>25</v>
      </c>
      <c r="I361" s="2" t="s">
        <v>468</v>
      </c>
      <c r="J361" s="2" t="s">
        <v>22</v>
      </c>
      <c r="K361" s="2" t="s">
        <v>343</v>
      </c>
      <c r="L361" s="7">
        <v>-74.042143390836202</v>
      </c>
      <c r="M361" s="7">
        <v>4.6811182692002404</v>
      </c>
    </row>
    <row r="362" spans="1:13">
      <c r="A362" s="24">
        <v>362</v>
      </c>
      <c r="B362" s="5">
        <v>46155</v>
      </c>
      <c r="C362" s="5">
        <v>46156</v>
      </c>
      <c r="D362" s="30">
        <f t="shared" si="11"/>
        <v>1</v>
      </c>
      <c r="E362" s="5" t="s">
        <v>317</v>
      </c>
      <c r="F362" s="5" t="s">
        <v>621</v>
      </c>
      <c r="G362" s="53" t="s">
        <v>618</v>
      </c>
      <c r="H362" s="2" t="s">
        <v>25</v>
      </c>
      <c r="I362" s="2" t="s">
        <v>472</v>
      </c>
      <c r="J362" s="2" t="s">
        <v>22</v>
      </c>
      <c r="K362" s="2" t="s">
        <v>393</v>
      </c>
      <c r="L362" s="7">
        <v>-74.058346536662299</v>
      </c>
      <c r="M362" s="7">
        <v>4.6833404706322499</v>
      </c>
    </row>
    <row r="363" spans="1:13">
      <c r="A363" s="24">
        <v>363</v>
      </c>
      <c r="B363" s="5">
        <v>46155</v>
      </c>
      <c r="C363" s="5">
        <v>46156</v>
      </c>
      <c r="D363" s="30">
        <f t="shared" si="11"/>
        <v>1</v>
      </c>
      <c r="E363" s="5" t="s">
        <v>317</v>
      </c>
      <c r="F363" s="5" t="s">
        <v>621</v>
      </c>
      <c r="G363" s="53" t="s">
        <v>605</v>
      </c>
      <c r="H363" s="2" t="s">
        <v>25</v>
      </c>
      <c r="I363" s="2" t="s">
        <v>927</v>
      </c>
      <c r="J363" s="2" t="s">
        <v>22</v>
      </c>
      <c r="K363" s="2" t="s">
        <v>393</v>
      </c>
      <c r="L363" s="7">
        <v>-74.135949846424296</v>
      </c>
      <c r="M363" s="7">
        <v>4.6926610447019197</v>
      </c>
    </row>
    <row r="364" spans="1:13">
      <c r="A364" s="24">
        <v>364</v>
      </c>
      <c r="B364" s="5">
        <v>46155</v>
      </c>
      <c r="C364" s="5">
        <v>46156</v>
      </c>
      <c r="D364" s="30">
        <f t="shared" si="11"/>
        <v>1</v>
      </c>
      <c r="E364" s="5" t="s">
        <v>317</v>
      </c>
      <c r="F364" s="5" t="s">
        <v>621</v>
      </c>
      <c r="G364" s="53" t="s">
        <v>605</v>
      </c>
      <c r="H364" s="2" t="s">
        <v>25</v>
      </c>
      <c r="I364" s="2" t="s">
        <v>928</v>
      </c>
      <c r="J364" s="2" t="s">
        <v>22</v>
      </c>
      <c r="K364" s="2" t="s">
        <v>393</v>
      </c>
      <c r="L364" s="7">
        <v>-74.175803458964495</v>
      </c>
      <c r="M364" s="7">
        <v>4.5971054561831997</v>
      </c>
    </row>
    <row r="365" spans="1:13">
      <c r="A365" s="24">
        <v>365</v>
      </c>
      <c r="B365" s="5">
        <v>46156</v>
      </c>
      <c r="C365" s="5">
        <v>46156</v>
      </c>
      <c r="D365" s="30">
        <f t="shared" si="11"/>
        <v>0</v>
      </c>
      <c r="E365" s="5" t="s">
        <v>317</v>
      </c>
      <c r="F365" s="5" t="s">
        <v>621</v>
      </c>
      <c r="G365" s="53" t="s">
        <v>605</v>
      </c>
      <c r="H365" s="2" t="s">
        <v>25</v>
      </c>
      <c r="I365" s="2" t="s">
        <v>929</v>
      </c>
      <c r="J365" s="2" t="s">
        <v>930</v>
      </c>
      <c r="K365" s="2" t="s">
        <v>393</v>
      </c>
      <c r="L365" s="7">
        <v>-74.360790828245598</v>
      </c>
      <c r="M365" s="7">
        <v>4.8200198896951196</v>
      </c>
    </row>
    <row r="366" spans="1:13">
      <c r="A366" s="24">
        <v>366</v>
      </c>
      <c r="B366" s="5">
        <v>46156</v>
      </c>
      <c r="C366" s="5">
        <v>46156</v>
      </c>
      <c r="D366" s="30">
        <f t="shared" si="11"/>
        <v>0</v>
      </c>
      <c r="E366" s="5" t="s">
        <v>317</v>
      </c>
      <c r="F366" s="5" t="s">
        <v>621</v>
      </c>
      <c r="G366" s="53" t="s">
        <v>605</v>
      </c>
      <c r="H366" s="2" t="s">
        <v>25</v>
      </c>
      <c r="I366" s="2" t="s">
        <v>205</v>
      </c>
      <c r="J366" s="2" t="s">
        <v>22</v>
      </c>
      <c r="K366" s="2" t="s">
        <v>38</v>
      </c>
      <c r="L366" s="7">
        <v>-74.051874151697007</v>
      </c>
      <c r="M366" s="7">
        <v>4.6676168577455002</v>
      </c>
    </row>
    <row r="367" spans="1:13">
      <c r="A367" s="24">
        <v>367</v>
      </c>
      <c r="B367" s="5">
        <v>46156</v>
      </c>
      <c r="C367" s="5">
        <v>46157</v>
      </c>
      <c r="D367" s="30">
        <f t="shared" si="11"/>
        <v>1</v>
      </c>
      <c r="E367" s="5" t="s">
        <v>254</v>
      </c>
      <c r="F367" s="5" t="s">
        <v>621</v>
      </c>
      <c r="G367" s="53" t="s">
        <v>605</v>
      </c>
      <c r="H367" s="2" t="s">
        <v>25</v>
      </c>
      <c r="I367" s="2" t="s">
        <v>931</v>
      </c>
      <c r="J367" s="2" t="s">
        <v>22</v>
      </c>
      <c r="K367" s="2" t="s">
        <v>80</v>
      </c>
      <c r="L367" s="10">
        <v>-74.0308765623043</v>
      </c>
      <c r="M367" s="7">
        <v>4.7679711085435397</v>
      </c>
    </row>
    <row r="368" spans="1:13">
      <c r="A368" s="24">
        <v>368</v>
      </c>
      <c r="B368" s="5">
        <v>46156</v>
      </c>
      <c r="C368" s="5">
        <v>46157</v>
      </c>
      <c r="D368" s="30">
        <f t="shared" si="11"/>
        <v>1</v>
      </c>
      <c r="E368" s="5" t="s">
        <v>254</v>
      </c>
      <c r="F368" s="5" t="s">
        <v>621</v>
      </c>
      <c r="G368" s="53" t="s">
        <v>618</v>
      </c>
      <c r="H368" s="2" t="s">
        <v>25</v>
      </c>
      <c r="I368" s="2" t="s">
        <v>932</v>
      </c>
      <c r="J368" s="2" t="s">
        <v>22</v>
      </c>
      <c r="K368" s="2" t="s">
        <v>33</v>
      </c>
      <c r="L368" s="7">
        <v>-74.062413967754395</v>
      </c>
      <c r="M368" s="7">
        <v>4.6916158895453801</v>
      </c>
    </row>
    <row r="369" spans="1:14">
      <c r="A369" s="24">
        <v>369</v>
      </c>
      <c r="B369" s="5">
        <v>46156</v>
      </c>
      <c r="C369" s="5">
        <v>46157</v>
      </c>
      <c r="D369" s="30">
        <f t="shared" si="11"/>
        <v>1</v>
      </c>
      <c r="E369" s="5" t="s">
        <v>254</v>
      </c>
      <c r="F369" s="5" t="s">
        <v>621</v>
      </c>
      <c r="G369" s="53" t="s">
        <v>618</v>
      </c>
      <c r="H369" s="2" t="s">
        <v>25</v>
      </c>
      <c r="I369" s="2" t="s">
        <v>933</v>
      </c>
      <c r="J369" s="2" t="s">
        <v>22</v>
      </c>
      <c r="K369" s="2" t="s">
        <v>33</v>
      </c>
    </row>
    <row r="370" spans="1:14">
      <c r="A370" s="24">
        <v>370</v>
      </c>
      <c r="B370" s="5">
        <v>46156</v>
      </c>
      <c r="C370" s="5">
        <v>46157</v>
      </c>
      <c r="D370" s="30">
        <f t="shared" si="11"/>
        <v>1</v>
      </c>
      <c r="E370" s="5" t="s">
        <v>254</v>
      </c>
      <c r="F370" s="5" t="s">
        <v>621</v>
      </c>
      <c r="G370" s="53" t="s">
        <v>618</v>
      </c>
      <c r="H370" s="2" t="s">
        <v>25</v>
      </c>
      <c r="I370" s="2" t="s">
        <v>934</v>
      </c>
      <c r="J370" s="2" t="s">
        <v>22</v>
      </c>
      <c r="K370" s="2" t="s">
        <v>33</v>
      </c>
      <c r="L370" s="7">
        <v>-74.045924400000004</v>
      </c>
      <c r="M370" s="7">
        <v>4.6931324999999999</v>
      </c>
    </row>
    <row r="371" spans="1:14">
      <c r="A371" s="24">
        <v>371</v>
      </c>
      <c r="B371" s="5">
        <v>46156</v>
      </c>
      <c r="C371" s="5">
        <v>46157</v>
      </c>
      <c r="D371" s="30">
        <f t="shared" ref="D371:D435" si="12">C371-B371</f>
        <v>1</v>
      </c>
      <c r="E371" s="5" t="s">
        <v>254</v>
      </c>
      <c r="F371" s="5" t="s">
        <v>621</v>
      </c>
      <c r="G371" s="53" t="s">
        <v>618</v>
      </c>
      <c r="H371" s="2" t="s">
        <v>25</v>
      </c>
      <c r="I371" s="2" t="s">
        <v>935</v>
      </c>
      <c r="J371" s="2" t="s">
        <v>22</v>
      </c>
      <c r="K371" s="2" t="s">
        <v>33</v>
      </c>
      <c r="L371" s="7">
        <v>-74.047021299999997</v>
      </c>
      <c r="M371" s="7">
        <v>4.7014487999999997</v>
      </c>
    </row>
    <row r="372" spans="1:14">
      <c r="A372" s="24">
        <v>372</v>
      </c>
      <c r="B372" s="5">
        <v>46156</v>
      </c>
      <c r="C372" s="5">
        <v>46157</v>
      </c>
      <c r="D372" s="30">
        <f t="shared" si="12"/>
        <v>1</v>
      </c>
      <c r="E372" s="5" t="s">
        <v>254</v>
      </c>
      <c r="F372" s="5" t="s">
        <v>621</v>
      </c>
      <c r="G372" s="53" t="s">
        <v>618</v>
      </c>
      <c r="H372" s="2" t="s">
        <v>25</v>
      </c>
      <c r="I372" s="2" t="s">
        <v>936</v>
      </c>
      <c r="J372" s="2" t="s">
        <v>937</v>
      </c>
      <c r="K372" s="2" t="s">
        <v>325</v>
      </c>
      <c r="L372" s="7">
        <v>-73.117677186506498</v>
      </c>
      <c r="M372" s="7">
        <v>5.7761501616506701</v>
      </c>
    </row>
    <row r="373" spans="1:14">
      <c r="A373" s="24">
        <v>373</v>
      </c>
      <c r="B373" s="5">
        <v>46157</v>
      </c>
      <c r="C373" s="5">
        <v>46157</v>
      </c>
      <c r="D373" s="30">
        <f t="shared" si="12"/>
        <v>0</v>
      </c>
      <c r="E373" s="5" t="s">
        <v>317</v>
      </c>
      <c r="F373" s="5" t="s">
        <v>604</v>
      </c>
      <c r="G373" s="53" t="s">
        <v>605</v>
      </c>
      <c r="H373" s="2" t="s">
        <v>25</v>
      </c>
      <c r="I373" s="2" t="s">
        <v>938</v>
      </c>
      <c r="J373" s="2" t="s">
        <v>22</v>
      </c>
      <c r="K373" s="2" t="s">
        <v>38</v>
      </c>
      <c r="L373" s="7">
        <v>-74.0764432151298</v>
      </c>
      <c r="M373" s="7">
        <v>4.6002756525446298</v>
      </c>
      <c r="N373" s="51" t="s">
        <v>939</v>
      </c>
    </row>
    <row r="374" spans="1:14">
      <c r="A374" s="24">
        <v>374</v>
      </c>
      <c r="B374" s="5">
        <v>46157</v>
      </c>
      <c r="C374" s="5">
        <v>46157</v>
      </c>
      <c r="D374" s="30">
        <f t="shared" si="12"/>
        <v>0</v>
      </c>
      <c r="E374" s="5" t="s">
        <v>317</v>
      </c>
      <c r="F374" s="5" t="s">
        <v>621</v>
      </c>
      <c r="G374" s="53" t="s">
        <v>605</v>
      </c>
      <c r="H374" s="2" t="s">
        <v>25</v>
      </c>
      <c r="I374" s="2" t="s">
        <v>940</v>
      </c>
      <c r="J374" s="2" t="s">
        <v>816</v>
      </c>
      <c r="K374" s="2" t="s">
        <v>343</v>
      </c>
      <c r="L374" s="7">
        <v>-74.2712984550638</v>
      </c>
      <c r="M374" s="7">
        <v>4.7357191106357099</v>
      </c>
    </row>
    <row r="375" spans="1:14">
      <c r="A375" s="24">
        <v>375</v>
      </c>
      <c r="B375" s="5">
        <v>46157</v>
      </c>
      <c r="C375" s="5">
        <v>46157</v>
      </c>
      <c r="D375" s="30">
        <f t="shared" si="12"/>
        <v>0</v>
      </c>
      <c r="E375" s="5" t="s">
        <v>317</v>
      </c>
      <c r="F375" s="5" t="s">
        <v>621</v>
      </c>
      <c r="G375" s="53" t="s">
        <v>605</v>
      </c>
      <c r="H375" s="2" t="s">
        <v>25</v>
      </c>
      <c r="I375" s="2" t="s">
        <v>941</v>
      </c>
      <c r="J375" s="2" t="s">
        <v>22</v>
      </c>
      <c r="K375" s="2" t="s">
        <v>343</v>
      </c>
      <c r="L375" s="7">
        <v>-74.057411564418203</v>
      </c>
      <c r="M375" s="7">
        <v>4.6708787006537502</v>
      </c>
    </row>
    <row r="376" spans="1:14">
      <c r="A376" s="24">
        <v>383</v>
      </c>
      <c r="B376" s="5">
        <v>46157</v>
      </c>
      <c r="C376" s="5">
        <v>46161</v>
      </c>
      <c r="D376" s="30">
        <f t="shared" si="12"/>
        <v>4</v>
      </c>
      <c r="E376" s="5" t="s">
        <v>254</v>
      </c>
      <c r="F376" s="5" t="s">
        <v>621</v>
      </c>
      <c r="G376" s="53" t="s">
        <v>605</v>
      </c>
      <c r="H376" s="2" t="s">
        <v>25</v>
      </c>
      <c r="I376" s="2" t="s">
        <v>942</v>
      </c>
      <c r="K376" s="2" t="s">
        <v>485</v>
      </c>
      <c r="L376" s="7">
        <v>-74.092177152328503</v>
      </c>
      <c r="M376" s="7">
        <v>4.7174491337054301</v>
      </c>
    </row>
    <row r="377" spans="1:14">
      <c r="A377" s="24">
        <v>384</v>
      </c>
      <c r="B377" s="5">
        <v>46157</v>
      </c>
      <c r="C377" s="5">
        <v>46161</v>
      </c>
      <c r="D377" s="30">
        <f t="shared" si="12"/>
        <v>4</v>
      </c>
      <c r="E377" s="5" t="s">
        <v>254</v>
      </c>
      <c r="F377" s="5" t="s">
        <v>621</v>
      </c>
      <c r="G377" s="53" t="s">
        <v>618</v>
      </c>
      <c r="H377" s="2" t="s">
        <v>25</v>
      </c>
      <c r="I377" s="2" t="s">
        <v>484</v>
      </c>
      <c r="J377" s="2" t="s">
        <v>22</v>
      </c>
      <c r="K377" s="2" t="s">
        <v>485</v>
      </c>
      <c r="L377" s="7">
        <v>-74.086491100000003</v>
      </c>
      <c r="M377" s="7">
        <v>4.7389500118596803</v>
      </c>
    </row>
    <row r="378" spans="1:14">
      <c r="A378" s="24">
        <v>385</v>
      </c>
      <c r="B378" s="5">
        <v>46157</v>
      </c>
      <c r="C378" s="5">
        <v>46161</v>
      </c>
      <c r="D378" s="30">
        <f t="shared" si="12"/>
        <v>4</v>
      </c>
      <c r="E378" s="5" t="s">
        <v>254</v>
      </c>
      <c r="F378" s="5" t="s">
        <v>621</v>
      </c>
      <c r="G378" s="53" t="s">
        <v>618</v>
      </c>
      <c r="H378" s="2" t="s">
        <v>25</v>
      </c>
      <c r="I378" s="2" t="s">
        <v>487</v>
      </c>
      <c r="J378" s="2" t="s">
        <v>22</v>
      </c>
      <c r="K378" s="2" t="s">
        <v>80</v>
      </c>
      <c r="L378" s="7">
        <v>-74.054842062577904</v>
      </c>
      <c r="M378" s="7">
        <v>4.7543497932782603</v>
      </c>
    </row>
    <row r="379" spans="1:14">
      <c r="A379" s="24">
        <v>386</v>
      </c>
      <c r="B379" s="5">
        <v>46157</v>
      </c>
      <c r="C379" s="5">
        <v>46162</v>
      </c>
      <c r="D379" s="30">
        <f t="shared" si="12"/>
        <v>5</v>
      </c>
      <c r="E379" s="5" t="s">
        <v>254</v>
      </c>
      <c r="F379" s="5" t="s">
        <v>621</v>
      </c>
      <c r="G379" s="53" t="s">
        <v>618</v>
      </c>
      <c r="H379" s="2" t="s">
        <v>25</v>
      </c>
      <c r="I379" s="2" t="s">
        <v>489</v>
      </c>
      <c r="J379" s="2" t="s">
        <v>22</v>
      </c>
      <c r="K379" s="2" t="s">
        <v>485</v>
      </c>
      <c r="L379" s="7">
        <v>-74.093763246370699</v>
      </c>
      <c r="M379" s="7">
        <v>4.7517134262246001</v>
      </c>
    </row>
    <row r="380" spans="1:14">
      <c r="A380" s="24">
        <v>387</v>
      </c>
      <c r="B380" s="5">
        <v>46157</v>
      </c>
      <c r="C380" s="5">
        <v>46162</v>
      </c>
      <c r="D380" s="30">
        <f t="shared" si="12"/>
        <v>5</v>
      </c>
      <c r="E380" s="5" t="s">
        <v>254</v>
      </c>
      <c r="F380" s="5" t="s">
        <v>621</v>
      </c>
      <c r="G380" s="53" t="s">
        <v>605</v>
      </c>
      <c r="H380" s="2" t="s">
        <v>25</v>
      </c>
      <c r="I380" s="2" t="s">
        <v>943</v>
      </c>
      <c r="J380" s="2" t="s">
        <v>163</v>
      </c>
      <c r="K380" s="2" t="s">
        <v>485</v>
      </c>
      <c r="L380" s="7">
        <v>-74.470437612328894</v>
      </c>
      <c r="M380" s="7">
        <v>4.62474835367727</v>
      </c>
    </row>
    <row r="381" spans="1:14">
      <c r="A381" s="24">
        <v>388</v>
      </c>
      <c r="B381" s="5">
        <v>46157</v>
      </c>
      <c r="C381" s="5">
        <v>46162</v>
      </c>
      <c r="D381" s="30">
        <f t="shared" si="12"/>
        <v>5</v>
      </c>
      <c r="E381" s="5" t="s">
        <v>254</v>
      </c>
      <c r="F381" s="5" t="s">
        <v>621</v>
      </c>
      <c r="G381" s="53" t="s">
        <v>618</v>
      </c>
      <c r="H381" s="2" t="s">
        <v>25</v>
      </c>
      <c r="I381" s="2" t="s">
        <v>492</v>
      </c>
      <c r="J381" s="2" t="s">
        <v>22</v>
      </c>
      <c r="K381" s="2" t="s">
        <v>52</v>
      </c>
      <c r="L381" s="7">
        <v>-74.097908817550007</v>
      </c>
      <c r="M381" s="7">
        <v>4.6750416351364299</v>
      </c>
    </row>
    <row r="382" spans="1:14">
      <c r="A382" s="24">
        <v>376</v>
      </c>
      <c r="B382" s="5">
        <v>46161</v>
      </c>
      <c r="C382" s="5">
        <v>46161</v>
      </c>
      <c r="D382" s="30">
        <f t="shared" si="12"/>
        <v>0</v>
      </c>
      <c r="E382" s="5" t="s">
        <v>317</v>
      </c>
      <c r="F382" s="5" t="s">
        <v>621</v>
      </c>
      <c r="G382" s="53" t="s">
        <v>605</v>
      </c>
      <c r="H382" s="2" t="s">
        <v>25</v>
      </c>
      <c r="I382" s="2" t="s">
        <v>944</v>
      </c>
      <c r="J382" s="2" t="s">
        <v>945</v>
      </c>
      <c r="K382" s="2" t="s">
        <v>48</v>
      </c>
      <c r="L382" s="7">
        <v>-75.569385891813099</v>
      </c>
      <c r="M382" s="7">
        <v>4.6379838805297604</v>
      </c>
    </row>
    <row r="383" spans="1:14">
      <c r="A383" s="24">
        <v>377</v>
      </c>
      <c r="B383" s="5">
        <v>46161</v>
      </c>
      <c r="C383" s="5">
        <v>46161</v>
      </c>
      <c r="D383" s="30">
        <f t="shared" si="12"/>
        <v>0</v>
      </c>
      <c r="E383" s="5" t="s">
        <v>317</v>
      </c>
      <c r="F383" s="5" t="s">
        <v>621</v>
      </c>
      <c r="G383" s="53" t="s">
        <v>605</v>
      </c>
      <c r="H383" s="2" t="s">
        <v>25</v>
      </c>
      <c r="I383" s="2" t="s">
        <v>946</v>
      </c>
      <c r="J383" s="2" t="s">
        <v>657</v>
      </c>
      <c r="K383" s="2" t="s">
        <v>393</v>
      </c>
      <c r="L383" s="7">
        <v>-74.798377828841097</v>
      </c>
      <c r="M383" s="7">
        <v>11.024900645683999</v>
      </c>
    </row>
    <row r="384" spans="1:14">
      <c r="A384" s="24">
        <v>378</v>
      </c>
      <c r="B384" s="5">
        <v>46161</v>
      </c>
      <c r="C384" s="5">
        <v>46161</v>
      </c>
      <c r="D384" s="30">
        <f t="shared" si="12"/>
        <v>0</v>
      </c>
      <c r="E384" s="5" t="s">
        <v>317</v>
      </c>
      <c r="F384" s="5" t="s">
        <v>621</v>
      </c>
      <c r="G384" s="53" t="s">
        <v>605</v>
      </c>
      <c r="H384" s="2" t="s">
        <v>25</v>
      </c>
      <c r="I384" s="2" t="s">
        <v>947</v>
      </c>
      <c r="J384" s="2" t="s">
        <v>657</v>
      </c>
      <c r="K384" s="2" t="s">
        <v>393</v>
      </c>
      <c r="L384" s="7">
        <v>-74.782210622375601</v>
      </c>
      <c r="M384" s="7">
        <v>11.009852047600001</v>
      </c>
    </row>
    <row r="385" spans="1:13">
      <c r="A385" s="24">
        <v>379</v>
      </c>
      <c r="B385" s="5">
        <v>46161</v>
      </c>
      <c r="C385" s="5">
        <v>46161</v>
      </c>
      <c r="D385" s="30">
        <f t="shared" si="12"/>
        <v>0</v>
      </c>
      <c r="E385" s="5" t="s">
        <v>317</v>
      </c>
      <c r="F385" s="5" t="s">
        <v>621</v>
      </c>
      <c r="G385" s="53" t="s">
        <v>605</v>
      </c>
      <c r="H385" s="2" t="s">
        <v>25</v>
      </c>
      <c r="I385" s="2" t="s">
        <v>948</v>
      </c>
      <c r="J385" s="2" t="s">
        <v>709</v>
      </c>
      <c r="K385" s="2" t="s">
        <v>393</v>
      </c>
      <c r="L385" s="7">
        <v>-75.538902399682598</v>
      </c>
      <c r="M385" s="7">
        <v>10.4349409249443</v>
      </c>
    </row>
    <row r="386" spans="1:13">
      <c r="A386" s="24">
        <v>380</v>
      </c>
      <c r="B386" s="5">
        <v>46161</v>
      </c>
      <c r="C386" s="5">
        <v>46161</v>
      </c>
      <c r="D386" s="30">
        <f t="shared" si="12"/>
        <v>0</v>
      </c>
      <c r="E386" s="5" t="s">
        <v>317</v>
      </c>
      <c r="F386" s="5" t="s">
        <v>621</v>
      </c>
      <c r="G386" s="53" t="s">
        <v>605</v>
      </c>
      <c r="H386" s="2" t="s">
        <v>25</v>
      </c>
      <c r="I386" s="2" t="s">
        <v>949</v>
      </c>
      <c r="J386" s="2" t="s">
        <v>709</v>
      </c>
      <c r="K386" s="2" t="s">
        <v>393</v>
      </c>
      <c r="L386" s="7">
        <v>-75.545642866363394</v>
      </c>
      <c r="M386" s="7">
        <v>10.4191568534526</v>
      </c>
    </row>
    <row r="387" spans="1:13">
      <c r="A387" s="24">
        <v>381</v>
      </c>
      <c r="B387" s="5">
        <v>46161</v>
      </c>
      <c r="C387" s="5">
        <v>46161</v>
      </c>
      <c r="D387" s="30">
        <f t="shared" si="12"/>
        <v>0</v>
      </c>
      <c r="E387" s="5" t="s">
        <v>317</v>
      </c>
      <c r="F387" s="5" t="s">
        <v>621</v>
      </c>
      <c r="G387" s="53" t="s">
        <v>605</v>
      </c>
      <c r="H387" s="2" t="s">
        <v>25</v>
      </c>
      <c r="I387" s="2" t="s">
        <v>950</v>
      </c>
      <c r="J387" s="2" t="s">
        <v>709</v>
      </c>
      <c r="K387" s="2" t="s">
        <v>393</v>
      </c>
      <c r="L387" s="7">
        <v>-75.5504026574677</v>
      </c>
      <c r="M387" s="7">
        <v>10.4141251360592</v>
      </c>
    </row>
    <row r="388" spans="1:13">
      <c r="A388" s="24">
        <v>382</v>
      </c>
      <c r="B388" s="5">
        <v>46161</v>
      </c>
      <c r="C388" s="5">
        <v>46161</v>
      </c>
      <c r="D388" s="30">
        <f t="shared" si="12"/>
        <v>0</v>
      </c>
      <c r="E388" s="5" t="s">
        <v>317</v>
      </c>
      <c r="F388" s="5" t="s">
        <v>621</v>
      </c>
      <c r="G388" s="53" t="s">
        <v>605</v>
      </c>
      <c r="H388" s="2" t="s">
        <v>25</v>
      </c>
      <c r="I388" s="2" t="s">
        <v>951</v>
      </c>
      <c r="J388" s="2" t="s">
        <v>22</v>
      </c>
      <c r="K388" s="2" t="s">
        <v>38</v>
      </c>
      <c r="L388" s="7">
        <v>-74.073671382387005</v>
      </c>
      <c r="M388" s="7">
        <v>4.64296825155128</v>
      </c>
    </row>
    <row r="389" spans="1:13">
      <c r="A389" s="24">
        <v>389</v>
      </c>
      <c r="B389" s="5">
        <v>46161</v>
      </c>
      <c r="C389" s="5">
        <v>46162</v>
      </c>
      <c r="D389" s="30">
        <f t="shared" si="12"/>
        <v>1</v>
      </c>
      <c r="E389" s="5" t="s">
        <v>254</v>
      </c>
      <c r="F389" s="5" t="s">
        <v>621</v>
      </c>
      <c r="G389" s="53" t="s">
        <v>618</v>
      </c>
      <c r="H389" s="2" t="s">
        <v>25</v>
      </c>
      <c r="I389" s="2" t="s">
        <v>495</v>
      </c>
      <c r="J389" s="2" t="s">
        <v>22</v>
      </c>
      <c r="K389" s="2" t="s">
        <v>485</v>
      </c>
      <c r="L389" s="7">
        <v>-74.086231142328899</v>
      </c>
      <c r="M389" s="7">
        <v>4.6135647111124998</v>
      </c>
    </row>
    <row r="390" spans="1:13">
      <c r="A390" s="24">
        <v>390</v>
      </c>
      <c r="B390" s="5">
        <v>46161</v>
      </c>
      <c r="C390" s="5">
        <v>46162</v>
      </c>
      <c r="D390" s="30">
        <f t="shared" si="12"/>
        <v>1</v>
      </c>
      <c r="E390" s="5" t="s">
        <v>254</v>
      </c>
      <c r="F390" s="5" t="s">
        <v>621</v>
      </c>
      <c r="G390" s="53" t="s">
        <v>605</v>
      </c>
      <c r="H390" s="2" t="s">
        <v>25</v>
      </c>
      <c r="I390" s="2" t="s">
        <v>952</v>
      </c>
      <c r="J390" s="2" t="s">
        <v>668</v>
      </c>
      <c r="K390" s="2" t="s">
        <v>874</v>
      </c>
      <c r="L390" s="7">
        <v>-75.573634600000005</v>
      </c>
      <c r="M390" s="7">
        <v>6.2305346999999998</v>
      </c>
    </row>
    <row r="391" spans="1:13">
      <c r="A391" s="24">
        <v>391</v>
      </c>
      <c r="B391" s="5">
        <v>46161</v>
      </c>
      <c r="C391" s="5">
        <v>46162</v>
      </c>
      <c r="D391" s="30">
        <f t="shared" si="12"/>
        <v>1</v>
      </c>
      <c r="E391" s="5" t="s">
        <v>254</v>
      </c>
      <c r="F391" s="5" t="s">
        <v>953</v>
      </c>
      <c r="G391" s="53" t="s">
        <v>605</v>
      </c>
      <c r="H391" s="2" t="s">
        <v>25</v>
      </c>
      <c r="I391" s="2" t="s">
        <v>954</v>
      </c>
      <c r="J391" s="2" t="s">
        <v>668</v>
      </c>
      <c r="K391" s="2" t="s">
        <v>874</v>
      </c>
      <c r="L391" s="7">
        <v>-75.573512020073196</v>
      </c>
      <c r="M391" s="7">
        <v>6.2010010216927798</v>
      </c>
    </row>
    <row r="392" spans="1:13">
      <c r="A392" s="24">
        <v>392</v>
      </c>
      <c r="B392" s="5">
        <v>46161</v>
      </c>
      <c r="C392" s="5">
        <v>46162</v>
      </c>
      <c r="D392" s="30">
        <f t="shared" si="12"/>
        <v>1</v>
      </c>
      <c r="E392" s="5" t="s">
        <v>254</v>
      </c>
      <c r="F392" s="5" t="s">
        <v>621</v>
      </c>
      <c r="G392" s="53" t="s">
        <v>605</v>
      </c>
      <c r="H392" s="2" t="s">
        <v>25</v>
      </c>
      <c r="I392" s="2" t="s">
        <v>955</v>
      </c>
      <c r="J392" s="2" t="s">
        <v>668</v>
      </c>
      <c r="K392" s="2" t="s">
        <v>874</v>
      </c>
      <c r="L392" s="7">
        <v>-75.587708159524297</v>
      </c>
      <c r="M392" s="7">
        <v>6.2026417225253603</v>
      </c>
    </row>
    <row r="393" spans="1:13">
      <c r="A393" s="24">
        <v>393</v>
      </c>
      <c r="B393" s="5">
        <v>46162</v>
      </c>
      <c r="C393" s="5">
        <v>46162</v>
      </c>
      <c r="D393" s="30">
        <f t="shared" si="12"/>
        <v>0</v>
      </c>
      <c r="E393" s="5" t="s">
        <v>317</v>
      </c>
      <c r="F393" s="5" t="s">
        <v>621</v>
      </c>
      <c r="G393" s="53" t="s">
        <v>605</v>
      </c>
      <c r="H393" s="2" t="s">
        <v>25</v>
      </c>
      <c r="I393" s="2" t="s">
        <v>956</v>
      </c>
      <c r="J393" s="2" t="s">
        <v>843</v>
      </c>
      <c r="K393" s="2" t="s">
        <v>569</v>
      </c>
      <c r="L393" s="7">
        <v>-75.186002069308799</v>
      </c>
      <c r="M393" s="7">
        <v>4.4402821853962697</v>
      </c>
    </row>
    <row r="394" spans="1:13">
      <c r="A394" s="24">
        <v>394</v>
      </c>
      <c r="B394" s="5">
        <v>46163</v>
      </c>
      <c r="C394" s="5">
        <v>46163</v>
      </c>
      <c r="D394" s="30">
        <f t="shared" si="12"/>
        <v>0</v>
      </c>
      <c r="E394" s="5" t="s">
        <v>317</v>
      </c>
      <c r="F394" s="5" t="s">
        <v>621</v>
      </c>
      <c r="G394" s="53" t="s">
        <v>605</v>
      </c>
      <c r="H394" s="2" t="s">
        <v>25</v>
      </c>
      <c r="I394" s="2" t="s">
        <v>957</v>
      </c>
      <c r="J394" s="2" t="s">
        <v>22</v>
      </c>
      <c r="K394" s="2" t="s">
        <v>569</v>
      </c>
      <c r="L394" s="7">
        <v>-74.130000093607094</v>
      </c>
      <c r="M394" s="7">
        <v>4.6303052785177403</v>
      </c>
    </row>
    <row r="395" spans="1:13">
      <c r="A395" s="24">
        <v>395</v>
      </c>
      <c r="B395" s="5">
        <v>46164</v>
      </c>
      <c r="C395" s="5">
        <v>46164</v>
      </c>
      <c r="D395" s="30">
        <f t="shared" si="12"/>
        <v>0</v>
      </c>
      <c r="E395" s="5" t="s">
        <v>317</v>
      </c>
      <c r="F395" s="5" t="s">
        <v>621</v>
      </c>
      <c r="H395" s="2" t="s">
        <v>25</v>
      </c>
      <c r="I395" s="2" t="s">
        <v>958</v>
      </c>
      <c r="J395" s="2" t="s">
        <v>22</v>
      </c>
      <c r="K395" s="2" t="s">
        <v>48</v>
      </c>
      <c r="L395" s="7">
        <v>-74.112859</v>
      </c>
      <c r="M395" s="7">
        <v>4.6286699999999996</v>
      </c>
    </row>
    <row r="396" spans="1:13">
      <c r="A396" s="24">
        <v>396</v>
      </c>
      <c r="B396" s="5">
        <v>46167</v>
      </c>
      <c r="C396" s="5">
        <v>46167</v>
      </c>
      <c r="D396" s="30">
        <f t="shared" si="12"/>
        <v>0</v>
      </c>
      <c r="E396" s="5" t="s">
        <v>254</v>
      </c>
      <c r="F396" s="5" t="s">
        <v>621</v>
      </c>
      <c r="G396" s="53" t="s">
        <v>605</v>
      </c>
      <c r="H396" s="2" t="s">
        <v>25</v>
      </c>
      <c r="I396" s="2" t="s">
        <v>959</v>
      </c>
      <c r="J396" s="2" t="s">
        <v>22</v>
      </c>
      <c r="K396" s="2" t="s">
        <v>325</v>
      </c>
      <c r="L396" s="7">
        <v>-74.065055599999994</v>
      </c>
      <c r="M396" s="7">
        <v>4.6667159990354401</v>
      </c>
    </row>
    <row r="397" spans="1:13">
      <c r="A397" s="24">
        <v>397</v>
      </c>
      <c r="B397" s="5">
        <v>46167</v>
      </c>
      <c r="C397" s="5">
        <v>46167</v>
      </c>
      <c r="D397" s="30">
        <f t="shared" si="12"/>
        <v>0</v>
      </c>
      <c r="E397" s="5" t="s">
        <v>254</v>
      </c>
      <c r="F397" s="5" t="s">
        <v>621</v>
      </c>
      <c r="G397" s="53" t="s">
        <v>618</v>
      </c>
      <c r="H397" s="2" t="s">
        <v>25</v>
      </c>
      <c r="I397" s="2" t="s">
        <v>498</v>
      </c>
      <c r="J397" s="2" t="s">
        <v>22</v>
      </c>
      <c r="K397" s="2" t="s">
        <v>325</v>
      </c>
      <c r="L397" s="7">
        <v>-74.070410357671804</v>
      </c>
      <c r="M397" s="7">
        <v>4.6584499608287997</v>
      </c>
    </row>
    <row r="398" spans="1:13">
      <c r="A398" s="24">
        <v>398</v>
      </c>
      <c r="B398" s="5">
        <v>46167</v>
      </c>
      <c r="C398" s="5">
        <v>46167</v>
      </c>
      <c r="D398" s="30">
        <f t="shared" si="12"/>
        <v>0</v>
      </c>
      <c r="E398" s="5" t="s">
        <v>254</v>
      </c>
      <c r="F398" s="5" t="s">
        <v>621</v>
      </c>
      <c r="G398" s="53" t="s">
        <v>605</v>
      </c>
      <c r="H398" s="2" t="s">
        <v>25</v>
      </c>
      <c r="I398" s="2" t="s">
        <v>960</v>
      </c>
      <c r="J398" s="2" t="s">
        <v>22</v>
      </c>
      <c r="K398" s="2" t="s">
        <v>325</v>
      </c>
      <c r="L398" s="7">
        <v>-74.0646076499999</v>
      </c>
      <c r="M398" s="7">
        <v>4.7521324069586104</v>
      </c>
    </row>
    <row r="399" spans="1:13">
      <c r="A399" s="24">
        <v>399</v>
      </c>
      <c r="B399" s="5">
        <v>46167</v>
      </c>
      <c r="C399" s="5">
        <v>46167</v>
      </c>
      <c r="D399" s="30">
        <f t="shared" si="12"/>
        <v>0</v>
      </c>
      <c r="E399" s="5" t="s">
        <v>254</v>
      </c>
      <c r="F399" s="5" t="s">
        <v>621</v>
      </c>
      <c r="G399" s="53" t="s">
        <v>618</v>
      </c>
      <c r="H399" s="2" t="s">
        <v>25</v>
      </c>
      <c r="I399" s="2" t="s">
        <v>500</v>
      </c>
      <c r="J399" s="2" t="s">
        <v>22</v>
      </c>
      <c r="K399" s="2" t="s">
        <v>325</v>
      </c>
      <c r="L399" s="7">
        <v>-74.074884928835999</v>
      </c>
      <c r="M399" s="7">
        <v>4.6907439196756497</v>
      </c>
    </row>
    <row r="400" spans="1:13">
      <c r="A400" s="24">
        <v>400</v>
      </c>
      <c r="B400" s="5">
        <v>46167</v>
      </c>
      <c r="C400" s="5">
        <v>46167</v>
      </c>
      <c r="D400" s="30">
        <f t="shared" si="12"/>
        <v>0</v>
      </c>
      <c r="E400" s="5" t="s">
        <v>317</v>
      </c>
      <c r="F400" s="5" t="s">
        <v>621</v>
      </c>
      <c r="G400" s="53" t="s">
        <v>605</v>
      </c>
      <c r="H400" s="2" t="s">
        <v>25</v>
      </c>
      <c r="I400" s="2" t="s">
        <v>476</v>
      </c>
      <c r="J400" s="2" t="s">
        <v>709</v>
      </c>
      <c r="K400" s="2" t="s">
        <v>393</v>
      </c>
      <c r="L400" s="7">
        <v>-75.551679032171293</v>
      </c>
      <c r="M400" s="7">
        <v>10.407059232691701</v>
      </c>
    </row>
    <row r="401" spans="1:13">
      <c r="A401" s="24">
        <v>401</v>
      </c>
      <c r="B401" s="5">
        <v>46168</v>
      </c>
      <c r="C401" s="5">
        <v>46168</v>
      </c>
      <c r="D401" s="30">
        <f t="shared" si="12"/>
        <v>0</v>
      </c>
      <c r="E401" s="5" t="s">
        <v>317</v>
      </c>
      <c r="F401" s="5" t="s">
        <v>621</v>
      </c>
      <c r="G401" s="53" t="s">
        <v>605</v>
      </c>
      <c r="H401" s="2" t="s">
        <v>25</v>
      </c>
      <c r="I401" s="2" t="s">
        <v>961</v>
      </c>
      <c r="J401" s="2" t="s">
        <v>937</v>
      </c>
      <c r="K401" s="2" t="s">
        <v>569</v>
      </c>
      <c r="L401" s="7">
        <v>-73.114852318254705</v>
      </c>
      <c r="M401" s="7">
        <v>5.7700900451367101</v>
      </c>
    </row>
    <row r="402" spans="1:13">
      <c r="A402" s="24">
        <v>402</v>
      </c>
      <c r="B402" s="5">
        <v>46168</v>
      </c>
      <c r="C402" s="5">
        <v>46168</v>
      </c>
      <c r="D402" s="30">
        <f t="shared" si="12"/>
        <v>0</v>
      </c>
      <c r="E402" s="5" t="s">
        <v>317</v>
      </c>
      <c r="F402" s="5" t="s">
        <v>621</v>
      </c>
      <c r="G402" s="53" t="s">
        <v>605</v>
      </c>
      <c r="H402" s="2" t="s">
        <v>25</v>
      </c>
      <c r="I402" s="2" t="s">
        <v>962</v>
      </c>
      <c r="J402" s="2" t="s">
        <v>937</v>
      </c>
      <c r="K402" s="2" t="s">
        <v>569</v>
      </c>
    </row>
    <row r="403" spans="1:13">
      <c r="A403" s="24">
        <v>403</v>
      </c>
      <c r="B403" s="5">
        <v>46168</v>
      </c>
      <c r="C403" s="5">
        <v>46168</v>
      </c>
      <c r="D403" s="30">
        <f t="shared" si="12"/>
        <v>0</v>
      </c>
      <c r="E403" s="5" t="s">
        <v>254</v>
      </c>
      <c r="F403" s="5" t="s">
        <v>621</v>
      </c>
      <c r="G403" s="53" t="s">
        <v>605</v>
      </c>
      <c r="H403" s="2" t="s">
        <v>25</v>
      </c>
      <c r="I403" s="2" t="s">
        <v>963</v>
      </c>
      <c r="J403" s="2" t="s">
        <v>22</v>
      </c>
      <c r="K403" s="2" t="s">
        <v>325</v>
      </c>
      <c r="L403" s="7">
        <v>-74.053804653963297</v>
      </c>
      <c r="M403" s="7">
        <v>4.75114591415009</v>
      </c>
    </row>
    <row r="404" spans="1:13">
      <c r="A404" s="24">
        <v>404</v>
      </c>
      <c r="B404" s="5">
        <v>46168</v>
      </c>
      <c r="C404" s="5">
        <v>46168</v>
      </c>
      <c r="D404" s="30">
        <f t="shared" si="12"/>
        <v>0</v>
      </c>
      <c r="E404" s="5" t="s">
        <v>317</v>
      </c>
      <c r="F404" s="5" t="s">
        <v>604</v>
      </c>
      <c r="G404" s="53" t="s">
        <v>618</v>
      </c>
      <c r="H404" s="2" t="s">
        <v>25</v>
      </c>
      <c r="I404" s="2" t="s">
        <v>476</v>
      </c>
      <c r="J404" s="2" t="s">
        <v>22</v>
      </c>
      <c r="K404" s="2" t="s">
        <v>343</v>
      </c>
      <c r="L404" s="7">
        <v>-74.182992078309098</v>
      </c>
      <c r="M404" s="7">
        <v>4.6036937595969798</v>
      </c>
    </row>
    <row r="405" spans="1:13">
      <c r="A405" s="24">
        <v>405</v>
      </c>
      <c r="B405" s="5">
        <v>46168</v>
      </c>
      <c r="C405" s="5">
        <v>46168</v>
      </c>
      <c r="D405" s="30">
        <f t="shared" si="12"/>
        <v>0</v>
      </c>
      <c r="E405" s="5" t="s">
        <v>317</v>
      </c>
      <c r="F405" s="5" t="s">
        <v>604</v>
      </c>
      <c r="G405" s="53" t="s">
        <v>605</v>
      </c>
      <c r="H405" s="2" t="s">
        <v>25</v>
      </c>
      <c r="I405" s="2" t="s">
        <v>964</v>
      </c>
      <c r="J405" s="2" t="s">
        <v>22</v>
      </c>
      <c r="K405" s="2" t="s">
        <v>343</v>
      </c>
      <c r="L405" s="7">
        <v>-74.179896975038304</v>
      </c>
      <c r="M405" s="7">
        <v>4.5974915194387798</v>
      </c>
    </row>
    <row r="406" spans="1:13">
      <c r="A406" s="24">
        <v>406</v>
      </c>
      <c r="B406" s="5">
        <v>46168</v>
      </c>
      <c r="C406" s="5">
        <v>46169</v>
      </c>
      <c r="D406" s="30">
        <f t="shared" si="12"/>
        <v>1</v>
      </c>
      <c r="E406" s="5" t="s">
        <v>317</v>
      </c>
      <c r="F406" s="5" t="s">
        <v>604</v>
      </c>
      <c r="G406" s="53" t="s">
        <v>618</v>
      </c>
      <c r="H406" s="2" t="s">
        <v>25</v>
      </c>
      <c r="I406" s="2" t="s">
        <v>478</v>
      </c>
      <c r="J406" s="2" t="s">
        <v>22</v>
      </c>
      <c r="K406" s="2" t="s">
        <v>343</v>
      </c>
      <c r="L406" s="7">
        <v>-74.182616368172006</v>
      </c>
      <c r="M406" s="7">
        <v>4.6058717338062003</v>
      </c>
    </row>
    <row r="407" spans="1:13">
      <c r="A407" s="24">
        <v>407</v>
      </c>
      <c r="B407" s="5">
        <v>46168</v>
      </c>
      <c r="C407" s="5">
        <v>46169</v>
      </c>
      <c r="D407" s="30">
        <f t="shared" si="12"/>
        <v>1</v>
      </c>
      <c r="E407" s="5" t="s">
        <v>254</v>
      </c>
      <c r="F407" s="5" t="s">
        <v>621</v>
      </c>
      <c r="G407" s="53" t="s">
        <v>605</v>
      </c>
      <c r="H407" s="2" t="s">
        <v>25</v>
      </c>
      <c r="I407" s="2" t="s">
        <v>965</v>
      </c>
      <c r="J407" s="2" t="s">
        <v>22</v>
      </c>
      <c r="K407" s="2" t="s">
        <v>80</v>
      </c>
      <c r="L407" s="7">
        <v>-74.091570184712296</v>
      </c>
      <c r="M407" s="7">
        <v>4.5922022604629502</v>
      </c>
    </row>
    <row r="408" spans="1:13">
      <c r="A408" s="24">
        <v>408</v>
      </c>
      <c r="B408" s="5">
        <v>46169</v>
      </c>
      <c r="C408" s="5">
        <v>46169</v>
      </c>
      <c r="D408" s="30">
        <f t="shared" si="12"/>
        <v>0</v>
      </c>
      <c r="E408" s="5" t="s">
        <v>317</v>
      </c>
      <c r="F408" s="5" t="s">
        <v>621</v>
      </c>
      <c r="G408" s="53" t="s">
        <v>605</v>
      </c>
      <c r="H408" s="2" t="s">
        <v>25</v>
      </c>
      <c r="I408" s="2" t="s">
        <v>966</v>
      </c>
      <c r="J408" s="2" t="s">
        <v>967</v>
      </c>
      <c r="K408" s="2" t="s">
        <v>569</v>
      </c>
      <c r="L408" s="7">
        <v>-72.936611530538599</v>
      </c>
      <c r="M408" s="7">
        <v>5.7039436975766096</v>
      </c>
    </row>
    <row r="409" spans="1:13">
      <c r="A409" s="24">
        <v>409</v>
      </c>
      <c r="B409" s="5">
        <v>46169</v>
      </c>
      <c r="C409" s="5">
        <v>46169</v>
      </c>
      <c r="D409" s="30">
        <f t="shared" si="12"/>
        <v>0</v>
      </c>
      <c r="E409" s="5" t="s">
        <v>317</v>
      </c>
      <c r="F409" s="5" t="s">
        <v>621</v>
      </c>
      <c r="G409" s="53" t="s">
        <v>605</v>
      </c>
      <c r="H409" s="2" t="s">
        <v>25</v>
      </c>
      <c r="I409" s="2" t="s">
        <v>968</v>
      </c>
      <c r="J409" s="2" t="s">
        <v>969</v>
      </c>
      <c r="K409" s="2" t="s">
        <v>569</v>
      </c>
      <c r="L409" s="7">
        <v>-73.030692447458904</v>
      </c>
      <c r="M409" s="7">
        <v>5.8125031005274899</v>
      </c>
    </row>
    <row r="410" spans="1:13">
      <c r="A410" s="24">
        <v>410</v>
      </c>
      <c r="B410" s="5">
        <v>46169</v>
      </c>
      <c r="C410" s="5">
        <v>46169</v>
      </c>
      <c r="D410" s="30">
        <f t="shared" si="12"/>
        <v>0</v>
      </c>
      <c r="E410" s="5" t="s">
        <v>317</v>
      </c>
      <c r="F410" s="5" t="s">
        <v>621</v>
      </c>
      <c r="G410" s="53" t="s">
        <v>605</v>
      </c>
      <c r="H410" s="2" t="s">
        <v>25</v>
      </c>
      <c r="I410" s="2" t="s">
        <v>970</v>
      </c>
      <c r="J410" s="2" t="s">
        <v>22</v>
      </c>
      <c r="K410" s="2" t="s">
        <v>48</v>
      </c>
      <c r="L410" s="7">
        <v>-74.052035677026396</v>
      </c>
      <c r="M410" s="7">
        <v>4.6639350997853102</v>
      </c>
    </row>
    <row r="411" spans="1:13">
      <c r="A411" s="24">
        <v>411</v>
      </c>
      <c r="B411" s="5">
        <v>46169</v>
      </c>
      <c r="C411" s="5">
        <v>46169</v>
      </c>
      <c r="D411" s="30">
        <f t="shared" si="12"/>
        <v>0</v>
      </c>
      <c r="E411" s="5" t="s">
        <v>317</v>
      </c>
      <c r="F411" s="5" t="s">
        <v>621</v>
      </c>
      <c r="G411" s="53" t="s">
        <v>605</v>
      </c>
      <c r="H411" s="2" t="s">
        <v>25</v>
      </c>
      <c r="I411" s="2" t="s">
        <v>971</v>
      </c>
      <c r="J411" s="2" t="s">
        <v>937</v>
      </c>
      <c r="K411" s="2" t="s">
        <v>569</v>
      </c>
      <c r="L411" s="7">
        <v>-73.0643260858063</v>
      </c>
      <c r="M411" s="7">
        <v>5.7894242193761496</v>
      </c>
    </row>
    <row r="412" spans="1:13">
      <c r="A412" s="24">
        <v>412</v>
      </c>
      <c r="B412" s="5">
        <v>46169</v>
      </c>
      <c r="C412" s="5">
        <v>46169</v>
      </c>
      <c r="D412" s="30">
        <f t="shared" si="12"/>
        <v>0</v>
      </c>
      <c r="E412" s="5" t="s">
        <v>254</v>
      </c>
      <c r="F412" s="5" t="s">
        <v>621</v>
      </c>
      <c r="G412" s="53" t="s">
        <v>618</v>
      </c>
      <c r="H412" s="2" t="s">
        <v>25</v>
      </c>
      <c r="I412" s="2" t="s">
        <v>502</v>
      </c>
      <c r="J412" s="2" t="s">
        <v>22</v>
      </c>
      <c r="K412" s="2" t="s">
        <v>80</v>
      </c>
      <c r="L412" s="7">
        <v>-74.144184628851093</v>
      </c>
      <c r="M412" s="7">
        <v>4.6406088242635004</v>
      </c>
    </row>
    <row r="413" spans="1:13">
      <c r="A413" s="24">
        <v>413</v>
      </c>
      <c r="B413" s="5">
        <v>46169</v>
      </c>
      <c r="C413" s="5">
        <v>46169</v>
      </c>
      <c r="D413" s="30">
        <f t="shared" si="12"/>
        <v>0</v>
      </c>
      <c r="E413" s="5" t="s">
        <v>254</v>
      </c>
      <c r="F413" s="5" t="s">
        <v>621</v>
      </c>
      <c r="G413" s="53" t="s">
        <v>618</v>
      </c>
      <c r="H413" s="2" t="s">
        <v>25</v>
      </c>
      <c r="I413" s="2" t="s">
        <v>504</v>
      </c>
      <c r="J413" s="2" t="s">
        <v>22</v>
      </c>
      <c r="K413" s="2" t="s">
        <v>80</v>
      </c>
      <c r="L413" s="7">
        <v>-74.143192642397096</v>
      </c>
      <c r="M413" s="7">
        <v>4.63990076433599</v>
      </c>
    </row>
    <row r="414" spans="1:13">
      <c r="A414" s="24">
        <v>414</v>
      </c>
      <c r="B414" s="5">
        <v>46170</v>
      </c>
      <c r="C414" s="5">
        <v>46170</v>
      </c>
      <c r="D414" s="30">
        <f t="shared" si="12"/>
        <v>0</v>
      </c>
      <c r="E414" s="5" t="s">
        <v>317</v>
      </c>
      <c r="F414" s="5" t="s">
        <v>621</v>
      </c>
      <c r="G414" s="53" t="s">
        <v>605</v>
      </c>
      <c r="H414" s="2" t="s">
        <v>25</v>
      </c>
      <c r="I414" s="2" t="s">
        <v>972</v>
      </c>
      <c r="J414" s="2" t="s">
        <v>22</v>
      </c>
      <c r="K414" s="2" t="s">
        <v>38</v>
      </c>
      <c r="L414" s="7">
        <v>-74.054815057243701</v>
      </c>
      <c r="M414" s="7">
        <v>4.6639641882829297</v>
      </c>
    </row>
    <row r="415" spans="1:13">
      <c r="A415" s="24">
        <v>415</v>
      </c>
      <c r="B415" s="5">
        <v>46170</v>
      </c>
      <c r="C415" s="5">
        <v>46170</v>
      </c>
      <c r="D415" s="30">
        <f t="shared" si="12"/>
        <v>0</v>
      </c>
      <c r="E415" s="5" t="s">
        <v>317</v>
      </c>
      <c r="F415" s="5" t="s">
        <v>621</v>
      </c>
      <c r="G415" s="53" t="s">
        <v>605</v>
      </c>
      <c r="H415" s="2" t="s">
        <v>25</v>
      </c>
      <c r="I415" s="2" t="s">
        <v>973</v>
      </c>
      <c r="J415" s="2" t="s">
        <v>969</v>
      </c>
      <c r="K415" s="2" t="s">
        <v>569</v>
      </c>
      <c r="L415" s="7">
        <v>-73.035094000066593</v>
      </c>
      <c r="M415" s="7">
        <v>5.82745892938037</v>
      </c>
    </row>
    <row r="416" spans="1:13">
      <c r="A416" s="24">
        <v>416</v>
      </c>
      <c r="B416" s="5">
        <v>46170</v>
      </c>
      <c r="C416" s="5">
        <v>46170</v>
      </c>
      <c r="D416" s="30">
        <f t="shared" si="12"/>
        <v>0</v>
      </c>
      <c r="E416" s="5" t="s">
        <v>317</v>
      </c>
      <c r="F416" s="5" t="s">
        <v>621</v>
      </c>
      <c r="G416" s="53" t="s">
        <v>605</v>
      </c>
      <c r="H416" s="2" t="s">
        <v>25</v>
      </c>
      <c r="I416" s="2" t="s">
        <v>974</v>
      </c>
      <c r="J416" s="2" t="s">
        <v>967</v>
      </c>
      <c r="K416" s="2" t="s">
        <v>569</v>
      </c>
      <c r="L416" s="7">
        <v>-72.9270208326936</v>
      </c>
      <c r="M416" s="7">
        <v>5.7201188581789397</v>
      </c>
    </row>
    <row r="417" spans="1:14">
      <c r="A417" s="24">
        <v>417</v>
      </c>
      <c r="B417" s="5">
        <v>46170</v>
      </c>
      <c r="C417" s="5">
        <v>46170</v>
      </c>
      <c r="D417" s="30">
        <f t="shared" si="12"/>
        <v>0</v>
      </c>
      <c r="E417" s="5" t="s">
        <v>317</v>
      </c>
      <c r="F417" s="5" t="s">
        <v>621</v>
      </c>
      <c r="G417" s="53" t="s">
        <v>605</v>
      </c>
      <c r="H417" s="2" t="s">
        <v>25</v>
      </c>
      <c r="I417" s="2" t="s">
        <v>975</v>
      </c>
      <c r="J417" s="2" t="s">
        <v>969</v>
      </c>
      <c r="K417" s="2" t="s">
        <v>569</v>
      </c>
      <c r="L417" s="7">
        <v>-73.033260956211507</v>
      </c>
      <c r="M417" s="7">
        <v>5.8306378605883404</v>
      </c>
    </row>
    <row r="418" spans="1:14">
      <c r="A418" s="24">
        <v>418</v>
      </c>
      <c r="B418" s="5">
        <v>46170</v>
      </c>
      <c r="C418" s="5">
        <v>46170</v>
      </c>
      <c r="D418" s="30">
        <f t="shared" si="12"/>
        <v>0</v>
      </c>
      <c r="E418" s="5" t="s">
        <v>317</v>
      </c>
      <c r="F418" s="5" t="s">
        <v>621</v>
      </c>
      <c r="G418" s="53" t="s">
        <v>605</v>
      </c>
      <c r="H418" s="2" t="s">
        <v>25</v>
      </c>
      <c r="I418" s="2" t="s">
        <v>976</v>
      </c>
      <c r="J418" s="2" t="s">
        <v>22</v>
      </c>
      <c r="K418" s="2" t="s">
        <v>48</v>
      </c>
      <c r="L418" s="7">
        <v>-74.090899190440595</v>
      </c>
      <c r="M418" s="7">
        <v>4.6058686360186902</v>
      </c>
    </row>
    <row r="419" spans="1:14">
      <c r="A419" s="24">
        <v>419</v>
      </c>
      <c r="B419" s="5">
        <v>46170</v>
      </c>
      <c r="C419" s="5">
        <v>46170</v>
      </c>
      <c r="D419" s="30">
        <f t="shared" si="12"/>
        <v>0</v>
      </c>
      <c r="E419" s="5" t="s">
        <v>254</v>
      </c>
      <c r="F419" s="5" t="s">
        <v>621</v>
      </c>
      <c r="G419" s="53" t="s">
        <v>605</v>
      </c>
      <c r="H419" s="2" t="s">
        <v>25</v>
      </c>
      <c r="I419" s="2" t="s">
        <v>977</v>
      </c>
      <c r="J419" s="2" t="s">
        <v>22</v>
      </c>
      <c r="K419" s="2" t="s">
        <v>325</v>
      </c>
      <c r="L419" s="7">
        <v>-74.064577057671997</v>
      </c>
      <c r="M419" s="7">
        <v>4.6604852540180897</v>
      </c>
      <c r="N419" s="7"/>
    </row>
    <row r="420" spans="1:14">
      <c r="A420" s="24">
        <v>420</v>
      </c>
      <c r="B420" s="5">
        <v>46171</v>
      </c>
      <c r="C420" s="5">
        <v>46171</v>
      </c>
      <c r="D420" s="30">
        <f t="shared" si="12"/>
        <v>0</v>
      </c>
      <c r="E420" s="5" t="s">
        <v>254</v>
      </c>
      <c r="F420" s="5" t="s">
        <v>621</v>
      </c>
      <c r="G420" s="53" t="s">
        <v>618</v>
      </c>
      <c r="H420" s="2" t="s">
        <v>25</v>
      </c>
      <c r="I420" s="2" t="s">
        <v>506</v>
      </c>
      <c r="J420" s="2" t="s">
        <v>22</v>
      </c>
      <c r="K420" s="2" t="s">
        <v>485</v>
      </c>
      <c r="L420" s="7">
        <v>-74.059241903064702</v>
      </c>
      <c r="M420" s="7">
        <v>4.6496712292814397</v>
      </c>
      <c r="N420" s="7"/>
    </row>
    <row r="421" spans="1:14">
      <c r="A421" s="24">
        <v>421</v>
      </c>
      <c r="B421" s="5">
        <v>46171</v>
      </c>
      <c r="C421" s="5">
        <v>46171</v>
      </c>
      <c r="D421" s="30">
        <f t="shared" si="12"/>
        <v>0</v>
      </c>
      <c r="E421" s="5" t="s">
        <v>254</v>
      </c>
      <c r="F421" s="5" t="s">
        <v>621</v>
      </c>
      <c r="G421" s="53" t="s">
        <v>618</v>
      </c>
      <c r="H421" s="2" t="s">
        <v>25</v>
      </c>
      <c r="I421" s="2" t="s">
        <v>508</v>
      </c>
      <c r="J421" s="2" t="s">
        <v>22</v>
      </c>
      <c r="K421" s="2" t="s">
        <v>80</v>
      </c>
      <c r="L421" s="7">
        <v>-74.100450999999893</v>
      </c>
      <c r="M421" s="7">
        <v>4.6252809188071096</v>
      </c>
      <c r="N421" s="7"/>
    </row>
    <row r="422" spans="1:14">
      <c r="A422" s="24">
        <v>422</v>
      </c>
      <c r="B422" s="5">
        <v>46171</v>
      </c>
      <c r="C422" s="5">
        <v>46171</v>
      </c>
      <c r="D422" s="30">
        <f t="shared" si="12"/>
        <v>0</v>
      </c>
      <c r="E422" s="5" t="s">
        <v>317</v>
      </c>
      <c r="F422" s="5" t="s">
        <v>621</v>
      </c>
      <c r="G422" s="53" t="s">
        <v>618</v>
      </c>
      <c r="H422" s="2" t="s">
        <v>25</v>
      </c>
      <c r="I422" s="2" t="s">
        <v>479</v>
      </c>
      <c r="J422" s="2" t="s">
        <v>22</v>
      </c>
      <c r="K422" s="2" t="s">
        <v>38</v>
      </c>
      <c r="L422" s="7">
        <v>-74.051736135685402</v>
      </c>
      <c r="M422" s="7">
        <v>4.6678246519217703</v>
      </c>
      <c r="N422" s="7"/>
    </row>
    <row r="423" spans="1:14">
      <c r="A423" s="24">
        <v>423</v>
      </c>
      <c r="B423" s="5">
        <v>46171</v>
      </c>
      <c r="C423" s="5">
        <v>46171</v>
      </c>
      <c r="D423" s="30">
        <f t="shared" si="12"/>
        <v>0</v>
      </c>
      <c r="E423" s="5" t="s">
        <v>254</v>
      </c>
      <c r="F423" s="5" t="s">
        <v>621</v>
      </c>
      <c r="G423" s="53" t="s">
        <v>605</v>
      </c>
      <c r="H423" s="2" t="s">
        <v>25</v>
      </c>
      <c r="I423" s="2" t="s">
        <v>978</v>
      </c>
      <c r="J423" s="2" t="s">
        <v>22</v>
      </c>
      <c r="K423" s="2" t="s">
        <v>325</v>
      </c>
      <c r="L423" s="7">
        <v>-74.152038528835902</v>
      </c>
      <c r="M423" s="7">
        <v>4.6160910217875397</v>
      </c>
    </row>
    <row r="424" spans="1:14">
      <c r="A424" s="24">
        <v>424</v>
      </c>
      <c r="B424" s="5">
        <v>46171</v>
      </c>
      <c r="C424" s="5">
        <v>46171</v>
      </c>
      <c r="D424" s="30">
        <f t="shared" si="12"/>
        <v>0</v>
      </c>
      <c r="E424" s="5" t="s">
        <v>254</v>
      </c>
      <c r="F424" s="5" t="s">
        <v>621</v>
      </c>
      <c r="G424" s="53" t="s">
        <v>605</v>
      </c>
      <c r="H424" s="2" t="s">
        <v>25</v>
      </c>
      <c r="I424" s="2" t="s">
        <v>979</v>
      </c>
      <c r="J424" s="2" t="s">
        <v>22</v>
      </c>
      <c r="K424" s="2" t="s">
        <v>325</v>
      </c>
      <c r="L424" s="7">
        <v>-74.056599363391499</v>
      </c>
      <c r="M424" s="7">
        <v>4.7491103992110597</v>
      </c>
    </row>
    <row r="425" spans="1:14">
      <c r="A425" s="24">
        <v>425</v>
      </c>
      <c r="B425" s="5">
        <v>46171</v>
      </c>
      <c r="C425" s="5">
        <v>46171</v>
      </c>
      <c r="D425" s="30">
        <f t="shared" si="12"/>
        <v>0</v>
      </c>
      <c r="E425" s="5" t="s">
        <v>317</v>
      </c>
      <c r="F425" s="5" t="s">
        <v>621</v>
      </c>
      <c r="G425" s="53" t="s">
        <v>605</v>
      </c>
      <c r="H425" s="2" t="s">
        <v>25</v>
      </c>
      <c r="I425" s="2" t="s">
        <v>980</v>
      </c>
      <c r="J425" s="2" t="s">
        <v>22</v>
      </c>
      <c r="K425" s="2" t="s">
        <v>325</v>
      </c>
      <c r="L425" s="7">
        <v>-74.099290536473106</v>
      </c>
      <c r="M425" s="7">
        <v>4.6974297403821996</v>
      </c>
    </row>
    <row r="426" spans="1:14">
      <c r="A426" s="24">
        <v>426</v>
      </c>
      <c r="B426" s="5">
        <v>46171</v>
      </c>
      <c r="C426" s="5">
        <v>46171</v>
      </c>
      <c r="D426" s="30">
        <f t="shared" si="12"/>
        <v>0</v>
      </c>
      <c r="E426" s="5" t="s">
        <v>254</v>
      </c>
      <c r="F426" s="5" t="s">
        <v>621</v>
      </c>
      <c r="G426" s="53" t="s">
        <v>605</v>
      </c>
      <c r="H426" s="2" t="s">
        <v>25</v>
      </c>
      <c r="I426" s="2" t="s">
        <v>981</v>
      </c>
      <c r="J426" s="2" t="s">
        <v>22</v>
      </c>
      <c r="K426" s="2" t="s">
        <v>325</v>
      </c>
    </row>
    <row r="427" spans="1:14">
      <c r="A427" s="24">
        <v>427</v>
      </c>
      <c r="B427" s="5">
        <v>46174</v>
      </c>
      <c r="D427" s="30">
        <f t="shared" si="12"/>
        <v>-46174</v>
      </c>
      <c r="E427" s="5" t="s">
        <v>317</v>
      </c>
      <c r="F427" s="5" t="s">
        <v>604</v>
      </c>
      <c r="H427" s="2" t="s">
        <v>92</v>
      </c>
      <c r="I427" s="2" t="s">
        <v>982</v>
      </c>
      <c r="J427" s="2" t="s">
        <v>22</v>
      </c>
      <c r="K427" s="2" t="s">
        <v>343</v>
      </c>
      <c r="N427" s="51" t="s">
        <v>983</v>
      </c>
    </row>
    <row r="428" spans="1:14">
      <c r="A428" s="24">
        <v>428</v>
      </c>
      <c r="B428" s="5">
        <v>46174</v>
      </c>
      <c r="C428" s="5">
        <v>46174</v>
      </c>
      <c r="D428" s="30">
        <f t="shared" si="12"/>
        <v>0</v>
      </c>
      <c r="E428" s="5" t="s">
        <v>317</v>
      </c>
      <c r="F428" s="5" t="s">
        <v>604</v>
      </c>
      <c r="G428" s="53" t="s">
        <v>834</v>
      </c>
      <c r="H428" s="2" t="s">
        <v>25</v>
      </c>
      <c r="I428" s="2" t="s">
        <v>509</v>
      </c>
      <c r="J428" s="2" t="s">
        <v>22</v>
      </c>
      <c r="K428" s="2" t="s">
        <v>343</v>
      </c>
      <c r="L428" s="7">
        <v>-74.093312885109</v>
      </c>
      <c r="M428" s="7">
        <v>4.6331841910498701</v>
      </c>
    </row>
    <row r="429" spans="1:14">
      <c r="A429" s="24">
        <v>429</v>
      </c>
      <c r="B429" s="5">
        <v>46174</v>
      </c>
      <c r="C429" s="5">
        <v>46174</v>
      </c>
      <c r="D429" s="30">
        <f t="shared" si="12"/>
        <v>0</v>
      </c>
      <c r="E429" s="5" t="s">
        <v>317</v>
      </c>
      <c r="F429" s="5" t="s">
        <v>604</v>
      </c>
      <c r="G429" s="53" t="s">
        <v>834</v>
      </c>
      <c r="H429" s="2" t="s">
        <v>25</v>
      </c>
      <c r="I429" s="2" t="s">
        <v>510</v>
      </c>
      <c r="J429" s="2" t="s">
        <v>22</v>
      </c>
      <c r="K429" s="2" t="s">
        <v>343</v>
      </c>
      <c r="L429" s="7">
        <v>-74.091544315953101</v>
      </c>
      <c r="M429" s="7">
        <v>4.6318597768235303</v>
      </c>
    </row>
    <row r="430" spans="1:14">
      <c r="A430" s="24">
        <v>430</v>
      </c>
      <c r="B430" s="5">
        <v>46174</v>
      </c>
      <c r="C430" s="5">
        <v>46174</v>
      </c>
      <c r="D430" s="30">
        <f t="shared" si="12"/>
        <v>0</v>
      </c>
      <c r="E430" s="5" t="s">
        <v>317</v>
      </c>
      <c r="F430" s="5" t="s">
        <v>604</v>
      </c>
      <c r="G430" s="53" t="s">
        <v>605</v>
      </c>
      <c r="H430" s="2" t="s">
        <v>25</v>
      </c>
      <c r="I430" s="2" t="s">
        <v>984</v>
      </c>
      <c r="J430" s="2" t="s">
        <v>22</v>
      </c>
      <c r="K430" s="2" t="s">
        <v>343</v>
      </c>
      <c r="L430" s="7">
        <v>-74.182710602900002</v>
      </c>
      <c r="M430" s="7">
        <v>4.6206499580418097</v>
      </c>
    </row>
    <row r="431" spans="1:14">
      <c r="A431" s="24">
        <v>431</v>
      </c>
      <c r="B431" s="5">
        <v>46174</v>
      </c>
      <c r="C431" s="5">
        <v>46174</v>
      </c>
      <c r="D431" s="30">
        <f t="shared" si="12"/>
        <v>0</v>
      </c>
      <c r="E431" s="5" t="s">
        <v>317</v>
      </c>
      <c r="F431" s="5" t="s">
        <v>604</v>
      </c>
      <c r="G431" s="53" t="s">
        <v>605</v>
      </c>
      <c r="H431" s="2" t="s">
        <v>25</v>
      </c>
      <c r="I431" s="2" t="s">
        <v>985</v>
      </c>
      <c r="J431" s="2" t="s">
        <v>22</v>
      </c>
      <c r="K431" s="2" t="s">
        <v>343</v>
      </c>
      <c r="L431" s="7">
        <v>-74.114352180893505</v>
      </c>
      <c r="M431" s="7">
        <v>4.70804054796284</v>
      </c>
    </row>
    <row r="432" spans="1:14">
      <c r="A432" s="24">
        <v>432</v>
      </c>
      <c r="B432" s="5">
        <v>46174</v>
      </c>
      <c r="C432" s="5">
        <v>46174</v>
      </c>
      <c r="D432" s="30">
        <f t="shared" si="12"/>
        <v>0</v>
      </c>
      <c r="E432" s="5" t="s">
        <v>317</v>
      </c>
      <c r="F432" s="5" t="s">
        <v>604</v>
      </c>
      <c r="G432" s="53" t="s">
        <v>605</v>
      </c>
      <c r="H432" s="2" t="s">
        <v>25</v>
      </c>
      <c r="I432" s="2" t="s">
        <v>986</v>
      </c>
      <c r="J432" s="2" t="s">
        <v>22</v>
      </c>
      <c r="K432" s="2" t="s">
        <v>343</v>
      </c>
      <c r="L432" s="7">
        <v>-74.122442687881204</v>
      </c>
      <c r="M432" s="7">
        <v>4.7225148831238801</v>
      </c>
    </row>
    <row r="433" spans="1:13">
      <c r="A433" s="24">
        <v>433</v>
      </c>
      <c r="B433" s="5">
        <v>46174</v>
      </c>
      <c r="C433" s="5">
        <v>46174</v>
      </c>
      <c r="D433" s="30">
        <f t="shared" si="12"/>
        <v>0</v>
      </c>
      <c r="E433" s="5" t="s">
        <v>317</v>
      </c>
      <c r="F433" s="5" t="s">
        <v>604</v>
      </c>
      <c r="G433" s="53" t="s">
        <v>605</v>
      </c>
      <c r="H433" s="2" t="s">
        <v>25</v>
      </c>
      <c r="I433" s="2" t="s">
        <v>987</v>
      </c>
      <c r="J433" s="2" t="s">
        <v>753</v>
      </c>
      <c r="K433" s="2" t="s">
        <v>343</v>
      </c>
      <c r="L433" s="7">
        <v>-74.446195188449394</v>
      </c>
      <c r="M433" s="7">
        <v>4.5834702631082296</v>
      </c>
    </row>
    <row r="434" spans="1:13">
      <c r="A434" s="24">
        <v>434</v>
      </c>
      <c r="B434" s="5">
        <v>46174</v>
      </c>
      <c r="C434" s="5">
        <v>46174</v>
      </c>
      <c r="D434" s="30">
        <f t="shared" si="12"/>
        <v>0</v>
      </c>
      <c r="E434" s="5" t="s">
        <v>317</v>
      </c>
      <c r="F434" s="5" t="s">
        <v>621</v>
      </c>
      <c r="G434" s="53" t="s">
        <v>834</v>
      </c>
      <c r="H434" s="2" t="s">
        <v>25</v>
      </c>
      <c r="I434" s="2" t="s">
        <v>513</v>
      </c>
      <c r="J434" s="2" t="s">
        <v>22</v>
      </c>
      <c r="K434" s="2" t="s">
        <v>393</v>
      </c>
      <c r="L434" s="7">
        <v>-74.044305502618698</v>
      </c>
      <c r="M434" s="7">
        <v>4.6804459478222702</v>
      </c>
    </row>
    <row r="435" spans="1:13">
      <c r="A435" s="24">
        <v>435</v>
      </c>
      <c r="B435" s="5">
        <v>46174</v>
      </c>
      <c r="C435" s="5">
        <v>46174</v>
      </c>
      <c r="D435" s="30">
        <f t="shared" si="12"/>
        <v>0</v>
      </c>
      <c r="E435" s="5" t="s">
        <v>254</v>
      </c>
      <c r="F435" s="5" t="s">
        <v>621</v>
      </c>
      <c r="G435" s="53" t="s">
        <v>605</v>
      </c>
      <c r="H435" s="2" t="s">
        <v>25</v>
      </c>
      <c r="I435" s="2" t="s">
        <v>988</v>
      </c>
      <c r="J435" s="2" t="s">
        <v>22</v>
      </c>
      <c r="K435" s="2" t="s">
        <v>80</v>
      </c>
      <c r="L435" s="7">
        <v>-74.076485209711805</v>
      </c>
      <c r="M435" s="7">
        <v>4.6072599726165899</v>
      </c>
    </row>
    <row r="436" spans="1:13">
      <c r="A436" s="24">
        <v>436</v>
      </c>
      <c r="B436" s="5">
        <v>46174</v>
      </c>
      <c r="C436" s="5">
        <v>46175</v>
      </c>
      <c r="D436" s="30">
        <f t="shared" ref="D436:D474" si="13">C436-B436</f>
        <v>1</v>
      </c>
      <c r="E436" s="5" t="s">
        <v>254</v>
      </c>
      <c r="F436" s="5" t="s">
        <v>621</v>
      </c>
      <c r="G436" s="53" t="s">
        <v>605</v>
      </c>
      <c r="H436" s="2" t="s">
        <v>25</v>
      </c>
      <c r="I436" s="2" t="s">
        <v>989</v>
      </c>
      <c r="J436" s="2" t="s">
        <v>668</v>
      </c>
      <c r="K436" s="2" t="s">
        <v>874</v>
      </c>
      <c r="L436" s="7">
        <v>-75.565137971164006</v>
      </c>
      <c r="M436" s="7">
        <v>6.2267248436335496</v>
      </c>
    </row>
    <row r="437" spans="1:13">
      <c r="A437" s="24">
        <v>437</v>
      </c>
      <c r="B437" s="5">
        <v>46174</v>
      </c>
      <c r="C437" s="5">
        <v>46175</v>
      </c>
      <c r="D437" s="30">
        <f t="shared" si="13"/>
        <v>1</v>
      </c>
      <c r="E437" s="5" t="s">
        <v>254</v>
      </c>
      <c r="F437" s="5" t="s">
        <v>621</v>
      </c>
      <c r="G437" s="53" t="s">
        <v>605</v>
      </c>
      <c r="H437" s="2" t="s">
        <v>25</v>
      </c>
      <c r="I437" s="2" t="s">
        <v>990</v>
      </c>
      <c r="J437" s="2" t="s">
        <v>668</v>
      </c>
      <c r="K437" s="2" t="s">
        <v>874</v>
      </c>
      <c r="L437" s="7">
        <v>-75.566757028835994</v>
      </c>
      <c r="M437" s="7">
        <v>6.1817906632310002</v>
      </c>
    </row>
    <row r="438" spans="1:13">
      <c r="A438" s="24">
        <v>438</v>
      </c>
      <c r="B438" s="5">
        <v>46174</v>
      </c>
      <c r="C438" s="5">
        <v>46175</v>
      </c>
      <c r="D438" s="30">
        <f t="shared" si="13"/>
        <v>1</v>
      </c>
      <c r="E438" s="5" t="s">
        <v>254</v>
      </c>
      <c r="F438" s="5" t="s">
        <v>621</v>
      </c>
      <c r="G438" s="53" t="s">
        <v>605</v>
      </c>
      <c r="H438" s="2" t="s">
        <v>25</v>
      </c>
      <c r="I438" s="2" t="s">
        <v>991</v>
      </c>
      <c r="J438" s="2" t="s">
        <v>22</v>
      </c>
      <c r="K438" s="2" t="s">
        <v>325</v>
      </c>
      <c r="L438" s="7">
        <v>-74.084865486507795</v>
      </c>
      <c r="M438" s="7">
        <v>4.5875355310108397</v>
      </c>
    </row>
    <row r="439" spans="1:13">
      <c r="A439" s="24">
        <v>439</v>
      </c>
      <c r="B439" s="5">
        <v>46174</v>
      </c>
      <c r="C439" s="5">
        <v>46175</v>
      </c>
      <c r="D439" s="30">
        <f t="shared" si="13"/>
        <v>1</v>
      </c>
      <c r="E439" s="5" t="s">
        <v>254</v>
      </c>
      <c r="F439" s="5" t="s">
        <v>621</v>
      </c>
      <c r="G439" s="53" t="s">
        <v>618</v>
      </c>
      <c r="H439" s="2" t="s">
        <v>25</v>
      </c>
      <c r="I439" s="2" t="s">
        <v>512</v>
      </c>
      <c r="J439" s="2" t="s">
        <v>22</v>
      </c>
      <c r="K439" s="2" t="s">
        <v>325</v>
      </c>
      <c r="L439" s="7">
        <v>-74.136898883459494</v>
      </c>
      <c r="M439" s="7">
        <v>4.6257388432017903</v>
      </c>
    </row>
    <row r="440" spans="1:13">
      <c r="A440" s="24">
        <v>440</v>
      </c>
      <c r="B440" s="5">
        <v>46176</v>
      </c>
      <c r="C440" s="5">
        <v>46176</v>
      </c>
      <c r="D440" s="30">
        <f t="shared" si="13"/>
        <v>0</v>
      </c>
      <c r="E440" s="5" t="s">
        <v>254</v>
      </c>
      <c r="F440" s="5" t="s">
        <v>621</v>
      </c>
      <c r="G440" s="53" t="s">
        <v>605</v>
      </c>
      <c r="H440" s="2" t="s">
        <v>25</v>
      </c>
      <c r="I440" s="2" t="s">
        <v>992</v>
      </c>
      <c r="J440" s="2" t="s">
        <v>22</v>
      </c>
      <c r="K440" s="2" t="s">
        <v>325</v>
      </c>
      <c r="L440" s="7">
        <v>-74.121224412988894</v>
      </c>
      <c r="M440" s="7">
        <v>4.5967300977981198</v>
      </c>
    </row>
    <row r="441" spans="1:13">
      <c r="A441" s="24">
        <v>441</v>
      </c>
      <c r="B441" s="5">
        <v>46176</v>
      </c>
      <c r="C441" s="5">
        <v>46176</v>
      </c>
      <c r="D441" s="30">
        <f t="shared" si="13"/>
        <v>0</v>
      </c>
      <c r="E441" s="5" t="s">
        <v>254</v>
      </c>
      <c r="F441" s="5" t="s">
        <v>621</v>
      </c>
      <c r="G441" s="53" t="s">
        <v>605</v>
      </c>
      <c r="H441" s="2" t="s">
        <v>25</v>
      </c>
      <c r="I441" s="2" t="s">
        <v>993</v>
      </c>
      <c r="J441" s="2" t="s">
        <v>22</v>
      </c>
      <c r="K441" s="2" t="s">
        <v>325</v>
      </c>
      <c r="L441" s="7">
        <v>-74.087546200000006</v>
      </c>
      <c r="M441" s="7">
        <v>4.5814010999999999</v>
      </c>
    </row>
    <row r="442" spans="1:13">
      <c r="A442" s="24">
        <v>442</v>
      </c>
      <c r="B442" s="5">
        <v>46177</v>
      </c>
      <c r="C442" s="5">
        <v>46177</v>
      </c>
      <c r="D442" s="30">
        <f t="shared" si="13"/>
        <v>0</v>
      </c>
      <c r="E442" s="5" t="s">
        <v>317</v>
      </c>
      <c r="F442" s="5" t="s">
        <v>621</v>
      </c>
      <c r="G442" s="53" t="s">
        <v>605</v>
      </c>
      <c r="H442" s="2" t="s">
        <v>25</v>
      </c>
      <c r="I442" s="2" t="s">
        <v>994</v>
      </c>
      <c r="J442" s="2" t="s">
        <v>22</v>
      </c>
      <c r="K442" s="2" t="s">
        <v>48</v>
      </c>
      <c r="L442" s="7">
        <v>-74.110875410546797</v>
      </c>
      <c r="M442" s="7">
        <v>4.65304283889306</v>
      </c>
    </row>
    <row r="443" spans="1:13">
      <c r="A443" s="24">
        <v>443</v>
      </c>
      <c r="B443" s="5">
        <v>46177</v>
      </c>
      <c r="C443" s="5">
        <v>46177</v>
      </c>
      <c r="D443" s="30">
        <f t="shared" si="13"/>
        <v>0</v>
      </c>
      <c r="E443" s="5" t="s">
        <v>317</v>
      </c>
      <c r="F443" s="5" t="s">
        <v>621</v>
      </c>
      <c r="G443" s="53" t="s">
        <v>605</v>
      </c>
      <c r="H443" s="2" t="s">
        <v>25</v>
      </c>
      <c r="I443" s="2" t="s">
        <v>995</v>
      </c>
      <c r="J443" s="2" t="s">
        <v>22</v>
      </c>
      <c r="K443" s="2" t="s">
        <v>48</v>
      </c>
    </row>
    <row r="444" spans="1:13">
      <c r="A444" s="24">
        <v>444</v>
      </c>
      <c r="B444" s="5">
        <v>46177</v>
      </c>
      <c r="C444" s="5">
        <v>46177</v>
      </c>
      <c r="D444" s="30">
        <f t="shared" si="13"/>
        <v>0</v>
      </c>
      <c r="E444" s="5" t="s">
        <v>996</v>
      </c>
      <c r="F444" s="5" t="s">
        <v>621</v>
      </c>
      <c r="G444" s="53" t="s">
        <v>605</v>
      </c>
      <c r="H444" s="2" t="s">
        <v>25</v>
      </c>
      <c r="I444" s="2" t="s">
        <v>997</v>
      </c>
      <c r="J444" s="2" t="s">
        <v>22</v>
      </c>
      <c r="K444" s="2" t="s">
        <v>325</v>
      </c>
      <c r="L444" s="7">
        <v>-74.056611099999998</v>
      </c>
      <c r="M444" s="7">
        <v>4.7495268259428398</v>
      </c>
    </row>
    <row r="445" spans="1:13">
      <c r="A445" s="24">
        <v>445</v>
      </c>
      <c r="B445" s="5">
        <v>46178</v>
      </c>
      <c r="C445" s="5">
        <v>46178</v>
      </c>
      <c r="D445" s="30">
        <f t="shared" si="13"/>
        <v>0</v>
      </c>
      <c r="E445" s="5" t="s">
        <v>317</v>
      </c>
      <c r="F445" s="5" t="s">
        <v>621</v>
      </c>
      <c r="G445" s="53" t="s">
        <v>605</v>
      </c>
      <c r="H445" s="2" t="s">
        <v>25</v>
      </c>
      <c r="I445" s="2" t="s">
        <v>998</v>
      </c>
      <c r="J445" s="2" t="s">
        <v>22</v>
      </c>
      <c r="K445" s="2" t="s">
        <v>569</v>
      </c>
      <c r="L445" s="7">
        <v>-73.032891796443295</v>
      </c>
      <c r="M445" s="7">
        <v>5.8318954611763596</v>
      </c>
    </row>
    <row r="446" spans="1:13">
      <c r="A446" s="24">
        <v>446</v>
      </c>
      <c r="B446" s="5">
        <v>46182</v>
      </c>
      <c r="C446" s="5">
        <v>46183</v>
      </c>
      <c r="D446" s="30">
        <f t="shared" si="13"/>
        <v>1</v>
      </c>
      <c r="E446" s="5" t="s">
        <v>254</v>
      </c>
      <c r="F446" s="5" t="s">
        <v>621</v>
      </c>
      <c r="G446" s="53" t="s">
        <v>605</v>
      </c>
      <c r="H446" s="2" t="s">
        <v>25</v>
      </c>
      <c r="I446" s="2" t="s">
        <v>999</v>
      </c>
      <c r="J446" s="2" t="s">
        <v>22</v>
      </c>
      <c r="K446" s="2" t="s">
        <v>325</v>
      </c>
      <c r="L446" s="7">
        <v>-74.126037258895494</v>
      </c>
      <c r="M446" s="7">
        <v>4.5686946842593699</v>
      </c>
    </row>
    <row r="447" spans="1:13">
      <c r="A447" s="24">
        <v>447</v>
      </c>
      <c r="B447" s="5">
        <v>46182</v>
      </c>
      <c r="C447" s="5">
        <v>46183</v>
      </c>
      <c r="D447" s="30">
        <f t="shared" si="13"/>
        <v>1</v>
      </c>
      <c r="E447" s="5" t="s">
        <v>254</v>
      </c>
      <c r="F447" s="5" t="s">
        <v>621</v>
      </c>
      <c r="G447" s="53" t="s">
        <v>618</v>
      </c>
      <c r="H447" s="2" t="s">
        <v>25</v>
      </c>
      <c r="I447" s="2" t="s">
        <v>518</v>
      </c>
      <c r="J447" s="2" t="s">
        <v>22</v>
      </c>
      <c r="K447" s="2" t="s">
        <v>325</v>
      </c>
      <c r="L447" s="7">
        <v>-74.071470344180099</v>
      </c>
      <c r="M447" s="7">
        <v>4.6608805671656102</v>
      </c>
    </row>
    <row r="448" spans="1:13">
      <c r="A448" s="24">
        <v>448</v>
      </c>
      <c r="B448" s="5">
        <v>46182</v>
      </c>
      <c r="C448" s="5">
        <v>46182</v>
      </c>
      <c r="D448" s="30">
        <f t="shared" si="13"/>
        <v>0</v>
      </c>
      <c r="E448" s="5" t="s">
        <v>254</v>
      </c>
      <c r="F448" s="5" t="s">
        <v>621</v>
      </c>
      <c r="G448" s="53" t="s">
        <v>605</v>
      </c>
      <c r="H448" s="2" t="s">
        <v>25</v>
      </c>
      <c r="I448" s="2" t="s">
        <v>1000</v>
      </c>
      <c r="J448" s="2" t="s">
        <v>709</v>
      </c>
      <c r="K448" s="2" t="s">
        <v>325</v>
      </c>
      <c r="L448" s="7">
        <v>-75.555407299999999</v>
      </c>
      <c r="M448" s="7">
        <v>10.4029531</v>
      </c>
    </row>
    <row r="449" spans="1:13">
      <c r="A449" s="24">
        <v>449</v>
      </c>
      <c r="B449" s="5">
        <v>46182</v>
      </c>
      <c r="C449" s="5">
        <v>46184</v>
      </c>
      <c r="D449" s="30">
        <f t="shared" si="13"/>
        <v>2</v>
      </c>
      <c r="E449" s="5" t="s">
        <v>317</v>
      </c>
      <c r="F449" s="5" t="s">
        <v>604</v>
      </c>
      <c r="G449" s="53" t="s">
        <v>618</v>
      </c>
      <c r="H449" s="2" t="s">
        <v>25</v>
      </c>
      <c r="I449" s="2" t="s">
        <v>521</v>
      </c>
      <c r="J449" s="2" t="s">
        <v>22</v>
      </c>
      <c r="K449" s="2" t="s">
        <v>343</v>
      </c>
      <c r="L449" s="7">
        <v>-74.039874930512397</v>
      </c>
      <c r="M449" s="7">
        <v>4.6804434689838796</v>
      </c>
    </row>
    <row r="450" spans="1:13">
      <c r="A450" s="24">
        <v>450</v>
      </c>
      <c r="B450" s="5">
        <v>46182</v>
      </c>
      <c r="C450" s="5">
        <v>46182</v>
      </c>
      <c r="D450" s="30">
        <f t="shared" si="13"/>
        <v>0</v>
      </c>
      <c r="E450" s="5" t="s">
        <v>317</v>
      </c>
      <c r="F450" s="5" t="s">
        <v>604</v>
      </c>
      <c r="G450" s="53" t="s">
        <v>605</v>
      </c>
      <c r="H450" s="2" t="s">
        <v>25</v>
      </c>
      <c r="I450" s="2" t="s">
        <v>1001</v>
      </c>
      <c r="J450" s="2" t="s">
        <v>22</v>
      </c>
      <c r="K450" s="2" t="s">
        <v>343</v>
      </c>
      <c r="L450" s="7">
        <v>-74.130160089638906</v>
      </c>
      <c r="M450" s="7">
        <v>4.5674343953089096</v>
      </c>
    </row>
    <row r="451" spans="1:13">
      <c r="A451" s="24">
        <v>451</v>
      </c>
      <c r="B451" s="5">
        <v>46182</v>
      </c>
      <c r="C451" s="5">
        <v>46182</v>
      </c>
      <c r="D451" s="30">
        <f t="shared" si="13"/>
        <v>0</v>
      </c>
      <c r="E451" s="5" t="s">
        <v>317</v>
      </c>
      <c r="F451" s="5" t="s">
        <v>604</v>
      </c>
      <c r="G451" s="53" t="s">
        <v>605</v>
      </c>
      <c r="H451" s="2" t="s">
        <v>25</v>
      </c>
      <c r="I451" s="2" t="s">
        <v>1002</v>
      </c>
      <c r="J451" s="2" t="s">
        <v>22</v>
      </c>
      <c r="K451" s="2" t="s">
        <v>343</v>
      </c>
      <c r="L451" s="7">
        <v>-74.087548672760903</v>
      </c>
      <c r="M451" s="7">
        <v>4.6331802893059404</v>
      </c>
    </row>
    <row r="452" spans="1:13">
      <c r="A452" s="24">
        <v>452</v>
      </c>
      <c r="B452" s="5">
        <v>46182</v>
      </c>
      <c r="C452" s="5">
        <v>46182</v>
      </c>
      <c r="D452" s="30">
        <f t="shared" si="13"/>
        <v>0</v>
      </c>
      <c r="E452" s="5" t="s">
        <v>317</v>
      </c>
      <c r="F452" s="5" t="s">
        <v>604</v>
      </c>
      <c r="G452" s="53" t="s">
        <v>605</v>
      </c>
      <c r="H452" s="2" t="s">
        <v>25</v>
      </c>
      <c r="I452" s="2" t="s">
        <v>1003</v>
      </c>
      <c r="J452" s="2" t="s">
        <v>22</v>
      </c>
      <c r="K452" s="2" t="s">
        <v>343</v>
      </c>
      <c r="L452" s="7">
        <v>-74.108834229394404</v>
      </c>
      <c r="M452" s="7">
        <v>4.7394719336669402</v>
      </c>
    </row>
    <row r="453" spans="1:13">
      <c r="A453" s="24">
        <v>453</v>
      </c>
      <c r="B453" s="5">
        <v>46182</v>
      </c>
      <c r="C453" s="5">
        <v>46185</v>
      </c>
      <c r="D453" s="30">
        <f t="shared" si="13"/>
        <v>3</v>
      </c>
      <c r="E453" s="5" t="s">
        <v>317</v>
      </c>
      <c r="F453" s="5" t="s">
        <v>604</v>
      </c>
      <c r="G453" s="53" t="s">
        <v>618</v>
      </c>
      <c r="H453" s="2" t="s">
        <v>25</v>
      </c>
      <c r="I453" s="2" t="s">
        <v>522</v>
      </c>
      <c r="J453" s="2" t="s">
        <v>22</v>
      </c>
      <c r="K453" s="2" t="s">
        <v>343</v>
      </c>
      <c r="L453" s="7">
        <v>-74.057155869253904</v>
      </c>
      <c r="M453" s="7">
        <v>4.6847164853299503</v>
      </c>
    </row>
    <row r="454" spans="1:13">
      <c r="A454" s="24">
        <v>454</v>
      </c>
      <c r="B454" s="5">
        <v>46183</v>
      </c>
      <c r="C454" s="5">
        <v>46183</v>
      </c>
      <c r="D454" s="30">
        <f t="shared" si="13"/>
        <v>0</v>
      </c>
      <c r="E454" s="5" t="s">
        <v>254</v>
      </c>
      <c r="F454" s="5" t="s">
        <v>621</v>
      </c>
      <c r="G454" s="53" t="s">
        <v>605</v>
      </c>
      <c r="H454" s="2" t="s">
        <v>25</v>
      </c>
      <c r="I454" s="2" t="s">
        <v>1004</v>
      </c>
      <c r="J454" s="2" t="s">
        <v>709</v>
      </c>
      <c r="K454" s="2" t="s">
        <v>325</v>
      </c>
      <c r="L454" s="7">
        <v>-75.545698432253204</v>
      </c>
      <c r="M454" s="7">
        <v>10.4230093280279</v>
      </c>
    </row>
    <row r="455" spans="1:13">
      <c r="A455" s="24">
        <v>455</v>
      </c>
      <c r="B455" s="5">
        <v>46184</v>
      </c>
      <c r="C455" s="5">
        <v>46184</v>
      </c>
      <c r="D455" s="30">
        <f t="shared" si="13"/>
        <v>0</v>
      </c>
      <c r="E455" s="5" t="s">
        <v>317</v>
      </c>
      <c r="F455" s="5" t="s">
        <v>621</v>
      </c>
      <c r="G455" s="53" t="s">
        <v>605</v>
      </c>
      <c r="H455" s="2" t="s">
        <v>25</v>
      </c>
      <c r="I455" s="2" t="s">
        <v>1005</v>
      </c>
      <c r="J455" s="2" t="s">
        <v>22</v>
      </c>
      <c r="K455" s="2" t="s">
        <v>48</v>
      </c>
      <c r="L455" s="7">
        <v>-75.5867800846558</v>
      </c>
      <c r="M455" s="7">
        <v>6.2592812868998804</v>
      </c>
    </row>
    <row r="456" spans="1:13">
      <c r="A456" s="24">
        <v>456</v>
      </c>
      <c r="B456" s="5">
        <v>46185</v>
      </c>
      <c r="C456" s="5">
        <v>46185</v>
      </c>
      <c r="D456" s="30">
        <f t="shared" si="13"/>
        <v>0</v>
      </c>
      <c r="E456" s="5" t="s">
        <v>317</v>
      </c>
      <c r="F456" s="5" t="s">
        <v>604</v>
      </c>
      <c r="G456" s="53" t="s">
        <v>605</v>
      </c>
      <c r="H456" s="2" t="s">
        <v>25</v>
      </c>
      <c r="I456" s="2" t="s">
        <v>1006</v>
      </c>
      <c r="J456" s="2" t="s">
        <v>22</v>
      </c>
      <c r="K456" s="2" t="s">
        <v>343</v>
      </c>
      <c r="L456" s="7">
        <v>-74.096485211040005</v>
      </c>
      <c r="M456" s="7">
        <v>4.6377921894684402</v>
      </c>
    </row>
    <row r="457" spans="1:13">
      <c r="A457" s="24">
        <v>457</v>
      </c>
      <c r="B457" s="5">
        <v>46185</v>
      </c>
      <c r="C457" s="5">
        <v>46185</v>
      </c>
      <c r="D457" s="30">
        <f t="shared" si="13"/>
        <v>0</v>
      </c>
      <c r="E457" s="5" t="s">
        <v>317</v>
      </c>
      <c r="F457" s="5" t="s">
        <v>621</v>
      </c>
      <c r="G457" s="53" t="s">
        <v>605</v>
      </c>
      <c r="H457" s="2" t="s">
        <v>25</v>
      </c>
      <c r="I457" s="2" t="s">
        <v>1007</v>
      </c>
      <c r="J457" s="2" t="s">
        <v>22</v>
      </c>
      <c r="K457" s="2" t="s">
        <v>393</v>
      </c>
      <c r="L457" s="7">
        <v>-74.103675665821697</v>
      </c>
      <c r="M457" s="7">
        <v>4.5763153759314399</v>
      </c>
    </row>
    <row r="458" spans="1:13">
      <c r="A458" s="24">
        <v>458</v>
      </c>
      <c r="B458" s="5">
        <v>46185</v>
      </c>
      <c r="C458" s="5">
        <v>46189</v>
      </c>
      <c r="D458" s="30">
        <f t="shared" si="13"/>
        <v>4</v>
      </c>
      <c r="E458" s="5" t="s">
        <v>317</v>
      </c>
      <c r="F458" s="5" t="s">
        <v>604</v>
      </c>
      <c r="G458" s="53" t="s">
        <v>618</v>
      </c>
      <c r="H458" s="2" t="s">
        <v>25</v>
      </c>
      <c r="I458" s="2" t="s">
        <v>525</v>
      </c>
      <c r="J458" s="2" t="s">
        <v>22</v>
      </c>
      <c r="K458" s="2" t="s">
        <v>343</v>
      </c>
      <c r="L458" s="7">
        <v>-74.085490777058396</v>
      </c>
      <c r="M458" s="7">
        <v>4.6290417303313802</v>
      </c>
    </row>
    <row r="459" spans="1:13">
      <c r="A459" s="24">
        <v>459</v>
      </c>
      <c r="B459" s="5">
        <v>46185</v>
      </c>
      <c r="C459" s="5">
        <v>46189</v>
      </c>
      <c r="D459" s="30">
        <f t="shared" si="13"/>
        <v>4</v>
      </c>
      <c r="E459" s="5" t="s">
        <v>317</v>
      </c>
      <c r="F459" s="5" t="s">
        <v>604</v>
      </c>
      <c r="G459" s="53" t="s">
        <v>618</v>
      </c>
      <c r="H459" s="2" t="s">
        <v>25</v>
      </c>
      <c r="I459" s="2" t="s">
        <v>528</v>
      </c>
      <c r="J459" s="2" t="s">
        <v>22</v>
      </c>
      <c r="K459" s="2" t="s">
        <v>343</v>
      </c>
      <c r="L459" s="7">
        <v>-74.051572065841597</v>
      </c>
      <c r="M459" s="7">
        <v>4.6734415157695404</v>
      </c>
    </row>
    <row r="460" spans="1:13">
      <c r="A460" s="24">
        <v>461</v>
      </c>
      <c r="B460" s="5">
        <v>46189</v>
      </c>
      <c r="C460" s="5">
        <v>46189</v>
      </c>
      <c r="D460" s="30">
        <f t="shared" si="13"/>
        <v>0</v>
      </c>
      <c r="E460" s="5" t="s">
        <v>254</v>
      </c>
      <c r="F460" s="5" t="s">
        <v>621</v>
      </c>
      <c r="H460" s="2" t="s">
        <v>25</v>
      </c>
      <c r="I460" s="2" t="s">
        <v>1008</v>
      </c>
      <c r="J460" s="2" t="s">
        <v>668</v>
      </c>
      <c r="K460" s="2" t="s">
        <v>874</v>
      </c>
      <c r="L460" s="7">
        <v>-75.5867800846558</v>
      </c>
      <c r="M460" s="7">
        <v>6.2592812868998804</v>
      </c>
    </row>
    <row r="461" spans="1:13">
      <c r="A461" s="24">
        <v>462</v>
      </c>
      <c r="B461" s="5">
        <v>46189</v>
      </c>
      <c r="C461" s="5">
        <v>46189</v>
      </c>
      <c r="D461" s="30">
        <f t="shared" si="13"/>
        <v>0</v>
      </c>
      <c r="E461" s="5" t="s">
        <v>254</v>
      </c>
      <c r="F461" s="5" t="s">
        <v>621</v>
      </c>
      <c r="H461" s="2" t="s">
        <v>25</v>
      </c>
      <c r="I461" s="2" t="s">
        <v>1009</v>
      </c>
      <c r="J461" s="2" t="s">
        <v>668</v>
      </c>
      <c r="K461" s="2" t="s">
        <v>874</v>
      </c>
      <c r="L461" s="7">
        <v>-75.596284542327894</v>
      </c>
      <c r="M461" s="7">
        <v>6.2350719999999997</v>
      </c>
    </row>
    <row r="462" spans="1:13">
      <c r="A462" s="24">
        <v>463</v>
      </c>
      <c r="B462" s="5">
        <v>46189</v>
      </c>
      <c r="C462" s="5">
        <v>46189</v>
      </c>
      <c r="D462" s="30">
        <f t="shared" si="13"/>
        <v>0</v>
      </c>
      <c r="E462" s="5" t="s">
        <v>254</v>
      </c>
      <c r="F462" s="5" t="s">
        <v>621</v>
      </c>
      <c r="H462" s="2" t="s">
        <v>25</v>
      </c>
      <c r="I462" s="2" t="s">
        <v>1010</v>
      </c>
      <c r="J462" s="2" t="s">
        <v>668</v>
      </c>
      <c r="K462" s="2" t="s">
        <v>874</v>
      </c>
      <c r="L462" s="7">
        <v>-75.594578457672</v>
      </c>
      <c r="M462" s="7">
        <v>6.23917301991081</v>
      </c>
    </row>
    <row r="463" spans="1:13">
      <c r="A463" s="24">
        <v>464</v>
      </c>
      <c r="B463" s="5">
        <v>46189</v>
      </c>
      <c r="C463" s="5">
        <v>46189</v>
      </c>
      <c r="D463" s="30">
        <f t="shared" si="13"/>
        <v>0</v>
      </c>
      <c r="E463" s="5" t="s">
        <v>254</v>
      </c>
      <c r="F463" s="5" t="s">
        <v>621</v>
      </c>
      <c r="H463" s="2" t="s">
        <v>25</v>
      </c>
      <c r="I463" s="2" t="s">
        <v>1011</v>
      </c>
      <c r="J463" s="2" t="s">
        <v>22</v>
      </c>
      <c r="K463" s="2" t="s">
        <v>325</v>
      </c>
      <c r="L463" s="7">
        <v>-74.063491801852194</v>
      </c>
      <c r="M463" s="7">
        <v>4.7447288097128597</v>
      </c>
    </row>
    <row r="464" spans="1:13">
      <c r="A464" s="24">
        <v>465</v>
      </c>
      <c r="B464" s="5">
        <v>46189</v>
      </c>
      <c r="C464" s="5">
        <v>46189</v>
      </c>
      <c r="D464" s="30">
        <f t="shared" si="13"/>
        <v>0</v>
      </c>
      <c r="E464" s="5" t="s">
        <v>254</v>
      </c>
      <c r="F464" s="5" t="s">
        <v>621</v>
      </c>
      <c r="H464" s="2" t="s">
        <v>25</v>
      </c>
      <c r="I464" s="2" t="s">
        <v>1012</v>
      </c>
      <c r="J464" s="2" t="s">
        <v>22</v>
      </c>
      <c r="K464" s="2" t="s">
        <v>485</v>
      </c>
      <c r="L464" s="75">
        <v>-74.062795542327905</v>
      </c>
      <c r="M464" s="7">
        <v>4.6946442425428403</v>
      </c>
    </row>
    <row r="465" spans="1:13">
      <c r="A465" s="24">
        <v>466</v>
      </c>
      <c r="B465" s="5">
        <v>46189</v>
      </c>
      <c r="C465" s="5">
        <v>46189</v>
      </c>
      <c r="D465" s="30">
        <f t="shared" si="13"/>
        <v>0</v>
      </c>
      <c r="E465" s="5" t="s">
        <v>254</v>
      </c>
      <c r="F465" s="5" t="s">
        <v>621</v>
      </c>
      <c r="H465" s="2" t="s">
        <v>25</v>
      </c>
      <c r="I465" s="2" t="s">
        <v>1013</v>
      </c>
      <c r="J465" s="2" t="s">
        <v>22</v>
      </c>
      <c r="K465" s="2" t="s">
        <v>485</v>
      </c>
      <c r="L465" s="7">
        <v>-74.049856184655795</v>
      </c>
      <c r="M465" s="7">
        <v>4.7365392723828403</v>
      </c>
    </row>
    <row r="466" spans="1:13">
      <c r="A466" s="24">
        <v>467</v>
      </c>
      <c r="B466" s="5">
        <v>46189</v>
      </c>
      <c r="C466" s="5">
        <v>46190</v>
      </c>
      <c r="D466" s="30">
        <f t="shared" si="13"/>
        <v>1</v>
      </c>
      <c r="E466" s="5" t="s">
        <v>254</v>
      </c>
      <c r="F466" s="5" t="s">
        <v>621</v>
      </c>
      <c r="H466" s="2" t="s">
        <v>25</v>
      </c>
      <c r="I466" s="2" t="s">
        <v>1014</v>
      </c>
      <c r="J466" s="2" t="s">
        <v>1015</v>
      </c>
      <c r="K466" s="2" t="s">
        <v>485</v>
      </c>
    </row>
    <row r="467" spans="1:13">
      <c r="A467" s="24">
        <v>468</v>
      </c>
      <c r="B467" s="5">
        <v>46189</v>
      </c>
      <c r="C467" s="5">
        <v>46190</v>
      </c>
      <c r="D467" s="30">
        <f t="shared" si="13"/>
        <v>1</v>
      </c>
      <c r="E467" s="5" t="s">
        <v>254</v>
      </c>
      <c r="F467" s="5" t="s">
        <v>621</v>
      </c>
      <c r="H467" s="2" t="s">
        <v>25</v>
      </c>
      <c r="I467" s="2" t="s">
        <v>1016</v>
      </c>
      <c r="J467" s="2" t="s">
        <v>320</v>
      </c>
      <c r="K467" s="2" t="s">
        <v>33</v>
      </c>
      <c r="L467" s="7">
        <v>-76.530328178945695</v>
      </c>
      <c r="M467" s="7">
        <v>3.4478039492627901</v>
      </c>
    </row>
    <row r="468" spans="1:13">
      <c r="A468" s="24">
        <v>469</v>
      </c>
      <c r="B468" s="5">
        <v>46189</v>
      </c>
      <c r="C468" s="5">
        <v>46190</v>
      </c>
      <c r="D468" s="30">
        <f t="shared" si="13"/>
        <v>1</v>
      </c>
      <c r="E468" s="5" t="s">
        <v>254</v>
      </c>
      <c r="F468" s="5" t="s">
        <v>621</v>
      </c>
      <c r="H468" s="2" t="s">
        <v>25</v>
      </c>
      <c r="I468" s="2" t="s">
        <v>1017</v>
      </c>
      <c r="J468" s="2" t="s">
        <v>668</v>
      </c>
      <c r="K468" s="2" t="s">
        <v>874</v>
      </c>
      <c r="L468" s="7">
        <v>-75.595459357671999</v>
      </c>
      <c r="M468" s="7">
        <v>6.2115624853071996</v>
      </c>
    </row>
    <row r="469" spans="1:13">
      <c r="A469" s="24">
        <v>470</v>
      </c>
      <c r="B469" s="5">
        <v>46189</v>
      </c>
      <c r="C469" s="5">
        <v>46190</v>
      </c>
      <c r="D469" s="30">
        <f t="shared" si="13"/>
        <v>1</v>
      </c>
      <c r="E469" s="5" t="s">
        <v>254</v>
      </c>
      <c r="F469" s="5" t="s">
        <v>621</v>
      </c>
      <c r="H469" s="2" t="s">
        <v>25</v>
      </c>
      <c r="I469" s="2" t="s">
        <v>1018</v>
      </c>
      <c r="J469" s="2" t="s">
        <v>320</v>
      </c>
      <c r="K469" s="2" t="s">
        <v>33</v>
      </c>
      <c r="L469" s="7">
        <v>-76.541276151334301</v>
      </c>
      <c r="M469" s="7">
        <v>3.4503887999999998</v>
      </c>
    </row>
    <row r="470" spans="1:13">
      <c r="A470" s="24">
        <v>471</v>
      </c>
      <c r="B470" s="5">
        <v>46189</v>
      </c>
      <c r="C470" s="5">
        <v>46190</v>
      </c>
      <c r="D470" s="30">
        <f t="shared" si="13"/>
        <v>1</v>
      </c>
      <c r="E470" s="5" t="s">
        <v>254</v>
      </c>
      <c r="F470" s="5" t="s">
        <v>621</v>
      </c>
      <c r="H470" s="2" t="s">
        <v>25</v>
      </c>
      <c r="I470" s="2" t="s">
        <v>1019</v>
      </c>
      <c r="J470" s="2" t="s">
        <v>22</v>
      </c>
      <c r="K470" s="2" t="s">
        <v>80</v>
      </c>
      <c r="L470" s="7">
        <v>-74.103283813074398</v>
      </c>
      <c r="M470" s="7">
        <v>4.5854001405702798</v>
      </c>
    </row>
    <row r="471" spans="1:13">
      <c r="A471" s="24">
        <v>472</v>
      </c>
      <c r="B471" s="5">
        <v>46189</v>
      </c>
      <c r="C471" s="5">
        <v>46190</v>
      </c>
      <c r="D471" s="30">
        <f t="shared" si="13"/>
        <v>1</v>
      </c>
      <c r="E471" s="5" t="s">
        <v>254</v>
      </c>
      <c r="F471" s="5" t="s">
        <v>621</v>
      </c>
      <c r="H471" s="2" t="s">
        <v>25</v>
      </c>
      <c r="I471" s="2" t="s">
        <v>1020</v>
      </c>
      <c r="J471" s="2" t="s">
        <v>22</v>
      </c>
      <c r="K471" s="2" t="s">
        <v>33</v>
      </c>
      <c r="L471" s="7">
        <v>-76.548952799999995</v>
      </c>
      <c r="M471" s="7">
        <v>3.4142453000000001</v>
      </c>
    </row>
    <row r="472" spans="1:13">
      <c r="A472" s="24">
        <v>473</v>
      </c>
      <c r="B472" s="5">
        <v>46190</v>
      </c>
      <c r="C472" s="5">
        <v>46190</v>
      </c>
      <c r="D472" s="30">
        <f t="shared" si="13"/>
        <v>0</v>
      </c>
      <c r="E472" s="5" t="s">
        <v>317</v>
      </c>
      <c r="F472" s="5" t="s">
        <v>621</v>
      </c>
      <c r="G472" s="53" t="s">
        <v>605</v>
      </c>
      <c r="H472" s="2" t="s">
        <v>25</v>
      </c>
      <c r="I472" s="2" t="s">
        <v>1021</v>
      </c>
      <c r="J472" s="2" t="s">
        <v>709</v>
      </c>
      <c r="K472" s="2" t="s">
        <v>393</v>
      </c>
      <c r="L472" s="7">
        <v>-75.547471638722996</v>
      </c>
      <c r="M472" s="7">
        <v>10.427897437893799</v>
      </c>
    </row>
    <row r="473" spans="1:13">
      <c r="A473" s="24">
        <v>474</v>
      </c>
      <c r="B473" s="5">
        <v>46191</v>
      </c>
      <c r="C473" s="5">
        <v>46191</v>
      </c>
      <c r="D473" s="30">
        <f t="shared" si="13"/>
        <v>0</v>
      </c>
      <c r="E473" s="5" t="s">
        <v>317</v>
      </c>
      <c r="F473" s="5" t="s">
        <v>621</v>
      </c>
      <c r="G473" s="53" t="s">
        <v>605</v>
      </c>
      <c r="H473" s="2" t="s">
        <v>25</v>
      </c>
      <c r="I473" s="2" t="s">
        <v>1022</v>
      </c>
      <c r="J473" s="2" t="s">
        <v>22</v>
      </c>
      <c r="K473" s="2" t="s">
        <v>33</v>
      </c>
      <c r="L473" s="7">
        <v>-74.072779496021397</v>
      </c>
      <c r="M473" s="7">
        <v>4.7112826990787804</v>
      </c>
    </row>
    <row r="474" spans="1:13">
      <c r="A474" s="24">
        <v>475</v>
      </c>
      <c r="B474" s="5">
        <v>46191</v>
      </c>
      <c r="C474" s="5">
        <v>46191</v>
      </c>
      <c r="D474" s="30">
        <f t="shared" si="13"/>
        <v>0</v>
      </c>
      <c r="E474" s="5" t="s">
        <v>317</v>
      </c>
      <c r="F474" s="5" t="s">
        <v>621</v>
      </c>
      <c r="G474" s="53" t="s">
        <v>605</v>
      </c>
      <c r="H474" s="2" t="s">
        <v>25</v>
      </c>
      <c r="I474" s="2" t="s">
        <v>1023</v>
      </c>
      <c r="J474" s="2" t="s">
        <v>22</v>
      </c>
      <c r="K474" s="2" t="s">
        <v>33</v>
      </c>
      <c r="L474" s="7">
        <v>-74.075542171318006</v>
      </c>
      <c r="M474" s="7">
        <v>4.7102802684383498</v>
      </c>
    </row>
    <row r="475" spans="1:13">
      <c r="A475" s="24">
        <v>476</v>
      </c>
      <c r="B475" s="5">
        <v>46191</v>
      </c>
      <c r="C475" s="5">
        <v>46191</v>
      </c>
      <c r="D475" s="30">
        <f t="shared" ref="D475:D480" si="14">C475-B475</f>
        <v>0</v>
      </c>
      <c r="F475" s="5" t="s">
        <v>621</v>
      </c>
      <c r="H475" s="2" t="s">
        <v>25</v>
      </c>
      <c r="I475" s="2" t="s">
        <v>1024</v>
      </c>
      <c r="J475" s="2" t="s">
        <v>22</v>
      </c>
      <c r="K475" s="2" t="s">
        <v>485</v>
      </c>
    </row>
    <row r="476" spans="1:13">
      <c r="A476" s="24">
        <v>477</v>
      </c>
      <c r="B476" s="5">
        <v>46191</v>
      </c>
      <c r="C476" s="5">
        <v>46191</v>
      </c>
      <c r="D476" s="30">
        <f t="shared" si="14"/>
        <v>0</v>
      </c>
      <c r="E476" s="5" t="s">
        <v>254</v>
      </c>
      <c r="F476" s="5" t="s">
        <v>621</v>
      </c>
      <c r="G476" s="53" t="s">
        <v>605</v>
      </c>
      <c r="H476" s="2" t="s">
        <v>25</v>
      </c>
      <c r="I476" s="2" t="s">
        <v>1025</v>
      </c>
      <c r="J476" s="2" t="s">
        <v>668</v>
      </c>
      <c r="K476" s="2" t="s">
        <v>874</v>
      </c>
      <c r="L476" s="7">
        <v>-75.568176199999996</v>
      </c>
      <c r="M476" s="7">
        <v>6.2485955999999998</v>
      </c>
    </row>
    <row r="477" spans="1:13">
      <c r="A477" s="24">
        <v>478</v>
      </c>
      <c r="B477" s="5">
        <v>46191</v>
      </c>
      <c r="C477" s="5">
        <v>46191</v>
      </c>
      <c r="D477" s="30">
        <f t="shared" si="14"/>
        <v>0</v>
      </c>
      <c r="E477" s="5" t="s">
        <v>254</v>
      </c>
      <c r="F477" s="5" t="s">
        <v>621</v>
      </c>
      <c r="G477" s="53" t="s">
        <v>605</v>
      </c>
      <c r="H477" s="2" t="s">
        <v>25</v>
      </c>
      <c r="I477" s="2" t="s">
        <v>1026</v>
      </c>
      <c r="J477" s="2" t="s">
        <v>668</v>
      </c>
      <c r="K477" s="2" t="s">
        <v>874</v>
      </c>
      <c r="L477" s="7">
        <v>-75.567376300000006</v>
      </c>
      <c r="M477" s="7">
        <v>6.2644225000000002</v>
      </c>
    </row>
    <row r="478" spans="1:13">
      <c r="A478" s="24">
        <v>479</v>
      </c>
      <c r="B478" s="5">
        <v>46191</v>
      </c>
      <c r="C478" s="5">
        <v>46191</v>
      </c>
      <c r="D478" s="30">
        <f t="shared" si="14"/>
        <v>0</v>
      </c>
      <c r="E478" s="5" t="s">
        <v>254</v>
      </c>
      <c r="F478" s="5" t="s">
        <v>621</v>
      </c>
      <c r="G478" s="53" t="s">
        <v>605</v>
      </c>
      <c r="H478" s="2" t="s">
        <v>25</v>
      </c>
      <c r="I478" s="2" t="s">
        <v>1027</v>
      </c>
      <c r="J478" s="2" t="s">
        <v>22</v>
      </c>
      <c r="K478" s="2" t="s">
        <v>33</v>
      </c>
      <c r="L478" s="7">
        <v>-74.034694545280999</v>
      </c>
      <c r="M478" s="7">
        <v>4.6963143041017803</v>
      </c>
    </row>
    <row r="479" spans="1:13">
      <c r="A479" s="24">
        <v>480</v>
      </c>
      <c r="B479" s="5">
        <v>46191</v>
      </c>
      <c r="C479" s="5">
        <v>46191</v>
      </c>
      <c r="D479" s="30">
        <f t="shared" si="14"/>
        <v>0</v>
      </c>
      <c r="E479" s="5" t="s">
        <v>254</v>
      </c>
      <c r="F479" s="5" t="s">
        <v>621</v>
      </c>
      <c r="G479" s="53" t="s">
        <v>605</v>
      </c>
      <c r="H479" s="2" t="s">
        <v>25</v>
      </c>
      <c r="I479" s="2" t="s">
        <v>1028</v>
      </c>
      <c r="J479" s="2" t="s">
        <v>22</v>
      </c>
      <c r="K479" s="2" t="s">
        <v>33</v>
      </c>
      <c r="L479" s="7">
        <v>-74.052501737705995</v>
      </c>
      <c r="M479" s="7">
        <v>4.7052771385529599</v>
      </c>
    </row>
    <row r="480" spans="1:13">
      <c r="A480" s="24">
        <v>481</v>
      </c>
      <c r="B480" s="5">
        <v>46191</v>
      </c>
      <c r="C480" s="5">
        <v>46191</v>
      </c>
      <c r="D480" s="30">
        <f t="shared" si="14"/>
        <v>0</v>
      </c>
      <c r="E480" s="5" t="s">
        <v>254</v>
      </c>
      <c r="F480" s="5" t="s">
        <v>621</v>
      </c>
      <c r="G480" s="53" t="s">
        <v>605</v>
      </c>
      <c r="H480" s="2" t="s">
        <v>25</v>
      </c>
      <c r="I480" s="2" t="s">
        <v>1029</v>
      </c>
      <c r="J480" s="2" t="s">
        <v>320</v>
      </c>
      <c r="K480" s="2" t="s">
        <v>33</v>
      </c>
      <c r="L480" s="7">
        <v>-76.531576400000006</v>
      </c>
      <c r="M480" s="7">
        <v>3.3629031</v>
      </c>
    </row>
    <row r="481" spans="1:13">
      <c r="A481" s="24">
        <v>482</v>
      </c>
      <c r="B481" s="5">
        <v>46192</v>
      </c>
      <c r="C481" s="5">
        <v>46192</v>
      </c>
      <c r="D481" s="30">
        <f t="shared" ref="D481:D516" si="15">C481-B481</f>
        <v>0</v>
      </c>
      <c r="E481" s="5" t="s">
        <v>254</v>
      </c>
      <c r="F481" s="5" t="s">
        <v>621</v>
      </c>
      <c r="G481" s="53" t="s">
        <v>605</v>
      </c>
      <c r="H481" s="2" t="s">
        <v>25</v>
      </c>
      <c r="I481" s="2" t="s">
        <v>1030</v>
      </c>
      <c r="J481" s="2" t="s">
        <v>892</v>
      </c>
      <c r="K481" s="2" t="s">
        <v>485</v>
      </c>
      <c r="L481" s="7">
        <v>-73.109776008416105</v>
      </c>
      <c r="M481" s="7">
        <v>7.0914788</v>
      </c>
    </row>
    <row r="482" spans="1:13">
      <c r="A482" s="24">
        <v>483</v>
      </c>
      <c r="B482" s="5">
        <v>46192</v>
      </c>
      <c r="C482" s="5">
        <v>46192</v>
      </c>
      <c r="D482" s="30">
        <f t="shared" si="15"/>
        <v>0</v>
      </c>
      <c r="E482" s="5" t="s">
        <v>317</v>
      </c>
      <c r="F482" s="5" t="s">
        <v>621</v>
      </c>
      <c r="G482" s="53" t="s">
        <v>618</v>
      </c>
      <c r="H482" s="2" t="s">
        <v>25</v>
      </c>
      <c r="I482" s="2" t="s">
        <v>530</v>
      </c>
      <c r="J482" s="2" t="s">
        <v>22</v>
      </c>
      <c r="K482" s="2" t="s">
        <v>38</v>
      </c>
      <c r="L482" s="7">
        <v>-74.060955504833601</v>
      </c>
      <c r="M482" s="7">
        <v>4.6616431746006697</v>
      </c>
    </row>
    <row r="483" spans="1:13">
      <c r="A483" s="24">
        <v>484</v>
      </c>
      <c r="B483" s="5">
        <v>46195</v>
      </c>
      <c r="C483" s="5">
        <v>46195</v>
      </c>
      <c r="D483" s="30">
        <f t="shared" si="15"/>
        <v>0</v>
      </c>
      <c r="E483" s="5" t="s">
        <v>317</v>
      </c>
      <c r="F483" s="5" t="s">
        <v>621</v>
      </c>
      <c r="G483" s="53" t="s">
        <v>605</v>
      </c>
      <c r="H483" s="2" t="s">
        <v>25</v>
      </c>
      <c r="I483" s="2" t="s">
        <v>1031</v>
      </c>
      <c r="J483" s="2" t="s">
        <v>22</v>
      </c>
      <c r="K483" s="2" t="s">
        <v>38</v>
      </c>
      <c r="L483" s="7">
        <v>-74.034585690370307</v>
      </c>
      <c r="M483" s="7">
        <v>4.7186447729770196</v>
      </c>
    </row>
    <row r="484" spans="1:13">
      <c r="A484" s="24">
        <v>485</v>
      </c>
      <c r="B484" s="5">
        <v>46195</v>
      </c>
      <c r="C484" s="5">
        <v>46195</v>
      </c>
      <c r="D484" s="30">
        <f t="shared" si="15"/>
        <v>0</v>
      </c>
      <c r="E484" s="5" t="s">
        <v>317</v>
      </c>
      <c r="F484" s="5" t="s">
        <v>604</v>
      </c>
      <c r="G484" s="53" t="s">
        <v>605</v>
      </c>
      <c r="H484" s="2" t="s">
        <v>25</v>
      </c>
      <c r="I484" s="2" t="s">
        <v>1032</v>
      </c>
      <c r="J484" s="2" t="s">
        <v>22</v>
      </c>
      <c r="K484" s="2" t="s">
        <v>343</v>
      </c>
      <c r="L484" s="7">
        <v>-74.048432299345293</v>
      </c>
      <c r="M484" s="7">
        <v>4.7065886445755503</v>
      </c>
    </row>
    <row r="485" spans="1:13">
      <c r="A485" s="24">
        <v>486</v>
      </c>
      <c r="B485" s="5">
        <v>46195</v>
      </c>
      <c r="C485" s="5">
        <v>46196</v>
      </c>
      <c r="D485" s="30">
        <f t="shared" si="15"/>
        <v>1</v>
      </c>
      <c r="E485" s="5" t="s">
        <v>317</v>
      </c>
      <c r="F485" s="5" t="s">
        <v>604</v>
      </c>
      <c r="G485" s="53" t="s">
        <v>618</v>
      </c>
      <c r="H485" s="2" t="s">
        <v>25</v>
      </c>
      <c r="I485" s="2" t="s">
        <v>532</v>
      </c>
      <c r="J485" s="2" t="s">
        <v>22</v>
      </c>
      <c r="K485" s="2" t="s">
        <v>343</v>
      </c>
      <c r="L485" s="7">
        <v>-74.080098657396405</v>
      </c>
      <c r="M485" s="7">
        <v>4.6313127346370502</v>
      </c>
    </row>
    <row r="486" spans="1:13">
      <c r="A486" s="24">
        <v>487</v>
      </c>
      <c r="B486" s="5">
        <v>46195</v>
      </c>
      <c r="C486" s="5">
        <v>46195</v>
      </c>
      <c r="D486" s="30">
        <f t="shared" si="15"/>
        <v>0</v>
      </c>
      <c r="E486" s="5" t="s">
        <v>317</v>
      </c>
      <c r="F486" s="5" t="s">
        <v>604</v>
      </c>
      <c r="G486" s="53" t="s">
        <v>605</v>
      </c>
      <c r="H486" s="2" t="s">
        <v>25</v>
      </c>
      <c r="I486" s="2" t="s">
        <v>1033</v>
      </c>
      <c r="J486" s="2" t="s">
        <v>22</v>
      </c>
      <c r="K486" s="2" t="s">
        <v>343</v>
      </c>
      <c r="L486" s="7">
        <v>-74.037752093439593</v>
      </c>
      <c r="M486" s="7">
        <v>4.8823105799143098</v>
      </c>
    </row>
    <row r="487" spans="1:13">
      <c r="A487" s="24">
        <v>488</v>
      </c>
      <c r="B487" s="5">
        <v>46195</v>
      </c>
      <c r="C487" s="5">
        <v>46196</v>
      </c>
      <c r="D487" s="30">
        <f t="shared" si="15"/>
        <v>1</v>
      </c>
      <c r="E487" s="5" t="s">
        <v>317</v>
      </c>
      <c r="F487" s="5" t="s">
        <v>604</v>
      </c>
      <c r="G487" s="53" t="s">
        <v>618</v>
      </c>
      <c r="H487" s="2" t="s">
        <v>25</v>
      </c>
      <c r="I487" s="2" t="s">
        <v>533</v>
      </c>
      <c r="J487" s="2" t="s">
        <v>22</v>
      </c>
      <c r="K487" s="2" t="s">
        <v>343</v>
      </c>
      <c r="L487" s="7">
        <v>-74.131839496410194</v>
      </c>
      <c r="M487" s="7">
        <v>4.6839251258273702</v>
      </c>
    </row>
    <row r="488" spans="1:13">
      <c r="A488" s="24">
        <v>489</v>
      </c>
      <c r="B488" s="5">
        <v>46195</v>
      </c>
      <c r="C488" s="5">
        <v>46195</v>
      </c>
      <c r="D488" s="30">
        <f t="shared" si="15"/>
        <v>0</v>
      </c>
      <c r="E488" s="5" t="s">
        <v>254</v>
      </c>
      <c r="F488" s="5" t="s">
        <v>621</v>
      </c>
      <c r="G488" s="53" t="s">
        <v>605</v>
      </c>
      <c r="H488" s="2" t="s">
        <v>25</v>
      </c>
      <c r="I488" s="2" t="s">
        <v>1034</v>
      </c>
      <c r="J488" s="2" t="s">
        <v>668</v>
      </c>
      <c r="K488" s="2" t="s">
        <v>874</v>
      </c>
      <c r="L488" s="7">
        <v>-75.570695157652096</v>
      </c>
      <c r="M488" s="7">
        <v>6.2144415166008597</v>
      </c>
    </row>
    <row r="489" spans="1:13">
      <c r="A489" s="24">
        <v>490</v>
      </c>
      <c r="B489" s="5">
        <v>46195</v>
      </c>
      <c r="C489" s="5">
        <v>46195</v>
      </c>
      <c r="D489" s="30">
        <f t="shared" si="15"/>
        <v>0</v>
      </c>
      <c r="E489" s="5" t="s">
        <v>254</v>
      </c>
      <c r="F489" s="5" t="s">
        <v>621</v>
      </c>
      <c r="G489" s="53" t="s">
        <v>605</v>
      </c>
      <c r="H489" s="2" t="s">
        <v>25</v>
      </c>
      <c r="I489" s="2" t="s">
        <v>1035</v>
      </c>
      <c r="J489" s="2" t="s">
        <v>668</v>
      </c>
      <c r="K489" s="2" t="s">
        <v>874</v>
      </c>
      <c r="L489" s="7">
        <v>-75.589080600000003</v>
      </c>
      <c r="M489" s="7">
        <v>6.1886901999999999</v>
      </c>
    </row>
    <row r="490" spans="1:13">
      <c r="A490" s="24">
        <v>491</v>
      </c>
      <c r="B490" s="5">
        <v>46195</v>
      </c>
      <c r="C490" s="5">
        <v>46195</v>
      </c>
      <c r="D490" s="30">
        <f t="shared" si="15"/>
        <v>0</v>
      </c>
      <c r="E490" s="5" t="s">
        <v>254</v>
      </c>
      <c r="F490" s="5" t="s">
        <v>621</v>
      </c>
      <c r="H490" s="2" t="s">
        <v>25</v>
      </c>
      <c r="I490" s="2" t="s">
        <v>1036</v>
      </c>
      <c r="J490" s="2" t="s">
        <v>668</v>
      </c>
      <c r="K490" s="2" t="s">
        <v>874</v>
      </c>
      <c r="L490" s="7">
        <v>-75.588184762156999</v>
      </c>
      <c r="M490" s="7">
        <v>6.2155911000000001</v>
      </c>
    </row>
    <row r="491" spans="1:13">
      <c r="A491" s="24">
        <v>492</v>
      </c>
      <c r="B491" s="5">
        <v>46195</v>
      </c>
      <c r="C491" s="5">
        <v>46195</v>
      </c>
      <c r="D491" s="30">
        <f t="shared" si="15"/>
        <v>0</v>
      </c>
      <c r="E491" s="5" t="s">
        <v>254</v>
      </c>
      <c r="F491" s="5" t="s">
        <v>621</v>
      </c>
      <c r="H491" s="2" t="s">
        <v>25</v>
      </c>
      <c r="I491" s="2" t="s">
        <v>1037</v>
      </c>
      <c r="J491" s="2" t="s">
        <v>22</v>
      </c>
      <c r="K491" s="2" t="s">
        <v>325</v>
      </c>
      <c r="L491" s="7">
        <v>-74.064444399999999</v>
      </c>
      <c r="M491" s="7">
        <v>4.6676903448612199</v>
      </c>
    </row>
    <row r="492" spans="1:13">
      <c r="A492" s="24">
        <v>493</v>
      </c>
      <c r="B492" s="5">
        <v>46195</v>
      </c>
      <c r="C492" s="5">
        <v>46195</v>
      </c>
      <c r="D492" s="30">
        <f t="shared" si="15"/>
        <v>0</v>
      </c>
      <c r="E492" s="5" t="s">
        <v>254</v>
      </c>
      <c r="F492" s="5" t="s">
        <v>621</v>
      </c>
      <c r="G492" s="53" t="s">
        <v>605</v>
      </c>
      <c r="H492" s="2" t="s">
        <v>25</v>
      </c>
      <c r="I492" s="2" t="s">
        <v>1038</v>
      </c>
      <c r="J492" s="2" t="s">
        <v>1039</v>
      </c>
      <c r="K492" s="2" t="s">
        <v>325</v>
      </c>
      <c r="L492" s="7">
        <v>-73.817481144421905</v>
      </c>
      <c r="M492" s="7">
        <v>5.6149585161313196</v>
      </c>
    </row>
    <row r="493" spans="1:13">
      <c r="A493" s="24">
        <v>494</v>
      </c>
      <c r="B493" s="5">
        <v>46195</v>
      </c>
      <c r="C493" s="5">
        <v>46195</v>
      </c>
      <c r="D493" s="30">
        <f t="shared" si="15"/>
        <v>0</v>
      </c>
      <c r="E493" s="5" t="s">
        <v>317</v>
      </c>
      <c r="F493" s="5" t="s">
        <v>621</v>
      </c>
      <c r="G493" s="53" t="s">
        <v>605</v>
      </c>
      <c r="H493" s="2" t="s">
        <v>25</v>
      </c>
      <c r="I493" s="2" t="s">
        <v>1040</v>
      </c>
      <c r="J493" s="2" t="s">
        <v>892</v>
      </c>
      <c r="K493" s="2" t="s">
        <v>393</v>
      </c>
      <c r="L493" s="7">
        <v>-73.115983400511396</v>
      </c>
      <c r="M493" s="7">
        <v>7.1201933025865802</v>
      </c>
    </row>
    <row r="494" spans="1:13">
      <c r="A494" s="24">
        <v>495</v>
      </c>
      <c r="B494" s="5">
        <v>46195</v>
      </c>
      <c r="C494" s="5">
        <v>46195</v>
      </c>
      <c r="D494" s="30">
        <f t="shared" si="15"/>
        <v>0</v>
      </c>
      <c r="E494" s="5" t="s">
        <v>317</v>
      </c>
      <c r="F494" s="5" t="s">
        <v>621</v>
      </c>
      <c r="G494" s="53" t="s">
        <v>605</v>
      </c>
      <c r="H494" s="2" t="s">
        <v>25</v>
      </c>
      <c r="I494" s="2" t="s">
        <v>1041</v>
      </c>
      <c r="J494" s="2" t="s">
        <v>892</v>
      </c>
      <c r="K494" s="2" t="s">
        <v>393</v>
      </c>
      <c r="L494" s="7">
        <v>-73.109577465483895</v>
      </c>
      <c r="M494" s="7">
        <v>7.0914187506122799</v>
      </c>
    </row>
    <row r="495" spans="1:13">
      <c r="A495" s="24">
        <v>496</v>
      </c>
      <c r="B495" s="5">
        <v>46195</v>
      </c>
      <c r="C495" s="5">
        <v>46196</v>
      </c>
      <c r="D495" s="30">
        <f t="shared" si="15"/>
        <v>1</v>
      </c>
      <c r="E495" s="5" t="s">
        <v>254</v>
      </c>
      <c r="F495" s="5" t="s">
        <v>621</v>
      </c>
      <c r="G495" s="53" t="s">
        <v>605</v>
      </c>
      <c r="H495" s="2" t="s">
        <v>25</v>
      </c>
      <c r="I495" s="2" t="s">
        <v>1042</v>
      </c>
      <c r="J495" s="2" t="s">
        <v>668</v>
      </c>
      <c r="K495" s="2" t="s">
        <v>874</v>
      </c>
      <c r="L495" s="7">
        <v>-75.567212999999995</v>
      </c>
      <c r="M495" s="7">
        <v>6.2651996247078197</v>
      </c>
    </row>
    <row r="496" spans="1:13">
      <c r="A496" s="24">
        <v>497</v>
      </c>
      <c r="B496" s="5">
        <v>46197</v>
      </c>
      <c r="C496" s="5">
        <v>46197</v>
      </c>
      <c r="D496" s="30">
        <f t="shared" si="15"/>
        <v>0</v>
      </c>
      <c r="E496" s="5" t="s">
        <v>254</v>
      </c>
      <c r="F496" s="5" t="s">
        <v>621</v>
      </c>
      <c r="H496" s="2" t="s">
        <v>25</v>
      </c>
      <c r="I496" s="2" t="s">
        <v>1043</v>
      </c>
      <c r="J496" s="2" t="s">
        <v>22</v>
      </c>
      <c r="K496" s="2" t="s">
        <v>80</v>
      </c>
      <c r="L496" s="7">
        <v>-74.105207622090006</v>
      </c>
      <c r="M496" s="7">
        <v>4.5902605260348297</v>
      </c>
    </row>
    <row r="497" spans="1:14">
      <c r="A497" s="24">
        <v>498</v>
      </c>
      <c r="B497" s="5">
        <v>46197</v>
      </c>
      <c r="C497" s="5">
        <v>46197</v>
      </c>
      <c r="D497" s="30">
        <f t="shared" si="15"/>
        <v>0</v>
      </c>
      <c r="E497" s="5" t="s">
        <v>254</v>
      </c>
      <c r="F497" s="5" t="s">
        <v>621</v>
      </c>
      <c r="H497" s="2" t="s">
        <v>25</v>
      </c>
      <c r="I497" s="2" t="s">
        <v>1044</v>
      </c>
      <c r="J497" s="2" t="s">
        <v>22</v>
      </c>
      <c r="K497" s="2" t="s">
        <v>33</v>
      </c>
      <c r="L497" s="7">
        <v>-74.032633966188996</v>
      </c>
      <c r="M497" s="7">
        <v>4.7031485650321301</v>
      </c>
    </row>
    <row r="498" spans="1:14">
      <c r="A498" s="24">
        <v>499</v>
      </c>
      <c r="B498" s="5">
        <v>46198</v>
      </c>
      <c r="C498" s="5">
        <v>46198</v>
      </c>
      <c r="D498" s="30">
        <f t="shared" si="15"/>
        <v>0</v>
      </c>
      <c r="E498" s="5" t="s">
        <v>317</v>
      </c>
      <c r="F498" s="5" t="s">
        <v>621</v>
      </c>
      <c r="G498" s="53" t="s">
        <v>605</v>
      </c>
      <c r="H498" s="2" t="s">
        <v>25</v>
      </c>
      <c r="I498" s="2" t="s">
        <v>1045</v>
      </c>
      <c r="J498" s="2" t="s">
        <v>937</v>
      </c>
      <c r="K498" s="2" t="s">
        <v>569</v>
      </c>
      <c r="L498" s="7">
        <v>-73.120296217140506</v>
      </c>
      <c r="M498" s="7">
        <v>5.7831329880007996</v>
      </c>
    </row>
    <row r="499" spans="1:14">
      <c r="A499" s="24">
        <v>500</v>
      </c>
      <c r="B499" s="5">
        <v>46199</v>
      </c>
      <c r="C499" s="5">
        <v>46199</v>
      </c>
      <c r="D499" s="30">
        <f t="shared" si="15"/>
        <v>0</v>
      </c>
      <c r="E499" s="5" t="s">
        <v>254</v>
      </c>
      <c r="F499" s="5" t="s">
        <v>621</v>
      </c>
      <c r="G499" s="53" t="s">
        <v>618</v>
      </c>
      <c r="H499" s="2" t="s">
        <v>25</v>
      </c>
      <c r="I499" s="2" t="s">
        <v>1046</v>
      </c>
      <c r="J499" s="2" t="s">
        <v>22</v>
      </c>
      <c r="K499" s="2" t="s">
        <v>325</v>
      </c>
      <c r="L499" s="7">
        <v>-74.063472200000007</v>
      </c>
      <c r="M499" s="7">
        <v>4.6703055999999998</v>
      </c>
    </row>
    <row r="500" spans="1:14">
      <c r="A500" s="24">
        <v>501</v>
      </c>
      <c r="B500" s="5">
        <v>46199</v>
      </c>
      <c r="C500" s="5">
        <v>46199</v>
      </c>
      <c r="D500" s="30">
        <f t="shared" si="15"/>
        <v>0</v>
      </c>
      <c r="E500" s="5" t="s">
        <v>317</v>
      </c>
      <c r="F500" s="5" t="s">
        <v>604</v>
      </c>
      <c r="G500" s="53" t="s">
        <v>618</v>
      </c>
      <c r="H500" s="2" t="s">
        <v>25</v>
      </c>
      <c r="I500" s="2" t="s">
        <v>536</v>
      </c>
      <c r="J500" s="2" t="s">
        <v>22</v>
      </c>
      <c r="K500" s="2" t="s">
        <v>343</v>
      </c>
      <c r="L500" s="7">
        <v>-74.138122800000005</v>
      </c>
      <c r="M500" s="7">
        <v>4.5943773999999999</v>
      </c>
    </row>
    <row r="501" spans="1:14">
      <c r="A501" s="24">
        <v>502</v>
      </c>
      <c r="B501" s="5">
        <v>46199</v>
      </c>
      <c r="C501" s="5">
        <v>46199</v>
      </c>
      <c r="D501" s="30">
        <f t="shared" si="15"/>
        <v>0</v>
      </c>
      <c r="E501" s="5" t="s">
        <v>317</v>
      </c>
      <c r="F501" s="5" t="s">
        <v>604</v>
      </c>
      <c r="G501" s="53" t="s">
        <v>605</v>
      </c>
      <c r="H501" s="2" t="s">
        <v>25</v>
      </c>
      <c r="I501" s="2" t="s">
        <v>1047</v>
      </c>
      <c r="J501" s="2" t="s">
        <v>22</v>
      </c>
      <c r="K501" s="2" t="s">
        <v>343</v>
      </c>
      <c r="L501" s="7">
        <v>-74.138200999999995</v>
      </c>
      <c r="M501" s="7">
        <v>4.5924933000000001</v>
      </c>
    </row>
    <row r="502" spans="1:14">
      <c r="A502" s="24">
        <v>503</v>
      </c>
      <c r="B502" s="5">
        <v>46199</v>
      </c>
      <c r="C502" s="5">
        <v>46199</v>
      </c>
      <c r="D502" s="30">
        <f t="shared" si="15"/>
        <v>0</v>
      </c>
      <c r="E502" s="5" t="s">
        <v>317</v>
      </c>
      <c r="F502" s="5" t="s">
        <v>604</v>
      </c>
      <c r="G502" s="53" t="s">
        <v>605</v>
      </c>
      <c r="H502" s="2" t="s">
        <v>25</v>
      </c>
      <c r="I502" s="2" t="s">
        <v>1048</v>
      </c>
      <c r="J502" s="2" t="s">
        <v>22</v>
      </c>
      <c r="K502" s="2" t="s">
        <v>343</v>
      </c>
      <c r="L502" s="7">
        <v>-74.119874499999995</v>
      </c>
      <c r="M502" s="7">
        <v>4.7192723000000001</v>
      </c>
    </row>
    <row r="503" spans="1:14">
      <c r="A503" s="24">
        <v>504</v>
      </c>
      <c r="B503" s="5">
        <v>46199</v>
      </c>
      <c r="C503" s="5">
        <v>46199</v>
      </c>
      <c r="D503" s="30">
        <f t="shared" si="15"/>
        <v>0</v>
      </c>
      <c r="E503" s="5" t="s">
        <v>317</v>
      </c>
      <c r="F503" s="5" t="s">
        <v>621</v>
      </c>
      <c r="G503" s="53" t="s">
        <v>605</v>
      </c>
      <c r="H503" s="2" t="s">
        <v>25</v>
      </c>
      <c r="I503" s="2" t="s">
        <v>1049</v>
      </c>
      <c r="J503" s="2" t="s">
        <v>22</v>
      </c>
      <c r="K503" s="2" t="s">
        <v>393</v>
      </c>
      <c r="L503" s="7">
        <v>-75.550411199999999</v>
      </c>
      <c r="M503" s="7">
        <v>10.4220408</v>
      </c>
    </row>
    <row r="504" spans="1:14">
      <c r="A504" s="24">
        <v>505</v>
      </c>
      <c r="B504" s="5">
        <v>46199</v>
      </c>
      <c r="C504" s="5">
        <v>46199</v>
      </c>
      <c r="D504" s="30">
        <f t="shared" si="15"/>
        <v>0</v>
      </c>
      <c r="E504" s="5" t="s">
        <v>317</v>
      </c>
      <c r="F504" s="5" t="s">
        <v>621</v>
      </c>
      <c r="G504" s="53" t="s">
        <v>618</v>
      </c>
      <c r="H504" s="2" t="s">
        <v>25</v>
      </c>
      <c r="I504" s="2" t="s">
        <v>538</v>
      </c>
      <c r="J504" s="2" t="s">
        <v>22</v>
      </c>
      <c r="K504" s="2" t="s">
        <v>38</v>
      </c>
      <c r="L504" s="7">
        <v>-74.056285000000003</v>
      </c>
      <c r="M504" s="7">
        <v>4.6675659999999999</v>
      </c>
    </row>
    <row r="505" spans="1:14">
      <c r="A505" s="24">
        <v>506</v>
      </c>
      <c r="B505" s="5">
        <v>46199</v>
      </c>
      <c r="C505" s="5">
        <v>46199</v>
      </c>
      <c r="D505" s="30">
        <f t="shared" si="15"/>
        <v>0</v>
      </c>
      <c r="E505" s="5" t="s">
        <v>317</v>
      </c>
      <c r="F505" s="5" t="s">
        <v>621</v>
      </c>
      <c r="G505" s="53" t="s">
        <v>605</v>
      </c>
      <c r="H505" s="2" t="s">
        <v>25</v>
      </c>
      <c r="I505" s="2" t="s">
        <v>1050</v>
      </c>
      <c r="J505" s="2" t="s">
        <v>1051</v>
      </c>
      <c r="K505" s="2" t="s">
        <v>569</v>
      </c>
      <c r="L505" s="7">
        <v>-74.0375315</v>
      </c>
      <c r="M505" s="7">
        <v>4.8768668000000002</v>
      </c>
    </row>
    <row r="506" spans="1:14">
      <c r="A506" s="24">
        <v>507</v>
      </c>
      <c r="B506" s="5">
        <v>46199</v>
      </c>
      <c r="C506" s="5">
        <v>46199</v>
      </c>
      <c r="D506" s="30">
        <f t="shared" si="15"/>
        <v>0</v>
      </c>
      <c r="E506" s="5" t="s">
        <v>317</v>
      </c>
      <c r="F506" s="5" t="s">
        <v>621</v>
      </c>
      <c r="G506" s="53" t="s">
        <v>605</v>
      </c>
      <c r="H506" s="2" t="s">
        <v>25</v>
      </c>
      <c r="I506" s="2" t="s">
        <v>1052</v>
      </c>
      <c r="J506" s="2" t="s">
        <v>1015</v>
      </c>
      <c r="K506" s="2" t="s">
        <v>569</v>
      </c>
      <c r="L506" s="7">
        <v>-73.340738539518398</v>
      </c>
      <c r="M506" s="7">
        <v>5.5710355540952703</v>
      </c>
    </row>
    <row r="507" spans="1:14">
      <c r="A507" s="24">
        <v>508</v>
      </c>
      <c r="B507" s="5">
        <v>46199</v>
      </c>
      <c r="C507" s="5">
        <v>46199</v>
      </c>
      <c r="D507" s="30">
        <f t="shared" si="15"/>
        <v>0</v>
      </c>
      <c r="E507" s="5" t="s">
        <v>317</v>
      </c>
      <c r="F507" s="5" t="s">
        <v>621</v>
      </c>
      <c r="G507" s="53" t="s">
        <v>605</v>
      </c>
      <c r="H507" s="2" t="s">
        <v>25</v>
      </c>
      <c r="I507" s="2" t="s">
        <v>78</v>
      </c>
      <c r="J507" s="2" t="s">
        <v>1015</v>
      </c>
      <c r="K507" s="2" t="s">
        <v>569</v>
      </c>
      <c r="L507" s="7">
        <v>-73.360466721762194</v>
      </c>
      <c r="M507" s="7">
        <v>5.5376564877562</v>
      </c>
    </row>
    <row r="508" spans="1:14">
      <c r="A508" s="24">
        <v>509</v>
      </c>
      <c r="B508" s="5">
        <v>46203</v>
      </c>
      <c r="C508" s="5">
        <v>46204</v>
      </c>
      <c r="D508" s="30">
        <f t="shared" si="15"/>
        <v>1</v>
      </c>
      <c r="E508" s="5" t="s">
        <v>254</v>
      </c>
      <c r="F508" s="5" t="s">
        <v>621</v>
      </c>
      <c r="G508" s="53" t="s">
        <v>618</v>
      </c>
      <c r="H508" s="2" t="s">
        <v>25</v>
      </c>
      <c r="I508" s="2" t="s">
        <v>1053</v>
      </c>
      <c r="J508" s="2" t="s">
        <v>22</v>
      </c>
      <c r="K508" s="2" t="s">
        <v>485</v>
      </c>
      <c r="L508" s="7">
        <v>-74.062226100000004</v>
      </c>
      <c r="M508" s="7">
        <v>4.65067925356204</v>
      </c>
    </row>
    <row r="509" spans="1:14">
      <c r="A509" s="24">
        <v>510</v>
      </c>
      <c r="B509" s="5">
        <v>46204</v>
      </c>
      <c r="C509" s="5">
        <v>46204</v>
      </c>
      <c r="D509" s="30">
        <f t="shared" si="15"/>
        <v>0</v>
      </c>
      <c r="E509" s="5" t="s">
        <v>254</v>
      </c>
      <c r="F509" s="5" t="s">
        <v>1054</v>
      </c>
      <c r="G509" s="53" t="s">
        <v>605</v>
      </c>
      <c r="H509" s="2" t="s">
        <v>25</v>
      </c>
      <c r="I509" s="2" t="s">
        <v>1055</v>
      </c>
      <c r="J509" s="2" t="s">
        <v>22</v>
      </c>
      <c r="K509" s="2" t="s">
        <v>485</v>
      </c>
    </row>
    <row r="510" spans="1:14">
      <c r="A510" s="24">
        <v>511</v>
      </c>
      <c r="B510" s="5">
        <v>46204</v>
      </c>
      <c r="C510" s="5">
        <v>46205</v>
      </c>
      <c r="D510" s="30">
        <f t="shared" si="15"/>
        <v>1</v>
      </c>
      <c r="E510" s="5" t="s">
        <v>254</v>
      </c>
      <c r="F510" s="5" t="s">
        <v>621</v>
      </c>
      <c r="I510" s="2" t="s">
        <v>1056</v>
      </c>
      <c r="J510" s="2" t="s">
        <v>22</v>
      </c>
      <c r="K510" s="2" t="s">
        <v>325</v>
      </c>
      <c r="L510" s="7">
        <v>-74.091369801579006</v>
      </c>
      <c r="M510" s="7">
        <v>4.5778834434027198</v>
      </c>
    </row>
    <row r="511" spans="1:14">
      <c r="A511" s="24">
        <v>512</v>
      </c>
      <c r="B511" s="5">
        <v>46204</v>
      </c>
      <c r="C511" s="5">
        <v>46204</v>
      </c>
      <c r="D511" s="30">
        <f t="shared" si="15"/>
        <v>0</v>
      </c>
      <c r="E511" s="5" t="s">
        <v>317</v>
      </c>
      <c r="F511" s="5" t="s">
        <v>621</v>
      </c>
      <c r="G511" s="53" t="s">
        <v>605</v>
      </c>
      <c r="H511" s="2" t="s">
        <v>25</v>
      </c>
      <c r="I511" s="2" t="s">
        <v>1057</v>
      </c>
      <c r="J511" s="2" t="s">
        <v>560</v>
      </c>
      <c r="K511" s="2" t="s">
        <v>393</v>
      </c>
      <c r="L511" s="7">
        <v>-75.681588304668495</v>
      </c>
      <c r="M511" s="7">
        <v>4.8066199118947397</v>
      </c>
    </row>
    <row r="512" spans="1:14">
      <c r="A512" s="24">
        <v>513</v>
      </c>
      <c r="B512" s="5">
        <v>46204</v>
      </c>
      <c r="C512" s="5">
        <v>46204</v>
      </c>
      <c r="D512" s="30">
        <f t="shared" si="15"/>
        <v>0</v>
      </c>
      <c r="E512" s="5" t="s">
        <v>254</v>
      </c>
      <c r="F512" s="5" t="s">
        <v>604</v>
      </c>
      <c r="G512" s="53" t="s">
        <v>605</v>
      </c>
      <c r="H512" s="2" t="s">
        <v>25</v>
      </c>
      <c r="I512" s="2" t="s">
        <v>1058</v>
      </c>
      <c r="J512" s="2" t="s">
        <v>293</v>
      </c>
      <c r="K512" s="2" t="s">
        <v>584</v>
      </c>
      <c r="L512" s="7">
        <v>-74.066122671163896</v>
      </c>
      <c r="M512" s="7">
        <v>4.6016505965651504</v>
      </c>
      <c r="N512" s="51" t="s">
        <v>1059</v>
      </c>
    </row>
    <row r="513" spans="1:14">
      <c r="A513" s="24">
        <v>514</v>
      </c>
      <c r="B513" s="5">
        <v>46204</v>
      </c>
      <c r="C513" s="5">
        <v>46204</v>
      </c>
      <c r="D513" s="30">
        <f t="shared" si="15"/>
        <v>0</v>
      </c>
      <c r="E513" s="5" t="s">
        <v>254</v>
      </c>
      <c r="F513" s="5" t="s">
        <v>604</v>
      </c>
      <c r="G513" s="53" t="s">
        <v>605</v>
      </c>
      <c r="H513" s="2" t="s">
        <v>25</v>
      </c>
      <c r="I513" s="2" t="s">
        <v>1060</v>
      </c>
      <c r="J513" s="2" t="s">
        <v>657</v>
      </c>
      <c r="K513" s="2" t="s">
        <v>584</v>
      </c>
      <c r="L513" s="7">
        <v>-74.791936499999906</v>
      </c>
      <c r="M513" s="7">
        <v>10.994638602076501</v>
      </c>
      <c r="N513" s="51" t="s">
        <v>1059</v>
      </c>
    </row>
    <row r="514" spans="1:14">
      <c r="A514" s="24">
        <v>515</v>
      </c>
      <c r="B514" s="5">
        <v>46204</v>
      </c>
      <c r="C514" s="5">
        <v>46204</v>
      </c>
      <c r="D514" s="30">
        <f t="shared" si="15"/>
        <v>0</v>
      </c>
      <c r="E514" s="5" t="s">
        <v>254</v>
      </c>
      <c r="F514" s="5" t="s">
        <v>604</v>
      </c>
      <c r="G514" s="53" t="s">
        <v>605</v>
      </c>
      <c r="H514" s="2" t="s">
        <v>25</v>
      </c>
      <c r="I514" s="2" t="s">
        <v>1061</v>
      </c>
      <c r="J514" s="2" t="s">
        <v>22</v>
      </c>
      <c r="K514" s="2" t="s">
        <v>584</v>
      </c>
      <c r="L514" s="7">
        <v>-74.160560384655795</v>
      </c>
      <c r="M514" s="7">
        <v>4.6739705631766197</v>
      </c>
      <c r="N514" s="51" t="s">
        <v>1059</v>
      </c>
    </row>
    <row r="515" spans="1:14">
      <c r="A515" s="24">
        <v>516</v>
      </c>
      <c r="B515" s="5">
        <v>46204</v>
      </c>
      <c r="C515" s="5">
        <v>46204</v>
      </c>
      <c r="D515" s="30">
        <f t="shared" si="15"/>
        <v>0</v>
      </c>
      <c r="E515" s="5" t="s">
        <v>254</v>
      </c>
      <c r="F515" s="5" t="s">
        <v>604</v>
      </c>
      <c r="G515" s="53" t="s">
        <v>605</v>
      </c>
      <c r="H515" s="2" t="s">
        <v>25</v>
      </c>
      <c r="I515" s="2" t="s">
        <v>1062</v>
      </c>
      <c r="J515" s="2" t="s">
        <v>22</v>
      </c>
      <c r="K515" s="2" t="s">
        <v>584</v>
      </c>
      <c r="L515" s="7">
        <v>-74.1610892777733</v>
      </c>
      <c r="M515" s="7">
        <v>4.6721448866849</v>
      </c>
      <c r="N515" s="51" t="s">
        <v>1059</v>
      </c>
    </row>
    <row r="516" spans="1:14">
      <c r="A516" s="24">
        <v>517</v>
      </c>
      <c r="B516" s="5">
        <v>46204</v>
      </c>
      <c r="C516" s="5">
        <v>46204</v>
      </c>
      <c r="D516" s="30">
        <f t="shared" si="15"/>
        <v>0</v>
      </c>
      <c r="E516" s="5" t="s">
        <v>254</v>
      </c>
      <c r="F516" s="5" t="s">
        <v>604</v>
      </c>
      <c r="G516" s="53" t="s">
        <v>605</v>
      </c>
      <c r="H516" s="2" t="s">
        <v>25</v>
      </c>
      <c r="I516" s="2" t="s">
        <v>1063</v>
      </c>
      <c r="J516" s="2" t="s">
        <v>22</v>
      </c>
      <c r="K516" s="2" t="s">
        <v>584</v>
      </c>
      <c r="L516" s="7">
        <v>-74.113432817157303</v>
      </c>
      <c r="M516" s="7">
        <v>4.6257228128050096</v>
      </c>
      <c r="N516" s="51" t="s">
        <v>1059</v>
      </c>
    </row>
    <row r="517" spans="1:14">
      <c r="A517" s="24">
        <v>518</v>
      </c>
      <c r="B517" s="5">
        <v>46204</v>
      </c>
      <c r="C517" s="5">
        <v>46204</v>
      </c>
      <c r="D517" s="30">
        <f t="shared" ref="D517" si="16">C517-B517</f>
        <v>0</v>
      </c>
      <c r="E517" s="5" t="s">
        <v>254</v>
      </c>
      <c r="F517" s="5" t="s">
        <v>604</v>
      </c>
      <c r="G517" s="53" t="s">
        <v>605</v>
      </c>
      <c r="H517" s="2" t="s">
        <v>25</v>
      </c>
      <c r="I517" s="2" t="s">
        <v>1064</v>
      </c>
      <c r="J517" s="2" t="s">
        <v>22</v>
      </c>
      <c r="K517" s="2" t="s">
        <v>325</v>
      </c>
      <c r="L517" s="7">
        <v>-74.134687095481894</v>
      </c>
      <c r="M517" s="7">
        <v>4.6618933069724502</v>
      </c>
    </row>
    <row r="518" spans="1:14">
      <c r="A518" s="24">
        <v>519</v>
      </c>
      <c r="B518" s="5">
        <v>46209</v>
      </c>
      <c r="C518" s="5">
        <v>46210</v>
      </c>
      <c r="D518" s="30">
        <f t="shared" ref="D518:D559" si="17">C518-B518</f>
        <v>1</v>
      </c>
      <c r="E518" s="5" t="s">
        <v>254</v>
      </c>
      <c r="F518" s="5" t="s">
        <v>621</v>
      </c>
      <c r="G518" s="53" t="s">
        <v>605</v>
      </c>
      <c r="H518" s="2" t="s">
        <v>25</v>
      </c>
      <c r="I518" s="2" t="s">
        <v>1065</v>
      </c>
      <c r="J518" s="2" t="s">
        <v>668</v>
      </c>
      <c r="K518" s="2" t="s">
        <v>874</v>
      </c>
      <c r="L518" s="7">
        <v>-75.5994672675278</v>
      </c>
      <c r="M518" s="7">
        <v>6.2494732484115803</v>
      </c>
    </row>
    <row r="519" spans="1:14">
      <c r="A519" s="24">
        <v>520</v>
      </c>
      <c r="B519" s="5">
        <v>46209</v>
      </c>
      <c r="C519" s="5">
        <v>46210</v>
      </c>
      <c r="D519" s="30">
        <f t="shared" si="17"/>
        <v>1</v>
      </c>
      <c r="E519" s="5" t="s">
        <v>254</v>
      </c>
      <c r="F519" s="5" t="s">
        <v>621</v>
      </c>
      <c r="G519" s="53" t="s">
        <v>605</v>
      </c>
      <c r="H519" s="2" t="s">
        <v>25</v>
      </c>
      <c r="I519" s="2" t="s">
        <v>1066</v>
      </c>
      <c r="J519" s="2" t="s">
        <v>668</v>
      </c>
      <c r="K519" s="2" t="s">
        <v>874</v>
      </c>
      <c r="L519" s="7">
        <v>-75.572959371163904</v>
      </c>
      <c r="M519" s="7">
        <v>6.2115294341509903</v>
      </c>
    </row>
    <row r="520" spans="1:14">
      <c r="A520" s="24">
        <v>521</v>
      </c>
      <c r="B520" s="5">
        <v>46209</v>
      </c>
      <c r="C520" s="5">
        <v>46210</v>
      </c>
      <c r="D520" s="30">
        <f t="shared" si="17"/>
        <v>1</v>
      </c>
      <c r="E520" s="5" t="s">
        <v>254</v>
      </c>
      <c r="F520" s="5" t="s">
        <v>621</v>
      </c>
      <c r="G520" s="53" t="s">
        <v>605</v>
      </c>
      <c r="H520" s="2" t="s">
        <v>25</v>
      </c>
      <c r="I520" s="2" t="s">
        <v>1067</v>
      </c>
      <c r="J520" s="2" t="s">
        <v>668</v>
      </c>
      <c r="K520" s="2" t="s">
        <v>874</v>
      </c>
      <c r="L520" s="7">
        <v>-75.563912599999995</v>
      </c>
      <c r="M520" s="7">
        <v>6.2002708999999996</v>
      </c>
    </row>
    <row r="521" spans="1:14">
      <c r="A521" s="24">
        <v>522</v>
      </c>
      <c r="B521" s="5">
        <v>46209</v>
      </c>
      <c r="C521" s="5">
        <v>46210</v>
      </c>
      <c r="D521" s="30">
        <f t="shared" si="17"/>
        <v>1</v>
      </c>
      <c r="E521" s="5" t="s">
        <v>254</v>
      </c>
      <c r="F521" s="5" t="s">
        <v>621</v>
      </c>
      <c r="G521" s="53" t="s">
        <v>605</v>
      </c>
      <c r="H521" s="2" t="s">
        <v>25</v>
      </c>
      <c r="I521" s="2" t="s">
        <v>1068</v>
      </c>
      <c r="J521" s="2" t="s">
        <v>668</v>
      </c>
      <c r="K521" s="2" t="s">
        <v>874</v>
      </c>
      <c r="L521" s="7">
        <v>-75.568091760689597</v>
      </c>
      <c r="M521" s="7">
        <v>6.2099442408766601</v>
      </c>
    </row>
    <row r="522" spans="1:14">
      <c r="A522" s="24">
        <v>523</v>
      </c>
      <c r="B522" s="5">
        <v>46209</v>
      </c>
      <c r="C522" s="5">
        <v>46210</v>
      </c>
      <c r="D522" s="30">
        <f t="shared" si="17"/>
        <v>1</v>
      </c>
      <c r="E522" s="5" t="s">
        <v>254</v>
      </c>
      <c r="F522" s="5" t="s">
        <v>621</v>
      </c>
      <c r="G522" s="53" t="s">
        <v>605</v>
      </c>
      <c r="H522" s="2" t="s">
        <v>25</v>
      </c>
      <c r="I522" s="2" t="s">
        <v>1069</v>
      </c>
      <c r="J522" s="2" t="s">
        <v>668</v>
      </c>
      <c r="K522" s="2" t="s">
        <v>874</v>
      </c>
      <c r="L522" s="7">
        <v>-75.565879909683602</v>
      </c>
      <c r="M522" s="7">
        <v>6.2095860950020398</v>
      </c>
    </row>
    <row r="523" spans="1:14">
      <c r="A523" s="24">
        <v>524</v>
      </c>
      <c r="B523" s="5">
        <v>46209</v>
      </c>
      <c r="C523" s="5">
        <v>46210</v>
      </c>
      <c r="D523" s="30">
        <f t="shared" si="17"/>
        <v>1</v>
      </c>
      <c r="E523" s="5" t="s">
        <v>254</v>
      </c>
      <c r="F523" s="5" t="s">
        <v>621</v>
      </c>
      <c r="G523" s="53" t="s">
        <v>605</v>
      </c>
      <c r="H523" s="2" t="s">
        <v>25</v>
      </c>
      <c r="I523" s="2" t="s">
        <v>1070</v>
      </c>
      <c r="J523" s="2" t="s">
        <v>668</v>
      </c>
      <c r="K523" s="2" t="s">
        <v>874</v>
      </c>
      <c r="L523" s="7">
        <v>-75.566141973060098</v>
      </c>
      <c r="M523" s="7">
        <v>6.2493886181822704</v>
      </c>
      <c r="N523" s="51" t="s">
        <v>1059</v>
      </c>
    </row>
    <row r="524" spans="1:14">
      <c r="A524" s="24">
        <v>525</v>
      </c>
      <c r="B524" s="5">
        <v>46210</v>
      </c>
      <c r="C524" s="5">
        <v>46211</v>
      </c>
      <c r="D524" s="30">
        <f t="shared" si="17"/>
        <v>1</v>
      </c>
      <c r="E524" s="5" t="s">
        <v>254</v>
      </c>
      <c r="F524" s="5" t="s">
        <v>604</v>
      </c>
      <c r="G524" s="53" t="s">
        <v>605</v>
      </c>
      <c r="H524" s="2" t="s">
        <v>25</v>
      </c>
      <c r="I524" s="2" t="s">
        <v>1071</v>
      </c>
      <c r="J524" s="2" t="s">
        <v>1072</v>
      </c>
      <c r="K524" s="2" t="s">
        <v>584</v>
      </c>
      <c r="L524" s="7">
        <v>-74.797080899999997</v>
      </c>
      <c r="M524" s="7">
        <v>11.023569999999999</v>
      </c>
      <c r="N524" s="51" t="s">
        <v>1059</v>
      </c>
    </row>
    <row r="525" spans="1:14">
      <c r="A525" s="24">
        <v>526</v>
      </c>
      <c r="B525" s="5">
        <v>46210</v>
      </c>
      <c r="C525" s="5">
        <v>46211</v>
      </c>
      <c r="D525" s="30">
        <f t="shared" si="17"/>
        <v>1</v>
      </c>
      <c r="E525" s="5" t="s">
        <v>254</v>
      </c>
      <c r="F525" s="5" t="s">
        <v>604</v>
      </c>
      <c r="G525" s="53" t="s">
        <v>605</v>
      </c>
      <c r="H525" s="2" t="s">
        <v>25</v>
      </c>
      <c r="I525" s="2" t="s">
        <v>1073</v>
      </c>
      <c r="J525" s="2" t="s">
        <v>1072</v>
      </c>
      <c r="K525" s="2" t="s">
        <v>584</v>
      </c>
      <c r="L525" s="7">
        <v>-74.788469429735599</v>
      </c>
      <c r="M525" s="7">
        <v>11.015922435859</v>
      </c>
      <c r="N525" s="51" t="s">
        <v>1059</v>
      </c>
    </row>
    <row r="526" spans="1:14">
      <c r="A526" s="24">
        <v>527</v>
      </c>
      <c r="B526" s="5">
        <v>46210</v>
      </c>
      <c r="C526" s="5">
        <v>46211</v>
      </c>
      <c r="D526" s="30">
        <f t="shared" si="17"/>
        <v>1</v>
      </c>
      <c r="E526" s="5" t="s">
        <v>254</v>
      </c>
      <c r="F526" s="5" t="s">
        <v>604</v>
      </c>
      <c r="G526" s="53" t="s">
        <v>605</v>
      </c>
      <c r="H526" s="2" t="s">
        <v>25</v>
      </c>
      <c r="I526" s="2" t="s">
        <v>1074</v>
      </c>
      <c r="J526" s="2" t="s">
        <v>1072</v>
      </c>
      <c r="K526" s="2" t="s">
        <v>584</v>
      </c>
      <c r="L526" s="7">
        <v>-74.798388799999998</v>
      </c>
      <c r="M526" s="7">
        <v>11.025222100000001</v>
      </c>
      <c r="N526" s="51" t="s">
        <v>1059</v>
      </c>
    </row>
    <row r="527" spans="1:14">
      <c r="A527" s="24">
        <v>528</v>
      </c>
      <c r="B527" s="5">
        <v>46210</v>
      </c>
      <c r="C527" s="5">
        <v>46211</v>
      </c>
      <c r="D527" s="30">
        <f t="shared" si="17"/>
        <v>1</v>
      </c>
      <c r="E527" s="5" t="s">
        <v>254</v>
      </c>
      <c r="F527" s="5" t="s">
        <v>604</v>
      </c>
      <c r="G527" s="53" t="s">
        <v>605</v>
      </c>
      <c r="H527" s="2" t="s">
        <v>25</v>
      </c>
      <c r="I527" s="2" t="s">
        <v>1075</v>
      </c>
      <c r="J527" s="2" t="s">
        <v>22</v>
      </c>
      <c r="K527" s="2" t="s">
        <v>584</v>
      </c>
      <c r="L527" s="7">
        <v>-74.064718144177803</v>
      </c>
      <c r="M527" s="7">
        <v>4.6287601930672002</v>
      </c>
      <c r="N527" s="51" t="s">
        <v>1059</v>
      </c>
    </row>
    <row r="528" spans="1:14">
      <c r="A528" s="24">
        <v>529</v>
      </c>
      <c r="B528" s="5">
        <v>46210</v>
      </c>
      <c r="C528" s="5">
        <v>46211</v>
      </c>
      <c r="D528" s="30">
        <f t="shared" si="17"/>
        <v>1</v>
      </c>
      <c r="E528" s="5" t="s">
        <v>254</v>
      </c>
      <c r="F528" s="5" t="s">
        <v>604</v>
      </c>
      <c r="G528" s="53" t="s">
        <v>605</v>
      </c>
      <c r="H528" s="2" t="s">
        <v>25</v>
      </c>
      <c r="I528" s="2" t="s">
        <v>1020</v>
      </c>
      <c r="J528" s="2" t="s">
        <v>320</v>
      </c>
      <c r="K528" s="2" t="s">
        <v>584</v>
      </c>
      <c r="L528" s="7">
        <v>-76.548899189062496</v>
      </c>
      <c r="M528" s="7">
        <v>3.4131758490972999</v>
      </c>
      <c r="N528" s="51" t="s">
        <v>1059</v>
      </c>
    </row>
    <row r="529" spans="1:14">
      <c r="A529" s="24">
        <v>530</v>
      </c>
      <c r="B529" s="5">
        <v>46210</v>
      </c>
      <c r="C529" s="5">
        <v>46211</v>
      </c>
      <c r="D529" s="30">
        <f t="shared" si="17"/>
        <v>1</v>
      </c>
      <c r="E529" s="5" t="s">
        <v>254</v>
      </c>
      <c r="F529" s="5" t="s">
        <v>604</v>
      </c>
      <c r="G529" s="53" t="s">
        <v>605</v>
      </c>
      <c r="H529" s="2" t="s">
        <v>25</v>
      </c>
      <c r="I529" s="2" t="s">
        <v>1076</v>
      </c>
      <c r="J529" s="2" t="s">
        <v>560</v>
      </c>
      <c r="K529" s="2" t="s">
        <v>584</v>
      </c>
      <c r="L529" s="7">
        <v>-75.683783099999999</v>
      </c>
      <c r="M529" s="7">
        <v>4.8072997496540202</v>
      </c>
    </row>
    <row r="530" spans="1:14">
      <c r="A530" s="24">
        <v>531</v>
      </c>
      <c r="B530" s="5">
        <v>46210</v>
      </c>
      <c r="C530" s="5">
        <v>46211</v>
      </c>
      <c r="D530" s="30">
        <f t="shared" si="17"/>
        <v>1</v>
      </c>
      <c r="E530" s="5" t="s">
        <v>254</v>
      </c>
      <c r="F530" s="5" t="s">
        <v>621</v>
      </c>
      <c r="G530" s="53" t="s">
        <v>605</v>
      </c>
      <c r="H530" s="2" t="s">
        <v>25</v>
      </c>
      <c r="I530" s="2" t="s">
        <v>1077</v>
      </c>
      <c r="J530" s="2" t="s">
        <v>22</v>
      </c>
      <c r="K530" s="2" t="s">
        <v>485</v>
      </c>
      <c r="L530" s="7">
        <v>-74.061385058955807</v>
      </c>
      <c r="M530" s="7">
        <v>4.6446824255808297</v>
      </c>
      <c r="N530" s="51" t="s">
        <v>1078</v>
      </c>
    </row>
    <row r="531" spans="1:14">
      <c r="A531" s="24">
        <v>532</v>
      </c>
      <c r="B531" s="5">
        <v>46210</v>
      </c>
      <c r="C531" s="5">
        <v>46211</v>
      </c>
      <c r="D531" s="30">
        <f t="shared" si="17"/>
        <v>1</v>
      </c>
      <c r="E531" s="5" t="s">
        <v>254</v>
      </c>
      <c r="F531" s="5" t="s">
        <v>621</v>
      </c>
      <c r="G531" s="53" t="s">
        <v>618</v>
      </c>
      <c r="H531" s="2" t="s">
        <v>25</v>
      </c>
      <c r="I531" s="2" t="s">
        <v>1079</v>
      </c>
      <c r="J531" s="2" t="s">
        <v>22</v>
      </c>
      <c r="K531" s="2" t="s">
        <v>485</v>
      </c>
      <c r="L531" s="7">
        <v>-74.063666025096794</v>
      </c>
      <c r="M531" s="7">
        <v>4.6472103960258098</v>
      </c>
      <c r="N531" s="51" t="s">
        <v>1078</v>
      </c>
    </row>
    <row r="532" spans="1:14">
      <c r="A532" s="24">
        <v>533</v>
      </c>
      <c r="B532" s="5">
        <v>46210</v>
      </c>
      <c r="C532" s="5">
        <v>46211</v>
      </c>
      <c r="D532" s="30">
        <f t="shared" si="17"/>
        <v>1</v>
      </c>
      <c r="E532" s="5" t="s">
        <v>254</v>
      </c>
      <c r="F532" s="5" t="s">
        <v>621</v>
      </c>
      <c r="G532" s="53" t="s">
        <v>618</v>
      </c>
      <c r="H532" s="2" t="s">
        <v>25</v>
      </c>
      <c r="I532" s="2" t="s">
        <v>1080</v>
      </c>
      <c r="J532" s="2" t="s">
        <v>22</v>
      </c>
      <c r="K532" s="2" t="s">
        <v>485</v>
      </c>
      <c r="L532" s="7">
        <v>-74.065166215342202</v>
      </c>
      <c r="M532" s="7">
        <v>4.6539979581793798</v>
      </c>
      <c r="N532" s="51" t="s">
        <v>1078</v>
      </c>
    </row>
    <row r="533" spans="1:14">
      <c r="A533" s="24">
        <v>534</v>
      </c>
      <c r="B533" s="5">
        <v>46210</v>
      </c>
      <c r="C533" s="5">
        <v>46211</v>
      </c>
      <c r="D533" s="30">
        <f t="shared" si="17"/>
        <v>1</v>
      </c>
      <c r="E533" s="5" t="s">
        <v>254</v>
      </c>
      <c r="F533" s="5" t="s">
        <v>621</v>
      </c>
      <c r="G533" s="53" t="s">
        <v>605</v>
      </c>
      <c r="H533" s="2" t="s">
        <v>25</v>
      </c>
      <c r="I533" s="2" t="s">
        <v>1081</v>
      </c>
      <c r="J533" s="2" t="s">
        <v>22</v>
      </c>
      <c r="K533" s="2" t="s">
        <v>485</v>
      </c>
      <c r="L533" s="7">
        <v>-74.047185728835501</v>
      </c>
      <c r="M533" s="7">
        <v>4.6977649662801904</v>
      </c>
      <c r="N533" s="51" t="s">
        <v>1082</v>
      </c>
    </row>
    <row r="534" spans="1:14">
      <c r="A534" s="24">
        <v>535</v>
      </c>
      <c r="B534" s="5">
        <v>46210</v>
      </c>
      <c r="C534" s="5">
        <v>46211</v>
      </c>
      <c r="D534" s="30">
        <f t="shared" si="17"/>
        <v>1</v>
      </c>
      <c r="E534" s="5" t="s">
        <v>254</v>
      </c>
      <c r="F534" s="5" t="s">
        <v>621</v>
      </c>
      <c r="G534" s="53" t="s">
        <v>605</v>
      </c>
      <c r="H534" s="2" t="s">
        <v>25</v>
      </c>
      <c r="I534" s="2" t="s">
        <v>1083</v>
      </c>
      <c r="J534" s="2" t="s">
        <v>22</v>
      </c>
      <c r="K534" s="2" t="s">
        <v>485</v>
      </c>
      <c r="L534" s="7">
        <v>-74.079718728835502</v>
      </c>
      <c r="M534" s="7">
        <v>4.5824385435641997</v>
      </c>
    </row>
    <row r="535" spans="1:14">
      <c r="A535" s="24">
        <v>536</v>
      </c>
      <c r="B535" s="5">
        <v>46210</v>
      </c>
      <c r="C535" s="5">
        <v>46211</v>
      </c>
      <c r="D535" s="30">
        <f t="shared" si="17"/>
        <v>1</v>
      </c>
      <c r="E535" s="5" t="s">
        <v>254</v>
      </c>
      <c r="F535" s="5" t="s">
        <v>621</v>
      </c>
      <c r="G535" s="53" t="s">
        <v>605</v>
      </c>
      <c r="H535" s="2" t="s">
        <v>25</v>
      </c>
      <c r="I535" s="2" t="s">
        <v>1084</v>
      </c>
      <c r="J535" s="2" t="s">
        <v>22</v>
      </c>
      <c r="K535" s="2" t="s">
        <v>33</v>
      </c>
      <c r="L535" s="7">
        <v>-74.032494</v>
      </c>
      <c r="M535" s="7">
        <v>4.6961351000000002</v>
      </c>
    </row>
    <row r="536" spans="1:14">
      <c r="A536" s="24">
        <v>537</v>
      </c>
      <c r="B536" s="5">
        <v>46210</v>
      </c>
      <c r="C536" s="5">
        <v>46212</v>
      </c>
      <c r="D536" s="30">
        <f t="shared" si="17"/>
        <v>2</v>
      </c>
      <c r="E536" s="5" t="s">
        <v>254</v>
      </c>
      <c r="F536" s="5" t="s">
        <v>621</v>
      </c>
      <c r="G536" s="53" t="s">
        <v>618</v>
      </c>
      <c r="H536" s="2" t="s">
        <v>25</v>
      </c>
      <c r="I536" s="2" t="s">
        <v>1085</v>
      </c>
      <c r="J536" s="2" t="s">
        <v>22</v>
      </c>
      <c r="K536" s="2" t="s">
        <v>33</v>
      </c>
      <c r="L536" s="7">
        <v>-74.081358600000002</v>
      </c>
      <c r="M536" s="7">
        <v>4.6496075000000001</v>
      </c>
    </row>
    <row r="537" spans="1:14">
      <c r="A537" s="24">
        <v>538</v>
      </c>
      <c r="B537" s="5">
        <v>46210</v>
      </c>
      <c r="C537" s="5">
        <v>46212</v>
      </c>
      <c r="D537" s="30">
        <f t="shared" si="17"/>
        <v>2</v>
      </c>
      <c r="E537" s="5" t="s">
        <v>254</v>
      </c>
      <c r="F537" s="5" t="s">
        <v>621</v>
      </c>
      <c r="G537" s="53" t="s">
        <v>605</v>
      </c>
      <c r="H537" s="2" t="s">
        <v>25</v>
      </c>
      <c r="I537" s="2" t="s">
        <v>1086</v>
      </c>
      <c r="J537" s="2" t="s">
        <v>22</v>
      </c>
      <c r="K537" s="2" t="s">
        <v>33</v>
      </c>
      <c r="L537" s="7">
        <v>-74.047818100000001</v>
      </c>
      <c r="M537" s="7">
        <v>4.7015852000000002</v>
      </c>
    </row>
    <row r="538" spans="1:14">
      <c r="A538" s="24">
        <v>539</v>
      </c>
      <c r="B538" s="5">
        <v>46217</v>
      </c>
      <c r="C538" s="5">
        <v>46217</v>
      </c>
      <c r="D538" s="30">
        <f t="shared" si="17"/>
        <v>0</v>
      </c>
      <c r="E538" s="5" t="s">
        <v>539</v>
      </c>
      <c r="F538" s="5" t="s">
        <v>621</v>
      </c>
      <c r="G538" s="53" t="s">
        <v>618</v>
      </c>
      <c r="H538" s="2" t="s">
        <v>25</v>
      </c>
      <c r="I538" s="2" t="s">
        <v>1087</v>
      </c>
      <c r="J538" s="2" t="s">
        <v>22</v>
      </c>
      <c r="K538" s="2" t="s">
        <v>33</v>
      </c>
    </row>
    <row r="539" spans="1:14">
      <c r="A539" s="24">
        <v>540</v>
      </c>
      <c r="B539" s="5">
        <v>46210</v>
      </c>
      <c r="C539" s="5">
        <v>46212</v>
      </c>
      <c r="D539" s="30">
        <f t="shared" si="17"/>
        <v>2</v>
      </c>
      <c r="E539" s="5" t="s">
        <v>254</v>
      </c>
      <c r="F539" s="5" t="s">
        <v>621</v>
      </c>
      <c r="G539" s="53" t="s">
        <v>618</v>
      </c>
      <c r="H539" s="2" t="s">
        <v>25</v>
      </c>
      <c r="I539" s="2" t="s">
        <v>1088</v>
      </c>
      <c r="J539" s="2" t="s">
        <v>22</v>
      </c>
      <c r="K539" s="2" t="s">
        <v>80</v>
      </c>
      <c r="L539" s="7">
        <v>-74.079244657671097</v>
      </c>
      <c r="M539" s="7">
        <v>4.60157292074084</v>
      </c>
    </row>
    <row r="540" spans="1:14">
      <c r="A540" s="24">
        <v>541</v>
      </c>
      <c r="B540" s="5">
        <v>46210</v>
      </c>
      <c r="C540" s="5">
        <v>46212</v>
      </c>
      <c r="D540" s="30">
        <f t="shared" si="17"/>
        <v>2</v>
      </c>
      <c r="E540" s="5" t="s">
        <v>254</v>
      </c>
      <c r="F540" s="5" t="s">
        <v>621</v>
      </c>
      <c r="G540" s="53" t="s">
        <v>618</v>
      </c>
      <c r="H540" s="2" t="s">
        <v>25</v>
      </c>
      <c r="I540" s="2" t="s">
        <v>1089</v>
      </c>
      <c r="J540" s="2" t="s">
        <v>22</v>
      </c>
      <c r="K540" s="2" t="s">
        <v>80</v>
      </c>
      <c r="L540" s="7">
        <v>-74.054353353973198</v>
      </c>
      <c r="M540" s="7">
        <v>4.7543135204596796</v>
      </c>
    </row>
    <row r="541" spans="1:14">
      <c r="A541" s="24">
        <v>542</v>
      </c>
      <c r="B541" s="5">
        <v>46210</v>
      </c>
      <c r="C541" s="5">
        <v>46212</v>
      </c>
      <c r="D541" s="30">
        <f t="shared" si="17"/>
        <v>2</v>
      </c>
      <c r="E541" s="5" t="s">
        <v>254</v>
      </c>
      <c r="F541" s="5" t="s">
        <v>621</v>
      </c>
      <c r="G541" s="53" t="s">
        <v>605</v>
      </c>
      <c r="H541" s="2" t="s">
        <v>25</v>
      </c>
      <c r="I541" s="2" t="s">
        <v>1090</v>
      </c>
      <c r="J541" s="2" t="s">
        <v>22</v>
      </c>
      <c r="K541" s="2" t="s">
        <v>80</v>
      </c>
      <c r="L541" s="7">
        <v>-74.075379228835502</v>
      </c>
      <c r="M541" s="7">
        <v>4.6032511971017298</v>
      </c>
    </row>
    <row r="542" spans="1:14">
      <c r="A542" s="24">
        <v>543</v>
      </c>
      <c r="B542" s="5">
        <v>46210</v>
      </c>
      <c r="C542" s="5">
        <v>46213</v>
      </c>
      <c r="D542" s="30">
        <f t="shared" si="17"/>
        <v>3</v>
      </c>
      <c r="E542" s="5" t="s">
        <v>254</v>
      </c>
      <c r="F542" s="5" t="s">
        <v>621</v>
      </c>
      <c r="G542" s="53" t="s">
        <v>618</v>
      </c>
      <c r="H542" s="2" t="s">
        <v>25</v>
      </c>
      <c r="I542" s="2" t="s">
        <v>1091</v>
      </c>
      <c r="J542" s="2" t="s">
        <v>22</v>
      </c>
      <c r="K542" s="2" t="s">
        <v>80</v>
      </c>
      <c r="L542" s="7">
        <v>-74.102484528835504</v>
      </c>
      <c r="M542" s="7">
        <v>4.5845930209811403</v>
      </c>
    </row>
    <row r="543" spans="1:14">
      <c r="A543" s="24">
        <v>544</v>
      </c>
      <c r="B543" s="5">
        <v>46209</v>
      </c>
      <c r="C543" s="5">
        <v>46209</v>
      </c>
      <c r="D543" s="30">
        <f t="shared" si="17"/>
        <v>0</v>
      </c>
      <c r="E543" s="5" t="s">
        <v>539</v>
      </c>
      <c r="F543" s="5" t="s">
        <v>604</v>
      </c>
      <c r="G543" s="53" t="s">
        <v>618</v>
      </c>
      <c r="H543" s="2" t="s">
        <v>25</v>
      </c>
      <c r="I543" s="2" t="s">
        <v>540</v>
      </c>
      <c r="J543" s="2" t="s">
        <v>22</v>
      </c>
      <c r="K543" s="2" t="s">
        <v>343</v>
      </c>
      <c r="L543" s="7">
        <v>-74.052672647013296</v>
      </c>
      <c r="M543" s="7">
        <v>4.6749962822429101</v>
      </c>
    </row>
    <row r="544" spans="1:14">
      <c r="A544" s="24">
        <v>545</v>
      </c>
      <c r="B544" s="5">
        <v>46209</v>
      </c>
      <c r="C544" s="5">
        <v>46210</v>
      </c>
      <c r="D544" s="30">
        <f t="shared" si="17"/>
        <v>1</v>
      </c>
      <c r="E544" s="5" t="s">
        <v>539</v>
      </c>
      <c r="F544" s="5" t="s">
        <v>604</v>
      </c>
      <c r="G544" s="53" t="s">
        <v>618</v>
      </c>
      <c r="H544" s="2" t="s">
        <v>25</v>
      </c>
      <c r="I544" s="2" t="s">
        <v>542</v>
      </c>
      <c r="J544" s="2" t="s">
        <v>22</v>
      </c>
      <c r="K544" s="2" t="s">
        <v>343</v>
      </c>
      <c r="L544" s="7">
        <v>-74.047050072488702</v>
      </c>
      <c r="M544" s="7">
        <v>4.6805297391373202</v>
      </c>
    </row>
    <row r="545" spans="1:13">
      <c r="A545" s="24">
        <v>546</v>
      </c>
      <c r="B545" s="5">
        <v>46209</v>
      </c>
      <c r="C545" s="5">
        <v>46210</v>
      </c>
      <c r="D545" s="30">
        <f t="shared" si="17"/>
        <v>1</v>
      </c>
      <c r="E545" s="5" t="s">
        <v>539</v>
      </c>
      <c r="F545" s="5" t="s">
        <v>604</v>
      </c>
      <c r="G545" s="53" t="s">
        <v>605</v>
      </c>
      <c r="H545" s="2" t="s">
        <v>25</v>
      </c>
      <c r="I545" s="2" t="s">
        <v>1092</v>
      </c>
      <c r="J545" s="2" t="s">
        <v>22</v>
      </c>
      <c r="K545" s="2" t="s">
        <v>343</v>
      </c>
      <c r="L545" s="7">
        <v>-74.910250356728696</v>
      </c>
      <c r="M545" s="7">
        <v>4.7255510315089504</v>
      </c>
    </row>
    <row r="546" spans="1:13">
      <c r="A546" s="24">
        <v>547</v>
      </c>
      <c r="B546" s="5">
        <v>46209</v>
      </c>
      <c r="C546" s="5">
        <v>46210</v>
      </c>
      <c r="D546" s="30">
        <f t="shared" si="17"/>
        <v>1</v>
      </c>
      <c r="E546" s="5" t="s">
        <v>539</v>
      </c>
      <c r="F546" s="5" t="s">
        <v>604</v>
      </c>
      <c r="G546" s="53" t="s">
        <v>605</v>
      </c>
      <c r="H546" s="2" t="s">
        <v>25</v>
      </c>
      <c r="I546" s="2" t="s">
        <v>1093</v>
      </c>
      <c r="J546" s="2" t="s">
        <v>22</v>
      </c>
      <c r="K546" s="2" t="s">
        <v>343</v>
      </c>
      <c r="L546" s="7">
        <v>-74.089557420971701</v>
      </c>
      <c r="M546" s="7">
        <v>4.7257225678222001</v>
      </c>
    </row>
    <row r="547" spans="1:13">
      <c r="A547" s="24">
        <v>548</v>
      </c>
      <c r="B547" s="5">
        <v>46209</v>
      </c>
      <c r="C547" s="5">
        <v>46210</v>
      </c>
      <c r="D547" s="30">
        <f t="shared" si="17"/>
        <v>1</v>
      </c>
      <c r="E547" s="5" t="s">
        <v>539</v>
      </c>
      <c r="F547" s="5" t="s">
        <v>621</v>
      </c>
      <c r="G547" s="53" t="s">
        <v>605</v>
      </c>
      <c r="H547" s="2" t="s">
        <v>25</v>
      </c>
      <c r="I547" s="2" t="s">
        <v>1094</v>
      </c>
      <c r="J547" s="2" t="s">
        <v>937</v>
      </c>
      <c r="K547" s="2" t="s">
        <v>569</v>
      </c>
      <c r="L547" s="7">
        <v>-73.118818987731004</v>
      </c>
      <c r="M547" s="7">
        <v>5.78268005679874</v>
      </c>
    </row>
    <row r="548" spans="1:13">
      <c r="A548" s="24">
        <v>549</v>
      </c>
      <c r="B548" s="5">
        <v>46209</v>
      </c>
      <c r="C548" s="5">
        <v>46210</v>
      </c>
      <c r="D548" s="30">
        <f t="shared" si="17"/>
        <v>1</v>
      </c>
      <c r="E548" s="5" t="s">
        <v>539</v>
      </c>
      <c r="F548" s="5" t="s">
        <v>1054</v>
      </c>
      <c r="G548" s="53" t="s">
        <v>605</v>
      </c>
      <c r="H548" s="2" t="s">
        <v>25</v>
      </c>
      <c r="I548" s="2" t="s">
        <v>1095</v>
      </c>
      <c r="J548" s="2" t="s">
        <v>937</v>
      </c>
      <c r="K548" s="2" t="s">
        <v>569</v>
      </c>
      <c r="L548" s="7">
        <v>-73.117810457670899</v>
      </c>
      <c r="M548" s="7">
        <v>5.7827175302656597</v>
      </c>
    </row>
    <row r="549" spans="1:13">
      <c r="A549" s="24">
        <v>550</v>
      </c>
      <c r="B549" s="5">
        <v>46210</v>
      </c>
      <c r="C549" s="5">
        <v>46210</v>
      </c>
      <c r="D549" s="30">
        <f t="shared" si="17"/>
        <v>0</v>
      </c>
      <c r="E549" s="5" t="s">
        <v>539</v>
      </c>
      <c r="F549" s="5" t="s">
        <v>604</v>
      </c>
      <c r="G549" s="53" t="s">
        <v>605</v>
      </c>
      <c r="H549" s="2" t="s">
        <v>25</v>
      </c>
      <c r="I549" s="2" t="s">
        <v>1096</v>
      </c>
      <c r="J549" s="2" t="s">
        <v>1097</v>
      </c>
      <c r="K549" s="2" t="s">
        <v>343</v>
      </c>
      <c r="L549" s="7">
        <v>-74.536370566472698</v>
      </c>
      <c r="M549" s="7">
        <v>4.5493684144987396</v>
      </c>
    </row>
    <row r="550" spans="1:13">
      <c r="A550" s="24">
        <v>551</v>
      </c>
      <c r="B550" s="5">
        <v>46210</v>
      </c>
      <c r="C550" s="5">
        <v>46213</v>
      </c>
      <c r="D550" s="30">
        <f t="shared" si="17"/>
        <v>3</v>
      </c>
      <c r="E550" s="5" t="s">
        <v>539</v>
      </c>
      <c r="F550" s="5" t="s">
        <v>604</v>
      </c>
      <c r="G550" s="53" t="s">
        <v>618</v>
      </c>
      <c r="H550" s="2" t="s">
        <v>25</v>
      </c>
      <c r="I550" s="2" t="s">
        <v>1098</v>
      </c>
      <c r="J550" s="2" t="s">
        <v>181</v>
      </c>
      <c r="K550" s="2" t="s">
        <v>325</v>
      </c>
      <c r="L550" s="7">
        <v>-74.803931875219604</v>
      </c>
      <c r="M550" s="7">
        <v>4.2994860268256501</v>
      </c>
    </row>
    <row r="551" spans="1:13">
      <c r="A551" s="24">
        <v>552</v>
      </c>
      <c r="B551" s="5">
        <v>46217</v>
      </c>
      <c r="C551" s="5">
        <v>46217</v>
      </c>
      <c r="D551" s="30">
        <f t="shared" si="17"/>
        <v>0</v>
      </c>
      <c r="E551" s="5" t="s">
        <v>539</v>
      </c>
      <c r="F551" s="5" t="s">
        <v>604</v>
      </c>
      <c r="G551" s="53" t="s">
        <v>605</v>
      </c>
      <c r="H551" s="2" t="s">
        <v>25</v>
      </c>
      <c r="I551" s="2" t="s">
        <v>1099</v>
      </c>
      <c r="J551" s="2" t="s">
        <v>22</v>
      </c>
      <c r="K551" s="2" t="s">
        <v>38</v>
      </c>
      <c r="L551" s="7">
        <v>-74.053828915341896</v>
      </c>
      <c r="M551" s="7">
        <v>4.65737386823234</v>
      </c>
    </row>
    <row r="552" spans="1:13">
      <c r="A552" s="24">
        <v>553</v>
      </c>
      <c r="B552" s="5">
        <v>46217</v>
      </c>
      <c r="C552" s="5">
        <v>46217</v>
      </c>
      <c r="D552" s="30">
        <f t="shared" si="17"/>
        <v>0</v>
      </c>
      <c r="E552" s="5" t="s">
        <v>539</v>
      </c>
      <c r="F552" s="5" t="s">
        <v>604</v>
      </c>
      <c r="G552" s="53" t="s">
        <v>618</v>
      </c>
      <c r="H552" s="2" t="s">
        <v>25</v>
      </c>
      <c r="I552" s="2" t="s">
        <v>1100</v>
      </c>
      <c r="J552" s="2" t="s">
        <v>22</v>
      </c>
      <c r="K552" s="2" t="s">
        <v>38</v>
      </c>
      <c r="L552" s="7">
        <v>-74.053459000000004</v>
      </c>
      <c r="M552" s="7">
        <v>4.6681948649380596</v>
      </c>
    </row>
    <row r="553" spans="1:13">
      <c r="A553" s="24">
        <v>554</v>
      </c>
      <c r="B553" s="5">
        <v>46217</v>
      </c>
      <c r="C553" s="5">
        <v>46217</v>
      </c>
      <c r="D553" s="30">
        <f t="shared" si="17"/>
        <v>0</v>
      </c>
      <c r="E553" s="5" t="s">
        <v>539</v>
      </c>
      <c r="F553" s="5" t="s">
        <v>604</v>
      </c>
      <c r="G553" s="53" t="s">
        <v>618</v>
      </c>
      <c r="H553" s="2" t="s">
        <v>25</v>
      </c>
      <c r="I553" s="2" t="s">
        <v>1101</v>
      </c>
      <c r="J553" s="2" t="s">
        <v>22</v>
      </c>
      <c r="K553" s="2" t="s">
        <v>38</v>
      </c>
      <c r="L553" s="7">
        <v>-74.056956557670901</v>
      </c>
      <c r="M553" s="7">
        <v>4.6699684508407202</v>
      </c>
    </row>
    <row r="554" spans="1:13">
      <c r="A554" s="24">
        <v>555</v>
      </c>
      <c r="B554" s="5">
        <v>46217</v>
      </c>
      <c r="C554" s="5">
        <v>46217</v>
      </c>
      <c r="D554" s="30">
        <f t="shared" si="17"/>
        <v>0</v>
      </c>
      <c r="E554" s="5" t="s">
        <v>539</v>
      </c>
      <c r="F554" s="5" t="s">
        <v>604</v>
      </c>
      <c r="G554" s="53" t="s">
        <v>618</v>
      </c>
      <c r="H554" s="2" t="s">
        <v>25</v>
      </c>
      <c r="I554" s="2" t="s">
        <v>1102</v>
      </c>
      <c r="J554" s="2" t="s">
        <v>22</v>
      </c>
      <c r="K554" s="2" t="s">
        <v>38</v>
      </c>
      <c r="L554" s="7">
        <v>-74.0556692576709</v>
      </c>
      <c r="M554" s="7">
        <v>4.6689278376653904</v>
      </c>
    </row>
    <row r="555" spans="1:13">
      <c r="A555" s="24">
        <v>556</v>
      </c>
      <c r="B555" s="5">
        <v>46217</v>
      </c>
      <c r="C555" s="5">
        <v>46217</v>
      </c>
      <c r="D555" s="30">
        <f t="shared" si="17"/>
        <v>0</v>
      </c>
      <c r="E555" s="5" t="s">
        <v>539</v>
      </c>
      <c r="F555" s="5" t="s">
        <v>604</v>
      </c>
      <c r="G555" s="53" t="s">
        <v>605</v>
      </c>
      <c r="H555" s="2" t="s">
        <v>25</v>
      </c>
      <c r="I555" s="2" t="s">
        <v>1103</v>
      </c>
      <c r="J555" s="2" t="s">
        <v>22</v>
      </c>
      <c r="K555" s="2" t="s">
        <v>38</v>
      </c>
      <c r="L555" s="7">
        <v>-74.056014542328995</v>
      </c>
      <c r="M555" s="7">
        <v>4.6612886404575198</v>
      </c>
    </row>
    <row r="556" spans="1:13">
      <c r="A556" s="24">
        <v>557</v>
      </c>
      <c r="B556" s="5">
        <v>46217</v>
      </c>
      <c r="C556" s="5">
        <v>46217</v>
      </c>
      <c r="D556" s="30">
        <f t="shared" si="17"/>
        <v>0</v>
      </c>
      <c r="E556" s="5" t="s">
        <v>539</v>
      </c>
      <c r="F556" s="5" t="s">
        <v>1054</v>
      </c>
      <c r="G556" s="53" t="s">
        <v>605</v>
      </c>
      <c r="H556" s="2" t="s">
        <v>25</v>
      </c>
      <c r="I556" s="2" t="s">
        <v>1104</v>
      </c>
      <c r="J556" s="2" t="s">
        <v>320</v>
      </c>
      <c r="K556" s="2" t="s">
        <v>33</v>
      </c>
      <c r="L556" s="7">
        <v>-76.533314630815497</v>
      </c>
      <c r="M556" s="7">
        <v>3.4507010693149298</v>
      </c>
    </row>
    <row r="557" spans="1:13">
      <c r="A557" s="24">
        <v>558</v>
      </c>
      <c r="B557" s="5">
        <v>46217</v>
      </c>
      <c r="C557" s="5">
        <v>46217</v>
      </c>
      <c r="D557" s="30">
        <f t="shared" si="17"/>
        <v>0</v>
      </c>
      <c r="E557" s="5" t="s">
        <v>539</v>
      </c>
      <c r="F557" s="5" t="s">
        <v>1054</v>
      </c>
      <c r="G557" s="53" t="s">
        <v>605</v>
      </c>
      <c r="H557" s="2" t="s">
        <v>25</v>
      </c>
      <c r="I557" s="2" t="s">
        <v>1105</v>
      </c>
      <c r="J557" s="2" t="s">
        <v>320</v>
      </c>
      <c r="K557" s="2" t="s">
        <v>33</v>
      </c>
      <c r="L557" s="7">
        <v>-76.535064657670901</v>
      </c>
      <c r="M557" s="7">
        <v>3.3429946079274901</v>
      </c>
    </row>
    <row r="558" spans="1:13">
      <c r="A558" s="24">
        <v>559</v>
      </c>
      <c r="B558" s="5">
        <v>46217</v>
      </c>
      <c r="C558" s="5">
        <v>46218</v>
      </c>
      <c r="D558" s="30">
        <f t="shared" si="17"/>
        <v>1</v>
      </c>
      <c r="E558" s="5" t="s">
        <v>539</v>
      </c>
      <c r="F558" s="5" t="s">
        <v>604</v>
      </c>
      <c r="G558" s="53" t="s">
        <v>605</v>
      </c>
      <c r="H558" s="2" t="s">
        <v>25</v>
      </c>
      <c r="I558" s="2" t="s">
        <v>1106</v>
      </c>
      <c r="J558" s="2" t="s">
        <v>668</v>
      </c>
      <c r="K558" s="2" t="s">
        <v>874</v>
      </c>
      <c r="L558" s="7">
        <v>-75.571442982208794</v>
      </c>
      <c r="M558" s="7">
        <v>6.2103449970257198</v>
      </c>
    </row>
    <row r="559" spans="1:13">
      <c r="A559" s="24">
        <v>560</v>
      </c>
      <c r="B559" s="5">
        <v>46217</v>
      </c>
      <c r="C559" s="5">
        <v>46218</v>
      </c>
      <c r="D559" s="30">
        <f t="shared" si="17"/>
        <v>1</v>
      </c>
      <c r="E559" s="5" t="s">
        <v>539</v>
      </c>
      <c r="F559" s="5" t="s">
        <v>604</v>
      </c>
      <c r="G559" s="53" t="s">
        <v>605</v>
      </c>
      <c r="H559" s="2" t="s">
        <v>25</v>
      </c>
      <c r="I559" s="2" t="s">
        <v>1107</v>
      </c>
      <c r="J559" s="2" t="s">
        <v>668</v>
      </c>
      <c r="K559" s="2" t="s">
        <v>874</v>
      </c>
      <c r="L559" s="7">
        <v>-75.594468457670899</v>
      </c>
      <c r="M559" s="7">
        <v>6.2584436330449504</v>
      </c>
    </row>
    <row r="560" spans="1:13">
      <c r="A560" s="24">
        <v>561</v>
      </c>
      <c r="B560" s="5">
        <v>46218</v>
      </c>
      <c r="C560" s="5">
        <v>46218</v>
      </c>
      <c r="D560" s="30">
        <f t="shared" ref="D560:D575" si="18">C560-B560</f>
        <v>0</v>
      </c>
      <c r="E560" s="5" t="s">
        <v>539</v>
      </c>
      <c r="F560" s="5" t="s">
        <v>1054</v>
      </c>
      <c r="G560" s="53" t="s">
        <v>605</v>
      </c>
      <c r="H560" s="2" t="s">
        <v>25</v>
      </c>
      <c r="I560" s="2" t="s">
        <v>1108</v>
      </c>
      <c r="J560" s="2" t="s">
        <v>22</v>
      </c>
      <c r="K560" s="2" t="s">
        <v>33</v>
      </c>
      <c r="L560" s="7">
        <v>-74.085627549372504</v>
      </c>
      <c r="M560" s="7">
        <v>4.7352141149210398</v>
      </c>
    </row>
    <row r="561" spans="1:13">
      <c r="A561" s="24">
        <v>562</v>
      </c>
      <c r="B561" s="5">
        <v>46218</v>
      </c>
      <c r="C561" s="5">
        <v>46218</v>
      </c>
      <c r="D561" s="30">
        <f t="shared" si="18"/>
        <v>0</v>
      </c>
      <c r="E561" s="5" t="s">
        <v>539</v>
      </c>
      <c r="F561" s="5" t="s">
        <v>1054</v>
      </c>
      <c r="G561" s="53" t="s">
        <v>605</v>
      </c>
      <c r="H561" s="2" t="s">
        <v>25</v>
      </c>
      <c r="I561" s="2" t="s">
        <v>1109</v>
      </c>
      <c r="J561" s="2" t="s">
        <v>22</v>
      </c>
      <c r="K561" s="2" t="s">
        <v>80</v>
      </c>
      <c r="L561" s="7">
        <v>-74.144620228835393</v>
      </c>
      <c r="M561" s="7">
        <v>4.64667068433201</v>
      </c>
    </row>
    <row r="562" spans="1:13">
      <c r="A562" s="24">
        <v>563</v>
      </c>
      <c r="B562" s="5">
        <v>46218</v>
      </c>
      <c r="C562" s="5">
        <v>46218</v>
      </c>
      <c r="D562" s="30">
        <f t="shared" si="18"/>
        <v>0</v>
      </c>
      <c r="E562" s="5" t="s">
        <v>539</v>
      </c>
      <c r="F562" s="5" t="s">
        <v>604</v>
      </c>
      <c r="G562" s="53" t="s">
        <v>605</v>
      </c>
      <c r="H562" s="2" t="s">
        <v>25</v>
      </c>
      <c r="I562" s="2" t="s">
        <v>1110</v>
      </c>
      <c r="J562" s="2" t="s">
        <v>22</v>
      </c>
      <c r="K562" s="2" t="s">
        <v>33</v>
      </c>
      <c r="L562" s="7">
        <v>-74.063059007939501</v>
      </c>
      <c r="M562" s="7">
        <v>4.7177667805261203</v>
      </c>
    </row>
    <row r="563" spans="1:13">
      <c r="A563" s="24">
        <v>564</v>
      </c>
      <c r="B563" s="5">
        <v>46219</v>
      </c>
      <c r="C563" s="5">
        <v>46220</v>
      </c>
      <c r="D563" s="30">
        <f t="shared" si="18"/>
        <v>1</v>
      </c>
      <c r="E563" s="5" t="s">
        <v>539</v>
      </c>
      <c r="F563" s="5" t="s">
        <v>604</v>
      </c>
      <c r="G563" s="53" t="s">
        <v>605</v>
      </c>
      <c r="H563" s="2" t="s">
        <v>25</v>
      </c>
      <c r="I563" s="2" t="s">
        <v>1111</v>
      </c>
      <c r="J563" s="2" t="s">
        <v>22</v>
      </c>
      <c r="K563" s="2" t="s">
        <v>343</v>
      </c>
      <c r="L563" s="7">
        <v>-74.083840308061795</v>
      </c>
      <c r="M563" s="7">
        <v>4.6296624705231704</v>
      </c>
    </row>
    <row r="564" spans="1:13">
      <c r="A564" s="24">
        <v>565</v>
      </c>
      <c r="B564" s="5">
        <v>46219</v>
      </c>
      <c r="C564" s="5">
        <v>46220</v>
      </c>
      <c r="D564" s="30">
        <f t="shared" si="18"/>
        <v>1</v>
      </c>
      <c r="E564" s="5" t="s">
        <v>539</v>
      </c>
      <c r="F564" s="5" t="s">
        <v>604</v>
      </c>
      <c r="G564" s="53" t="s">
        <v>605</v>
      </c>
      <c r="H564" s="2" t="s">
        <v>25</v>
      </c>
      <c r="I564" s="2" t="s">
        <v>1112</v>
      </c>
      <c r="J564" s="2" t="s">
        <v>22</v>
      </c>
      <c r="K564" s="2" t="s">
        <v>343</v>
      </c>
      <c r="L564" s="7">
        <v>-74.133419420414995</v>
      </c>
      <c r="M564" s="7">
        <v>4.7255922729477202</v>
      </c>
    </row>
    <row r="565" spans="1:13">
      <c r="A565" s="24">
        <v>566</v>
      </c>
      <c r="B565" s="5">
        <v>46219</v>
      </c>
      <c r="C565" s="5">
        <v>46220</v>
      </c>
      <c r="D565" s="30">
        <f t="shared" si="18"/>
        <v>1</v>
      </c>
      <c r="E565" s="5" t="s">
        <v>539</v>
      </c>
      <c r="F565" s="5" t="s">
        <v>604</v>
      </c>
      <c r="G565" s="53" t="s">
        <v>618</v>
      </c>
      <c r="H565" s="2" t="s">
        <v>25</v>
      </c>
      <c r="I565" s="2" t="s">
        <v>1113</v>
      </c>
      <c r="J565" s="2" t="s">
        <v>22</v>
      </c>
      <c r="K565" s="2" t="s">
        <v>343</v>
      </c>
      <c r="L565" s="7">
        <v>-74.219566240404504</v>
      </c>
      <c r="M565" s="7">
        <v>4.5826023744828097</v>
      </c>
    </row>
    <row r="566" spans="1:13">
      <c r="A566" s="24">
        <v>567</v>
      </c>
      <c r="B566" s="5">
        <v>46219</v>
      </c>
      <c r="C566" s="5">
        <v>46220</v>
      </c>
      <c r="D566" s="30">
        <f t="shared" si="18"/>
        <v>1</v>
      </c>
      <c r="E566" s="5" t="s">
        <v>539</v>
      </c>
      <c r="F566" s="5" t="s">
        <v>604</v>
      </c>
      <c r="G566" s="53" t="s">
        <v>618</v>
      </c>
      <c r="H566" s="2" t="s">
        <v>25</v>
      </c>
      <c r="I566" s="2" t="s">
        <v>1114</v>
      </c>
      <c r="J566" s="2" t="s">
        <v>22</v>
      </c>
      <c r="K566" s="2" t="s">
        <v>343</v>
      </c>
      <c r="L566" s="7">
        <v>-74.186081667979906</v>
      </c>
      <c r="M566" s="7">
        <v>4.6014431645451301</v>
      </c>
    </row>
    <row r="567" spans="1:13">
      <c r="A567" s="24">
        <v>568</v>
      </c>
      <c r="B567" s="5">
        <v>46219</v>
      </c>
      <c r="C567" s="5">
        <v>46220</v>
      </c>
      <c r="D567" s="30">
        <f t="shared" si="18"/>
        <v>1</v>
      </c>
      <c r="E567" s="5" t="s">
        <v>539</v>
      </c>
      <c r="F567" s="5" t="s">
        <v>604</v>
      </c>
      <c r="G567" s="53" t="s">
        <v>605</v>
      </c>
      <c r="H567" s="2" t="s">
        <v>25</v>
      </c>
      <c r="I567" s="2" t="s">
        <v>1115</v>
      </c>
      <c r="J567" s="2" t="s">
        <v>22</v>
      </c>
      <c r="K567" s="2" t="s">
        <v>343</v>
      </c>
      <c r="L567" s="7">
        <v>-74.189352535479898</v>
      </c>
      <c r="M567" s="7">
        <v>4.6240112963118598</v>
      </c>
    </row>
    <row r="568" spans="1:13">
      <c r="A568" s="24">
        <v>569</v>
      </c>
      <c r="B568" s="5">
        <v>46220</v>
      </c>
      <c r="C568" s="5">
        <v>46224</v>
      </c>
      <c r="D568" s="30">
        <f t="shared" si="18"/>
        <v>4</v>
      </c>
      <c r="E568" s="5" t="s">
        <v>539</v>
      </c>
      <c r="F568" s="5" t="s">
        <v>604</v>
      </c>
      <c r="G568" s="53" t="s">
        <v>605</v>
      </c>
      <c r="H568" s="2" t="s">
        <v>25</v>
      </c>
      <c r="I568" s="2" t="s">
        <v>1116</v>
      </c>
      <c r="J568" s="2" t="s">
        <v>117</v>
      </c>
      <c r="K568" s="2" t="s">
        <v>874</v>
      </c>
      <c r="L568" s="7">
        <v>-75.585167313494097</v>
      </c>
      <c r="M568" s="7">
        <v>6.1831972325544999</v>
      </c>
    </row>
    <row r="569" spans="1:13">
      <c r="A569" s="24">
        <v>570</v>
      </c>
      <c r="B569" s="5">
        <v>46220</v>
      </c>
      <c r="C569" s="5">
        <v>46224</v>
      </c>
      <c r="D569" s="30">
        <f t="shared" si="18"/>
        <v>4</v>
      </c>
      <c r="E569" s="5" t="s">
        <v>539</v>
      </c>
      <c r="F569" s="5" t="s">
        <v>604</v>
      </c>
      <c r="G569" s="53" t="s">
        <v>605</v>
      </c>
      <c r="H569" s="2" t="s">
        <v>25</v>
      </c>
      <c r="I569" s="2" t="s">
        <v>1117</v>
      </c>
      <c r="J569" s="2" t="s">
        <v>117</v>
      </c>
      <c r="K569" s="2" t="s">
        <v>874</v>
      </c>
      <c r="L569" s="7">
        <v>-75.569127075556594</v>
      </c>
      <c r="M569" s="7">
        <v>6.2111090530394497</v>
      </c>
    </row>
    <row r="570" spans="1:13">
      <c r="A570" s="24">
        <v>571</v>
      </c>
      <c r="B570" s="5">
        <v>46220</v>
      </c>
      <c r="C570" s="5">
        <v>46224</v>
      </c>
      <c r="D570" s="30">
        <f t="shared" si="18"/>
        <v>4</v>
      </c>
      <c r="E570" s="5" t="s">
        <v>539</v>
      </c>
      <c r="F570" s="5" t="s">
        <v>604</v>
      </c>
      <c r="H570" s="2" t="s">
        <v>25</v>
      </c>
      <c r="I570" s="2" t="s">
        <v>1118</v>
      </c>
      <c r="J570" s="2" t="s">
        <v>117</v>
      </c>
      <c r="K570" s="2" t="s">
        <v>874</v>
      </c>
      <c r="L570" s="7">
        <v>-75.568326028835401</v>
      </c>
      <c r="M570" s="7">
        <v>6.2100856858457103</v>
      </c>
    </row>
    <row r="571" spans="1:13">
      <c r="A571" s="24">
        <v>572</v>
      </c>
      <c r="B571" s="5">
        <v>46220</v>
      </c>
      <c r="C571" s="5">
        <v>46224</v>
      </c>
      <c r="D571" s="30">
        <f t="shared" si="18"/>
        <v>4</v>
      </c>
      <c r="E571" s="5" t="s">
        <v>539</v>
      </c>
      <c r="F571" s="5" t="s">
        <v>604</v>
      </c>
      <c r="H571" s="2" t="s">
        <v>25</v>
      </c>
      <c r="I571" s="2" t="s">
        <v>1119</v>
      </c>
      <c r="J571" s="2" t="s">
        <v>117</v>
      </c>
      <c r="K571" s="2" t="s">
        <v>874</v>
      </c>
      <c r="L571" s="7">
        <v>-75.565933642328105</v>
      </c>
      <c r="M571" s="7">
        <v>6.2082360853998004</v>
      </c>
    </row>
    <row r="572" spans="1:13">
      <c r="A572" s="24">
        <v>573</v>
      </c>
      <c r="B572" s="5">
        <v>46220</v>
      </c>
      <c r="C572" s="5">
        <v>46224</v>
      </c>
      <c r="D572" s="30">
        <f t="shared" si="18"/>
        <v>4</v>
      </c>
      <c r="E572" s="5" t="s">
        <v>539</v>
      </c>
      <c r="F572" s="5" t="s">
        <v>604</v>
      </c>
      <c r="G572" s="53" t="s">
        <v>605</v>
      </c>
      <c r="H572" s="2" t="s">
        <v>25</v>
      </c>
      <c r="I572" s="2" t="s">
        <v>1120</v>
      </c>
      <c r="J572" s="2" t="s">
        <v>117</v>
      </c>
      <c r="K572" s="2" t="s">
        <v>874</v>
      </c>
      <c r="L572" s="7">
        <v>-75.576357515341897</v>
      </c>
      <c r="M572" s="7">
        <v>6.2101625175795299</v>
      </c>
    </row>
    <row r="573" spans="1:13">
      <c r="A573" s="24">
        <v>574</v>
      </c>
      <c r="B573" s="5">
        <v>46224</v>
      </c>
      <c r="C573" s="5">
        <v>46224</v>
      </c>
      <c r="D573" s="30">
        <f t="shared" si="18"/>
        <v>0</v>
      </c>
      <c r="E573" s="5" t="s">
        <v>539</v>
      </c>
      <c r="F573" s="5" t="s">
        <v>1054</v>
      </c>
      <c r="G573" s="53" t="s">
        <v>605</v>
      </c>
      <c r="H573" s="2" t="s">
        <v>25</v>
      </c>
      <c r="I573" s="2" t="s">
        <v>1121</v>
      </c>
      <c r="J573" s="2" t="s">
        <v>22</v>
      </c>
      <c r="K573" s="2" t="s">
        <v>38</v>
      </c>
      <c r="L573" s="7">
        <v>-74.067241999999993</v>
      </c>
      <c r="M573" s="7">
        <v>4.6311684266680997</v>
      </c>
    </row>
    <row r="574" spans="1:13">
      <c r="A574" s="24">
        <v>575</v>
      </c>
      <c r="B574" s="5">
        <v>46224</v>
      </c>
      <c r="C574" s="5">
        <v>46225</v>
      </c>
      <c r="D574" s="30">
        <f t="shared" si="18"/>
        <v>1</v>
      </c>
      <c r="E574" s="5" t="s">
        <v>567</v>
      </c>
      <c r="F574" s="5" t="s">
        <v>604</v>
      </c>
      <c r="G574" s="53" t="s">
        <v>605</v>
      </c>
      <c r="H574" s="2" t="s">
        <v>25</v>
      </c>
      <c r="I574" s="2" t="s">
        <v>1122</v>
      </c>
      <c r="J574" s="2" t="s">
        <v>22</v>
      </c>
      <c r="K574" s="2" t="s">
        <v>52</v>
      </c>
      <c r="L574" s="7">
        <v>-74.121212999999997</v>
      </c>
      <c r="M574" s="7">
        <v>4.6257188778253999</v>
      </c>
    </row>
    <row r="575" spans="1:13">
      <c r="A575" s="24">
        <v>576</v>
      </c>
      <c r="B575" s="5">
        <v>46224</v>
      </c>
      <c r="C575" s="5">
        <v>46225</v>
      </c>
      <c r="D575" s="30">
        <f t="shared" si="18"/>
        <v>1</v>
      </c>
      <c r="E575" s="5" t="s">
        <v>539</v>
      </c>
      <c r="F575" s="5" t="s">
        <v>1054</v>
      </c>
      <c r="G575" s="53" t="s">
        <v>605</v>
      </c>
      <c r="H575" s="2" t="s">
        <v>25</v>
      </c>
      <c r="I575" s="2" t="s">
        <v>1123</v>
      </c>
      <c r="J575" s="2" t="s">
        <v>22</v>
      </c>
      <c r="K575" s="2" t="s">
        <v>325</v>
      </c>
      <c r="L575" s="7">
        <v>-74.084344028835403</v>
      </c>
      <c r="M575" s="7">
        <v>4.6136646933122298</v>
      </c>
    </row>
    <row r="576" spans="1:13">
      <c r="A576" s="24">
        <v>577</v>
      </c>
      <c r="B576" s="5">
        <v>46224</v>
      </c>
      <c r="C576" s="5">
        <v>46225</v>
      </c>
      <c r="D576" s="30">
        <f>C576-B576</f>
        <v>1</v>
      </c>
      <c r="E576" s="5" t="s">
        <v>545</v>
      </c>
      <c r="F576" s="5" t="s">
        <v>621</v>
      </c>
      <c r="G576" s="53" t="s">
        <v>605</v>
      </c>
      <c r="H576" s="2" t="s">
        <v>25</v>
      </c>
      <c r="I576" s="2" t="s">
        <v>1124</v>
      </c>
      <c r="J576" s="2" t="s">
        <v>22</v>
      </c>
      <c r="K576" s="2" t="s">
        <v>325</v>
      </c>
      <c r="L576" s="7">
        <v>-74.152034518942102</v>
      </c>
      <c r="M576" s="7">
        <v>4.6162431680945</v>
      </c>
    </row>
    <row r="577" spans="1:13">
      <c r="A577" s="24">
        <v>578</v>
      </c>
      <c r="B577" s="5">
        <v>46225</v>
      </c>
      <c r="C577" s="5">
        <v>46225</v>
      </c>
      <c r="D577" s="30">
        <f>C577-B577</f>
        <v>0</v>
      </c>
      <c r="E577" s="5" t="s">
        <v>567</v>
      </c>
      <c r="F577" s="5" t="s">
        <v>621</v>
      </c>
      <c r="G577" s="53" t="s">
        <v>605</v>
      </c>
      <c r="H577" s="2" t="s">
        <v>25</v>
      </c>
      <c r="I577" s="2" t="s">
        <v>1125</v>
      </c>
      <c r="J577" s="2" t="s">
        <v>22</v>
      </c>
      <c r="K577" s="2" t="s">
        <v>485</v>
      </c>
      <c r="L577" s="76">
        <v>-74.119876284657707</v>
      </c>
      <c r="M577" s="7">
        <v>4.5267994643263503</v>
      </c>
    </row>
    <row r="578" spans="1:13">
      <c r="A578" s="24">
        <v>579</v>
      </c>
      <c r="B578" s="5">
        <v>46225</v>
      </c>
      <c r="C578" s="5">
        <v>46225</v>
      </c>
      <c r="D578" s="30">
        <f t="shared" ref="D578" si="19">C578-B578</f>
        <v>0</v>
      </c>
      <c r="E578" s="5" t="s">
        <v>545</v>
      </c>
      <c r="F578" s="5" t="s">
        <v>621</v>
      </c>
      <c r="G578" s="53" t="s">
        <v>605</v>
      </c>
      <c r="H578" s="2" t="s">
        <v>25</v>
      </c>
      <c r="I578" s="2" t="s">
        <v>1126</v>
      </c>
      <c r="J578" s="2" t="s">
        <v>22</v>
      </c>
      <c r="K578" s="2" t="s">
        <v>33</v>
      </c>
      <c r="L578" s="7">
        <v>-74.086645299491096</v>
      </c>
      <c r="M578" s="7">
        <v>4.7323901731398301</v>
      </c>
    </row>
    <row r="579" spans="1:13">
      <c r="A579" s="24">
        <v>580</v>
      </c>
      <c r="B579" s="5">
        <v>46225</v>
      </c>
      <c r="C579" s="5">
        <v>46225</v>
      </c>
      <c r="D579" s="30">
        <f>C579-B579</f>
        <v>0</v>
      </c>
      <c r="E579" s="5" t="s">
        <v>545</v>
      </c>
      <c r="F579" s="5" t="s">
        <v>621</v>
      </c>
      <c r="G579" s="53" t="s">
        <v>605</v>
      </c>
      <c r="H579" s="2" t="s">
        <v>25</v>
      </c>
      <c r="I579" s="2" t="s">
        <v>1127</v>
      </c>
      <c r="J579" s="2" t="s">
        <v>22</v>
      </c>
      <c r="K579" s="2" t="s">
        <v>33</v>
      </c>
      <c r="L579" s="7">
        <v>-74.034218056446306</v>
      </c>
      <c r="M579" s="7">
        <v>4.69201197152685</v>
      </c>
    </row>
    <row r="580" spans="1:13">
      <c r="A580" s="24">
        <v>581</v>
      </c>
      <c r="B580" s="5">
        <v>46225</v>
      </c>
      <c r="C580" s="5">
        <v>46226</v>
      </c>
      <c r="D580" s="30">
        <f t="shared" ref="D580" si="20">C580-B580</f>
        <v>1</v>
      </c>
      <c r="E580" s="5" t="s">
        <v>567</v>
      </c>
      <c r="F580" s="5" t="s">
        <v>621</v>
      </c>
      <c r="G580" s="53" t="s">
        <v>618</v>
      </c>
      <c r="H580" s="2" t="s">
        <v>25</v>
      </c>
      <c r="I580" s="2" t="s">
        <v>568</v>
      </c>
      <c r="J580" s="2" t="s">
        <v>22</v>
      </c>
      <c r="K580" s="2" t="s">
        <v>569</v>
      </c>
      <c r="L580" s="77">
        <v>-74.068089542329901</v>
      </c>
      <c r="M580" s="7">
        <v>4.6220284091986201</v>
      </c>
    </row>
    <row r="581" spans="1:13">
      <c r="A581" s="24">
        <v>582</v>
      </c>
      <c r="B581" s="5">
        <v>46227</v>
      </c>
      <c r="C581" s="5">
        <v>46227</v>
      </c>
      <c r="D581" s="30">
        <f>C581-B581</f>
        <v>0</v>
      </c>
      <c r="E581" s="5" t="s">
        <v>567</v>
      </c>
      <c r="F581" s="5" t="s">
        <v>621</v>
      </c>
      <c r="G581" s="53" t="s">
        <v>605</v>
      </c>
      <c r="H581" s="2" t="s">
        <v>25</v>
      </c>
      <c r="I581" s="2" t="s">
        <v>1128</v>
      </c>
      <c r="J581" s="2" t="s">
        <v>22</v>
      </c>
      <c r="K581" s="2" t="s">
        <v>38</v>
      </c>
      <c r="L581" s="7">
        <v>-74.065814355824799</v>
      </c>
      <c r="M581" s="7">
        <v>4.6264441837244803</v>
      </c>
    </row>
    <row r="582" spans="1:13">
      <c r="A582" s="24">
        <v>583</v>
      </c>
      <c r="B582" s="5">
        <v>46226</v>
      </c>
      <c r="C582" s="5">
        <v>46227</v>
      </c>
      <c r="D582" s="30">
        <f>C582-B582</f>
        <v>1</v>
      </c>
      <c r="E582" s="5" t="s">
        <v>545</v>
      </c>
      <c r="F582" s="5" t="s">
        <v>604</v>
      </c>
      <c r="G582" s="53" t="s">
        <v>618</v>
      </c>
      <c r="H582" s="2" t="s">
        <v>25</v>
      </c>
      <c r="I582" s="2" t="s">
        <v>547</v>
      </c>
      <c r="J582" s="2" t="s">
        <v>22</v>
      </c>
      <c r="K582" s="2" t="s">
        <v>343</v>
      </c>
      <c r="L582" s="7">
        <v>-74.116713682057707</v>
      </c>
      <c r="M582" s="7">
        <v>4.6412477772695704</v>
      </c>
    </row>
    <row r="583" spans="1:13">
      <c r="A583" s="24">
        <v>584</v>
      </c>
      <c r="B583" s="5">
        <v>46227</v>
      </c>
      <c r="C583" s="5">
        <v>46227</v>
      </c>
      <c r="D583" s="30">
        <f t="shared" ref="D583:D596" si="21">C583-B583</f>
        <v>0</v>
      </c>
      <c r="E583" s="5" t="s">
        <v>567</v>
      </c>
      <c r="F583" s="5" t="s">
        <v>621</v>
      </c>
      <c r="G583" s="53" t="s">
        <v>618</v>
      </c>
      <c r="H583" s="2" t="s">
        <v>25</v>
      </c>
      <c r="I583" s="2" t="s">
        <v>571</v>
      </c>
      <c r="J583" s="2" t="s">
        <v>22</v>
      </c>
      <c r="K583" s="2" t="s">
        <v>38</v>
      </c>
      <c r="L583" s="7">
        <v>-74.0656474074638</v>
      </c>
      <c r="M583" s="7">
        <v>4.6360185529159299</v>
      </c>
    </row>
    <row r="584" spans="1:13">
      <c r="A584" s="24">
        <v>585</v>
      </c>
      <c r="B584" s="5">
        <v>46227</v>
      </c>
      <c r="C584" s="5">
        <v>46227</v>
      </c>
      <c r="D584" s="30">
        <f t="shared" si="21"/>
        <v>0</v>
      </c>
      <c r="E584" s="5" t="s">
        <v>567</v>
      </c>
      <c r="F584" s="5" t="s">
        <v>621</v>
      </c>
      <c r="G584" s="53" t="s">
        <v>618</v>
      </c>
      <c r="H584" s="2" t="s">
        <v>25</v>
      </c>
      <c r="I584" s="2" t="s">
        <v>573</v>
      </c>
      <c r="J584" s="2" t="s">
        <v>22</v>
      </c>
      <c r="K584" s="2" t="s">
        <v>38</v>
      </c>
      <c r="L584" s="7">
        <v>-74.065016328233696</v>
      </c>
      <c r="M584" s="7">
        <v>4.6395272423589997</v>
      </c>
    </row>
    <row r="585" spans="1:13">
      <c r="A585" s="24">
        <v>586</v>
      </c>
      <c r="B585" s="5">
        <v>46227</v>
      </c>
      <c r="C585" s="5">
        <v>46227</v>
      </c>
      <c r="D585" s="30">
        <f>C585-B585</f>
        <v>0</v>
      </c>
      <c r="E585" s="5" t="s">
        <v>545</v>
      </c>
      <c r="F585" s="5" t="s">
        <v>621</v>
      </c>
      <c r="G585" s="53" t="s">
        <v>605</v>
      </c>
      <c r="H585" s="2" t="s">
        <v>25</v>
      </c>
      <c r="I585" s="2" t="s">
        <v>1129</v>
      </c>
      <c r="J585" s="2" t="s">
        <v>22</v>
      </c>
      <c r="K585" s="2" t="s">
        <v>325</v>
      </c>
      <c r="L585" s="7">
        <v>-74.024478488273303</v>
      </c>
      <c r="M585" s="7">
        <v>4.7339728306576401</v>
      </c>
    </row>
    <row r="586" spans="1:13">
      <c r="A586" s="24">
        <v>587</v>
      </c>
      <c r="B586" s="5">
        <v>46227</v>
      </c>
      <c r="C586" s="5">
        <v>46227</v>
      </c>
      <c r="D586" s="30">
        <f t="shared" si="21"/>
        <v>0</v>
      </c>
      <c r="E586" s="5" t="s">
        <v>567</v>
      </c>
      <c r="F586" s="5" t="s">
        <v>621</v>
      </c>
      <c r="G586" s="53" t="s">
        <v>605</v>
      </c>
      <c r="H586" s="2" t="s">
        <v>25</v>
      </c>
      <c r="I586" s="2" t="s">
        <v>1130</v>
      </c>
      <c r="J586" s="2" t="s">
        <v>22</v>
      </c>
      <c r="K586" s="2" t="s">
        <v>38</v>
      </c>
      <c r="L586" s="7">
        <v>-74.063677822089602</v>
      </c>
      <c r="M586" s="7">
        <v>4.6376807525055703</v>
      </c>
    </row>
    <row r="587" spans="1:13">
      <c r="A587" s="24">
        <v>588</v>
      </c>
      <c r="B587" s="5">
        <v>46230</v>
      </c>
      <c r="C587" s="5">
        <v>46230</v>
      </c>
      <c r="D587" s="30">
        <f t="shared" si="21"/>
        <v>0</v>
      </c>
      <c r="E587" s="5" t="s">
        <v>545</v>
      </c>
      <c r="F587" s="5" t="s">
        <v>621</v>
      </c>
      <c r="G587" s="53" t="s">
        <v>605</v>
      </c>
      <c r="H587" s="2" t="s">
        <v>25</v>
      </c>
      <c r="I587" s="2" t="s">
        <v>1131</v>
      </c>
      <c r="J587" s="2" t="s">
        <v>22</v>
      </c>
      <c r="K587" s="2" t="s">
        <v>325</v>
      </c>
      <c r="L587" s="7">
        <v>-74.140996119209802</v>
      </c>
      <c r="M587" s="7">
        <v>4.6674054469115598</v>
      </c>
    </row>
    <row r="588" spans="1:13">
      <c r="A588" s="24">
        <v>589</v>
      </c>
      <c r="B588" s="5">
        <v>46230</v>
      </c>
      <c r="C588" s="5">
        <v>46230</v>
      </c>
      <c r="D588" s="30">
        <f t="shared" si="21"/>
        <v>0</v>
      </c>
      <c r="E588" s="5" t="s">
        <v>545</v>
      </c>
      <c r="F588" s="5" t="s">
        <v>621</v>
      </c>
      <c r="G588" s="53" t="s">
        <v>605</v>
      </c>
      <c r="H588" s="2" t="s">
        <v>25</v>
      </c>
      <c r="I588" s="2" t="s">
        <v>1132</v>
      </c>
      <c r="J588" s="2" t="s">
        <v>22</v>
      </c>
      <c r="K588" s="2" t="s">
        <v>325</v>
      </c>
      <c r="L588" s="7">
        <v>-74.126533388909394</v>
      </c>
      <c r="M588" s="7">
        <v>4.6154391464090203</v>
      </c>
    </row>
    <row r="589" spans="1:13">
      <c r="A589" s="24">
        <v>590</v>
      </c>
      <c r="B589" s="5">
        <v>46230</v>
      </c>
      <c r="C589" s="5">
        <v>46230</v>
      </c>
      <c r="D589" s="30">
        <f t="shared" si="21"/>
        <v>0</v>
      </c>
      <c r="E589" s="5" t="s">
        <v>545</v>
      </c>
      <c r="F589" s="5" t="s">
        <v>621</v>
      </c>
      <c r="G589" s="53" t="s">
        <v>618</v>
      </c>
      <c r="H589" s="2" t="s">
        <v>25</v>
      </c>
      <c r="I589" s="2" t="s">
        <v>549</v>
      </c>
      <c r="J589" s="2" t="s">
        <v>22</v>
      </c>
      <c r="K589" s="2" t="s">
        <v>325</v>
      </c>
      <c r="L589" s="7">
        <v>-74.065158411138896</v>
      </c>
      <c r="M589" s="7">
        <v>4.6539324926247998</v>
      </c>
    </row>
    <row r="590" spans="1:13">
      <c r="A590" s="24">
        <v>591</v>
      </c>
      <c r="B590" s="5">
        <v>46227</v>
      </c>
      <c r="C590" s="5">
        <v>46230</v>
      </c>
      <c r="D590" s="30">
        <f t="shared" si="21"/>
        <v>3</v>
      </c>
      <c r="E590" s="5" t="s">
        <v>567</v>
      </c>
      <c r="F590" s="5" t="s">
        <v>621</v>
      </c>
      <c r="G590" s="53" t="s">
        <v>605</v>
      </c>
      <c r="H590" s="2" t="s">
        <v>25</v>
      </c>
      <c r="I590" s="2" t="s">
        <v>1133</v>
      </c>
      <c r="J590" s="2" t="s">
        <v>117</v>
      </c>
      <c r="K590" s="2" t="s">
        <v>874</v>
      </c>
      <c r="L590" s="7">
        <v>-75.596420406293802</v>
      </c>
      <c r="M590" s="7">
        <v>6.2647971162393503</v>
      </c>
    </row>
    <row r="591" spans="1:13">
      <c r="A591" s="24">
        <v>592</v>
      </c>
      <c r="B591" s="5">
        <v>46227</v>
      </c>
      <c r="C591" s="5">
        <v>46230</v>
      </c>
      <c r="D591" s="30">
        <f t="shared" si="21"/>
        <v>3</v>
      </c>
      <c r="E591" s="5" t="s">
        <v>567</v>
      </c>
      <c r="F591" s="5" t="s">
        <v>621</v>
      </c>
      <c r="G591" s="53" t="s">
        <v>605</v>
      </c>
      <c r="H591" s="2" t="s">
        <v>25</v>
      </c>
      <c r="I591" s="2" t="s">
        <v>1134</v>
      </c>
      <c r="J591" s="2" t="s">
        <v>117</v>
      </c>
      <c r="K591" s="2" t="s">
        <v>874</v>
      </c>
      <c r="L591" s="7">
        <v>-75.596920904144596</v>
      </c>
      <c r="M591" s="7">
        <v>6.2472741190256302</v>
      </c>
    </row>
    <row r="592" spans="1:13">
      <c r="A592" s="24">
        <v>593</v>
      </c>
      <c r="B592" s="5">
        <v>46225</v>
      </c>
      <c r="C592" s="5">
        <v>46230</v>
      </c>
      <c r="D592" s="30">
        <f t="shared" si="21"/>
        <v>5</v>
      </c>
      <c r="E592" s="5" t="s">
        <v>567</v>
      </c>
      <c r="F592" s="5" t="s">
        <v>621</v>
      </c>
      <c r="G592" s="53" t="s">
        <v>605</v>
      </c>
      <c r="H592" s="2" t="s">
        <v>25</v>
      </c>
      <c r="I592" s="2" t="s">
        <v>1135</v>
      </c>
      <c r="J592" s="2" t="s">
        <v>117</v>
      </c>
      <c r="K592" s="2" t="s">
        <v>874</v>
      </c>
      <c r="L592" s="7">
        <v>-75.570735999342403</v>
      </c>
      <c r="M592" s="7">
        <v>6.2094091991287197</v>
      </c>
    </row>
    <row r="593" spans="1:13">
      <c r="A593" s="24">
        <v>594</v>
      </c>
      <c r="B593" s="5">
        <v>46225</v>
      </c>
      <c r="C593" s="5">
        <v>46230</v>
      </c>
      <c r="D593" s="30">
        <f t="shared" si="21"/>
        <v>5</v>
      </c>
      <c r="E593" s="5" t="s">
        <v>567</v>
      </c>
      <c r="F593" s="5" t="s">
        <v>621</v>
      </c>
      <c r="G593" s="53" t="s">
        <v>605</v>
      </c>
      <c r="H593" s="2" t="s">
        <v>25</v>
      </c>
      <c r="I593" s="2" t="s">
        <v>1136</v>
      </c>
      <c r="J593" s="2" t="s">
        <v>117</v>
      </c>
      <c r="K593" s="2" t="s">
        <v>874</v>
      </c>
      <c r="L593" s="7">
        <v>-75.570951039546202</v>
      </c>
      <c r="M593" s="7">
        <v>6.2098737975613698</v>
      </c>
    </row>
    <row r="594" spans="1:13">
      <c r="A594" s="24">
        <v>595</v>
      </c>
      <c r="B594" s="5">
        <v>46230</v>
      </c>
      <c r="C594" s="5">
        <v>46231</v>
      </c>
      <c r="D594" s="30">
        <f t="shared" si="21"/>
        <v>1</v>
      </c>
      <c r="E594" s="5" t="s">
        <v>545</v>
      </c>
      <c r="F594" s="5" t="s">
        <v>621</v>
      </c>
      <c r="G594" s="53" t="s">
        <v>605</v>
      </c>
      <c r="H594" s="2" t="s">
        <v>25</v>
      </c>
      <c r="I594" s="2" t="s">
        <v>1137</v>
      </c>
      <c r="J594" s="2" t="s">
        <v>709</v>
      </c>
      <c r="K594" s="2" t="s">
        <v>393</v>
      </c>
      <c r="L594" s="7">
        <v>-75.563387676831994</v>
      </c>
      <c r="M594" s="7">
        <v>10.3969177202327</v>
      </c>
    </row>
    <row r="595" spans="1:13">
      <c r="A595" s="24">
        <v>595</v>
      </c>
      <c r="B595" s="5">
        <v>46225</v>
      </c>
      <c r="C595" s="5">
        <v>46231</v>
      </c>
      <c r="D595" s="30">
        <f t="shared" si="21"/>
        <v>6</v>
      </c>
      <c r="E595" s="5" t="s">
        <v>567</v>
      </c>
      <c r="F595" s="5" t="s">
        <v>621</v>
      </c>
      <c r="G595" s="53" t="s">
        <v>605</v>
      </c>
      <c r="H595" s="2" t="s">
        <v>25</v>
      </c>
      <c r="I595" s="2" t="s">
        <v>1138</v>
      </c>
      <c r="J595" s="2" t="s">
        <v>117</v>
      </c>
      <c r="K595" s="2" t="s">
        <v>874</v>
      </c>
      <c r="L595" s="7">
        <v>-75.570879833289396</v>
      </c>
      <c r="M595" s="7">
        <v>6.2101145391246897</v>
      </c>
    </row>
    <row r="596" spans="1:13">
      <c r="A596" s="24">
        <v>596</v>
      </c>
      <c r="B596" s="5">
        <v>46230</v>
      </c>
      <c r="C596" s="5">
        <v>46231</v>
      </c>
      <c r="D596" s="30">
        <f t="shared" si="21"/>
        <v>1</v>
      </c>
      <c r="E596" s="5" t="s">
        <v>567</v>
      </c>
      <c r="F596" s="5" t="s">
        <v>621</v>
      </c>
      <c r="G596" s="53" t="s">
        <v>605</v>
      </c>
      <c r="H596" s="2" t="s">
        <v>25</v>
      </c>
      <c r="I596" s="2" t="s">
        <v>1139</v>
      </c>
      <c r="J596" s="2" t="s">
        <v>22</v>
      </c>
      <c r="K596" s="2" t="s">
        <v>485</v>
      </c>
      <c r="L596" s="7">
        <v>-74.089852581435395</v>
      </c>
      <c r="M596" s="7">
        <v>4.6819308147877798</v>
      </c>
    </row>
    <row r="597" spans="1:13">
      <c r="A597" s="24">
        <v>597</v>
      </c>
      <c r="B597" s="5">
        <v>46230</v>
      </c>
      <c r="C597" s="5">
        <v>46231</v>
      </c>
      <c r="D597" s="30">
        <f t="shared" ref="D597:D609" si="22">C597-B597</f>
        <v>1</v>
      </c>
      <c r="E597" s="5" t="s">
        <v>567</v>
      </c>
      <c r="F597" s="5" t="s">
        <v>621</v>
      </c>
      <c r="G597" s="53" t="s">
        <v>605</v>
      </c>
      <c r="H597" s="2" t="s">
        <v>25</v>
      </c>
      <c r="I597" s="2" t="s">
        <v>1140</v>
      </c>
      <c r="J597" s="2" t="s">
        <v>22</v>
      </c>
      <c r="K597" s="2" t="s">
        <v>485</v>
      </c>
      <c r="L597" s="7">
        <v>-74.065389023118698</v>
      </c>
      <c r="M597" s="7">
        <v>4.6941547320923602</v>
      </c>
    </row>
    <row r="598" spans="1:13">
      <c r="A598" s="24">
        <v>598</v>
      </c>
      <c r="B598" s="5">
        <v>46232</v>
      </c>
      <c r="C598" s="5">
        <v>46232</v>
      </c>
      <c r="D598" s="30">
        <f t="shared" si="22"/>
        <v>0</v>
      </c>
      <c r="E598" s="5" t="s">
        <v>545</v>
      </c>
      <c r="F598" s="5" t="s">
        <v>604</v>
      </c>
      <c r="G598" s="53" t="s">
        <v>605</v>
      </c>
      <c r="H598" s="2" t="s">
        <v>25</v>
      </c>
      <c r="I598" s="2" t="s">
        <v>1141</v>
      </c>
      <c r="J598" s="2" t="s">
        <v>22</v>
      </c>
      <c r="K598" s="2" t="s">
        <v>343</v>
      </c>
      <c r="L598" s="7">
        <v>-74.172499285146301</v>
      </c>
      <c r="M598" s="7">
        <v>4.6375476242956397</v>
      </c>
    </row>
    <row r="599" spans="1:13">
      <c r="A599" s="24">
        <v>599</v>
      </c>
      <c r="B599" s="5">
        <v>46232</v>
      </c>
      <c r="C599" s="5">
        <v>46232</v>
      </c>
      <c r="D599" s="30">
        <f t="shared" si="22"/>
        <v>0</v>
      </c>
      <c r="E599" s="5" t="s">
        <v>545</v>
      </c>
      <c r="F599" s="5" t="s">
        <v>604</v>
      </c>
      <c r="G599" s="53" t="s">
        <v>605</v>
      </c>
      <c r="H599" s="2" t="s">
        <v>25</v>
      </c>
      <c r="I599" s="2" t="s">
        <v>1142</v>
      </c>
      <c r="J599" s="2" t="s">
        <v>22</v>
      </c>
      <c r="K599" s="2" t="s">
        <v>343</v>
      </c>
      <c r="L599" s="7">
        <v>-74.172494471325805</v>
      </c>
      <c r="M599" s="7">
        <v>4.6383120720053403</v>
      </c>
    </row>
    <row r="600" spans="1:13">
      <c r="A600" s="24">
        <v>600</v>
      </c>
      <c r="B600" s="5">
        <v>46232</v>
      </c>
      <c r="C600" s="5">
        <v>46232</v>
      </c>
      <c r="D600" s="30">
        <f t="shared" si="22"/>
        <v>0</v>
      </c>
      <c r="E600" s="5" t="s">
        <v>545</v>
      </c>
      <c r="F600" s="5" t="s">
        <v>604</v>
      </c>
      <c r="G600" s="53" t="s">
        <v>605</v>
      </c>
      <c r="H600" s="2" t="s">
        <v>25</v>
      </c>
      <c r="I600" s="2" t="s">
        <v>1143</v>
      </c>
      <c r="J600" s="2" t="s">
        <v>22</v>
      </c>
      <c r="K600" s="2" t="s">
        <v>343</v>
      </c>
      <c r="L600" s="7">
        <v>-74.125410565340204</v>
      </c>
      <c r="M600" s="7">
        <v>4.4712167382904502</v>
      </c>
    </row>
    <row r="601" spans="1:13">
      <c r="A601" s="24">
        <v>601</v>
      </c>
      <c r="B601" s="5">
        <v>46232</v>
      </c>
      <c r="C601" s="5">
        <v>46232</v>
      </c>
      <c r="D601" s="30">
        <f t="shared" si="22"/>
        <v>0</v>
      </c>
      <c r="E601" s="5" t="s">
        <v>545</v>
      </c>
      <c r="F601" s="5" t="s">
        <v>604</v>
      </c>
      <c r="G601" s="53" t="s">
        <v>605</v>
      </c>
      <c r="H601" s="2" t="s">
        <v>25</v>
      </c>
      <c r="I601" s="2" t="s">
        <v>1144</v>
      </c>
      <c r="J601" s="2" t="s">
        <v>22</v>
      </c>
      <c r="K601" s="2" t="s">
        <v>343</v>
      </c>
      <c r="L601" s="7">
        <v>-74.189054787389296</v>
      </c>
      <c r="M601" s="7">
        <v>4.6041235339825102</v>
      </c>
    </row>
    <row r="602" spans="1:13">
      <c r="A602" s="24">
        <v>602</v>
      </c>
      <c r="B602" s="5">
        <v>46232</v>
      </c>
      <c r="C602" s="5">
        <v>46232</v>
      </c>
      <c r="D602" s="30">
        <f t="shared" si="22"/>
        <v>0</v>
      </c>
      <c r="E602" s="5" t="s">
        <v>545</v>
      </c>
      <c r="F602" s="5" t="s">
        <v>604</v>
      </c>
      <c r="G602" s="53" t="s">
        <v>605</v>
      </c>
      <c r="H602" s="2" t="s">
        <v>25</v>
      </c>
      <c r="I602" s="2" t="s">
        <v>1145</v>
      </c>
      <c r="J602" s="2" t="s">
        <v>22</v>
      </c>
      <c r="K602" s="2" t="s">
        <v>343</v>
      </c>
      <c r="L602" s="7">
        <v>-74.105575807965096</v>
      </c>
      <c r="M602" s="7">
        <v>4.7384431672001002</v>
      </c>
    </row>
    <row r="603" spans="1:13">
      <c r="A603" s="24">
        <v>603</v>
      </c>
      <c r="B603" s="5">
        <v>46232</v>
      </c>
      <c r="C603" s="5">
        <v>46232</v>
      </c>
      <c r="D603" s="30">
        <f t="shared" si="22"/>
        <v>0</v>
      </c>
      <c r="E603" s="5" t="s">
        <v>545</v>
      </c>
      <c r="F603" s="5" t="s">
        <v>604</v>
      </c>
      <c r="G603" s="53" t="s">
        <v>605</v>
      </c>
      <c r="H603" s="2" t="s">
        <v>25</v>
      </c>
      <c r="I603" s="2" t="s">
        <v>1146</v>
      </c>
      <c r="J603" s="2" t="s">
        <v>22</v>
      </c>
      <c r="K603" s="2" t="s">
        <v>343</v>
      </c>
      <c r="L603" s="7">
        <v>-74.114867114753494</v>
      </c>
      <c r="M603" s="7">
        <v>4.7026957216046803</v>
      </c>
    </row>
    <row r="604" spans="1:13">
      <c r="A604" s="24">
        <v>604</v>
      </c>
      <c r="B604" s="5">
        <v>46232</v>
      </c>
      <c r="C604" s="5">
        <v>46232</v>
      </c>
      <c r="D604" s="30">
        <f t="shared" si="22"/>
        <v>0</v>
      </c>
      <c r="E604" s="5" t="s">
        <v>545</v>
      </c>
      <c r="F604" s="5" t="s">
        <v>604</v>
      </c>
      <c r="G604" s="53" t="s">
        <v>605</v>
      </c>
      <c r="H604" s="2" t="s">
        <v>25</v>
      </c>
      <c r="I604" s="2" t="s">
        <v>1147</v>
      </c>
      <c r="J604" s="2" t="s">
        <v>22</v>
      </c>
      <c r="K604" s="2" t="s">
        <v>343</v>
      </c>
      <c r="L604" s="7">
        <v>-74.057623819554905</v>
      </c>
      <c r="M604" s="7">
        <v>4.6713395812725897</v>
      </c>
    </row>
    <row r="605" spans="1:13">
      <c r="A605" s="24">
        <v>605</v>
      </c>
      <c r="B605" s="5">
        <v>46232</v>
      </c>
      <c r="C605" s="5">
        <v>46233</v>
      </c>
      <c r="D605" s="30">
        <f t="shared" si="22"/>
        <v>1</v>
      </c>
      <c r="E605" s="5" t="s">
        <v>545</v>
      </c>
      <c r="F605" s="5" t="s">
        <v>604</v>
      </c>
      <c r="G605" s="53" t="s">
        <v>605</v>
      </c>
      <c r="H605" s="2" t="s">
        <v>25</v>
      </c>
      <c r="I605" s="2" t="s">
        <v>1148</v>
      </c>
      <c r="J605" s="2" t="s">
        <v>22</v>
      </c>
      <c r="K605" s="2" t="s">
        <v>343</v>
      </c>
      <c r="L605" s="7">
        <v>-74.043217051486096</v>
      </c>
      <c r="M605" s="7">
        <v>4.7503609189320599</v>
      </c>
    </row>
    <row r="606" spans="1:13">
      <c r="A606" s="24">
        <v>606</v>
      </c>
      <c r="B606" s="5">
        <v>46232</v>
      </c>
      <c r="C606" s="5">
        <v>46233</v>
      </c>
      <c r="D606" s="30">
        <f t="shared" si="22"/>
        <v>1</v>
      </c>
      <c r="E606" s="5" t="s">
        <v>545</v>
      </c>
      <c r="F606" s="5" t="s">
        <v>604</v>
      </c>
      <c r="G606" s="53" t="s">
        <v>618</v>
      </c>
      <c r="H606" s="2" t="s">
        <v>25</v>
      </c>
      <c r="I606" s="2" t="s">
        <v>550</v>
      </c>
      <c r="J606" s="2" t="s">
        <v>22</v>
      </c>
      <c r="K606" s="2" t="s">
        <v>343</v>
      </c>
      <c r="L606" s="7">
        <v>-74.051377858839402</v>
      </c>
      <c r="M606" s="7">
        <v>4.6797218589755696</v>
      </c>
    </row>
    <row r="607" spans="1:13">
      <c r="A607" s="24">
        <v>607</v>
      </c>
      <c r="B607" s="5">
        <v>46232</v>
      </c>
      <c r="C607" s="5">
        <v>46233</v>
      </c>
      <c r="D607" s="30">
        <f t="shared" si="22"/>
        <v>1</v>
      </c>
      <c r="E607" s="5" t="s">
        <v>545</v>
      </c>
      <c r="F607" s="5" t="s">
        <v>604</v>
      </c>
      <c r="G607" s="53" t="s">
        <v>618</v>
      </c>
      <c r="H607" s="2" t="s">
        <v>25</v>
      </c>
      <c r="I607" s="2" t="s">
        <v>552</v>
      </c>
      <c r="J607" s="2" t="s">
        <v>22</v>
      </c>
      <c r="K607" s="2" t="s">
        <v>343</v>
      </c>
      <c r="L607" s="7">
        <v>-74.145054512117696</v>
      </c>
      <c r="M607" s="7">
        <v>4.6724813334399098</v>
      </c>
    </row>
    <row r="608" spans="1:13">
      <c r="A608" s="24">
        <v>608</v>
      </c>
      <c r="B608" s="5">
        <v>46232</v>
      </c>
      <c r="C608" s="5">
        <v>46234</v>
      </c>
      <c r="D608" s="30">
        <f t="shared" si="22"/>
        <v>2</v>
      </c>
      <c r="E608" s="5" t="s">
        <v>545</v>
      </c>
      <c r="F608" s="5" t="s">
        <v>604</v>
      </c>
      <c r="G608" s="53" t="s">
        <v>605</v>
      </c>
      <c r="H608" s="2" t="s">
        <v>25</v>
      </c>
      <c r="I608" s="2" t="s">
        <v>1149</v>
      </c>
      <c r="J608" s="2" t="s">
        <v>1150</v>
      </c>
      <c r="K608" s="2" t="s">
        <v>343</v>
      </c>
      <c r="L608" s="7">
        <v>-74.234225217824203</v>
      </c>
      <c r="M608" s="7">
        <v>4.7029382908170696</v>
      </c>
    </row>
    <row r="609" spans="1:13">
      <c r="A609" s="24">
        <v>609</v>
      </c>
      <c r="B609" s="5">
        <v>46233</v>
      </c>
      <c r="C609" s="5">
        <v>46233</v>
      </c>
      <c r="D609" s="30">
        <f t="shared" si="22"/>
        <v>0</v>
      </c>
      <c r="E609" s="5" t="s">
        <v>545</v>
      </c>
      <c r="F609" s="5" t="s">
        <v>621</v>
      </c>
      <c r="G609" s="53" t="s">
        <v>605</v>
      </c>
      <c r="H609" s="2" t="s">
        <v>25</v>
      </c>
      <c r="I609" s="2" t="s">
        <v>1151</v>
      </c>
      <c r="J609" s="2" t="s">
        <v>709</v>
      </c>
      <c r="K609" s="2" t="s">
        <v>325</v>
      </c>
      <c r="L609" s="7">
        <v>-75.548526516584403</v>
      </c>
      <c r="M609" s="7">
        <v>10.425985154366501</v>
      </c>
    </row>
    <row r="610" spans="1:13">
      <c r="A610" s="24">
        <v>610</v>
      </c>
      <c r="B610" s="5">
        <v>46233</v>
      </c>
      <c r="C610" s="5">
        <v>46234</v>
      </c>
      <c r="D610" s="30">
        <f>C611-B610</f>
        <v>1</v>
      </c>
      <c r="E610" s="5" t="s">
        <v>545</v>
      </c>
      <c r="F610" s="5" t="s">
        <v>621</v>
      </c>
      <c r="G610" s="53" t="s">
        <v>605</v>
      </c>
      <c r="H610" s="2" t="s">
        <v>25</v>
      </c>
      <c r="I610" s="2" t="s">
        <v>1152</v>
      </c>
      <c r="J610" s="2" t="s">
        <v>709</v>
      </c>
      <c r="K610" s="2" t="s">
        <v>325</v>
      </c>
      <c r="L610" s="7">
        <v>-75.545354345875396</v>
      </c>
      <c r="M610" s="7">
        <v>10.4214448276502</v>
      </c>
    </row>
    <row r="611" spans="1:13">
      <c r="A611" s="24">
        <v>611</v>
      </c>
      <c r="B611" s="5">
        <v>46233</v>
      </c>
      <c r="C611" s="5">
        <v>46234</v>
      </c>
      <c r="D611" s="30">
        <f>C611-B611</f>
        <v>1</v>
      </c>
      <c r="E611" s="5" t="s">
        <v>567</v>
      </c>
      <c r="F611" s="5" t="s">
        <v>621</v>
      </c>
      <c r="G611" s="53" t="s">
        <v>605</v>
      </c>
      <c r="H611" s="2" t="s">
        <v>25</v>
      </c>
      <c r="I611" s="2" t="s">
        <v>615</v>
      </c>
      <c r="J611" s="2" t="s">
        <v>22</v>
      </c>
      <c r="K611" s="2" t="s">
        <v>485</v>
      </c>
      <c r="L611" s="7">
        <v>-74.062835226116206</v>
      </c>
      <c r="M611" s="7">
        <v>4.6370496072160003</v>
      </c>
    </row>
    <row r="612" spans="1:13">
      <c r="A612" s="24">
        <v>612</v>
      </c>
      <c r="B612" s="5">
        <v>46234</v>
      </c>
      <c r="C612" s="5">
        <v>46234</v>
      </c>
      <c r="D612" s="30">
        <f>C612-B612</f>
        <v>0</v>
      </c>
      <c r="E612" s="5" t="s">
        <v>567</v>
      </c>
      <c r="F612" s="5" t="s">
        <v>621</v>
      </c>
      <c r="G612" s="53" t="s">
        <v>605</v>
      </c>
      <c r="H612" s="2" t="s">
        <v>25</v>
      </c>
      <c r="I612" s="2" t="s">
        <v>1153</v>
      </c>
      <c r="J612" s="2" t="s">
        <v>892</v>
      </c>
      <c r="K612" s="2" t="s">
        <v>485</v>
      </c>
      <c r="L612" s="7">
        <v>-73.118228437956205</v>
      </c>
      <c r="M612" s="7">
        <v>7.1147630805478803</v>
      </c>
    </row>
    <row r="613" spans="1:13">
      <c r="A613" s="24">
        <v>613</v>
      </c>
      <c r="B613" s="5">
        <v>46234</v>
      </c>
      <c r="C613" s="5">
        <v>46237</v>
      </c>
      <c r="D613" s="79" t="s">
        <v>1154</v>
      </c>
      <c r="E613" s="5" t="s">
        <v>567</v>
      </c>
      <c r="F613" s="5" t="s">
        <v>621</v>
      </c>
      <c r="G613" s="53" t="s">
        <v>605</v>
      </c>
      <c r="H613" s="2" t="s">
        <v>25</v>
      </c>
      <c r="I613" s="2" t="s">
        <v>1155</v>
      </c>
      <c r="J613" s="2" t="s">
        <v>22</v>
      </c>
      <c r="K613" s="2" t="s">
        <v>569</v>
      </c>
      <c r="L613" s="7">
        <v>-74.154151202448304</v>
      </c>
      <c r="M613" s="7">
        <v>4.6231876166057297</v>
      </c>
    </row>
    <row r="614" spans="1:13">
      <c r="A614" s="24">
        <v>614</v>
      </c>
      <c r="B614" s="5">
        <v>46234</v>
      </c>
      <c r="C614" s="5">
        <v>46237</v>
      </c>
      <c r="D614" s="79" t="s">
        <v>1154</v>
      </c>
      <c r="E614" s="5" t="s">
        <v>567</v>
      </c>
      <c r="F614" s="5" t="s">
        <v>621</v>
      </c>
      <c r="G614" s="53" t="s">
        <v>605</v>
      </c>
      <c r="H614" s="2" t="s">
        <v>25</v>
      </c>
      <c r="I614" s="2" t="s">
        <v>1156</v>
      </c>
      <c r="J614" s="2" t="s">
        <v>22</v>
      </c>
      <c r="K614" s="2" t="s">
        <v>569</v>
      </c>
      <c r="L614" s="7">
        <v>-74.065478995104698</v>
      </c>
      <c r="M614" s="7">
        <v>4.6756114778966396</v>
      </c>
    </row>
    <row r="615" spans="1:13">
      <c r="A615" s="24">
        <v>615</v>
      </c>
      <c r="B615" s="5">
        <v>46234</v>
      </c>
      <c r="C615" s="5">
        <v>46237</v>
      </c>
      <c r="D615" s="79" t="s">
        <v>1154</v>
      </c>
      <c r="E615" s="5" t="s">
        <v>567</v>
      </c>
      <c r="F615" s="5" t="s">
        <v>621</v>
      </c>
      <c r="G615" s="53" t="s">
        <v>605</v>
      </c>
      <c r="H615" s="2" t="s">
        <v>25</v>
      </c>
      <c r="I615" s="2" t="s">
        <v>1157</v>
      </c>
      <c r="J615" s="2" t="s">
        <v>22</v>
      </c>
      <c r="K615" s="2" t="s">
        <v>569</v>
      </c>
      <c r="L615" s="7">
        <v>-74.105594028835995</v>
      </c>
      <c r="M615" s="7">
        <v>4.6729905964146798</v>
      </c>
    </row>
    <row r="616" spans="1:13">
      <c r="A616" s="24">
        <v>616</v>
      </c>
      <c r="B616" s="5">
        <v>46237</v>
      </c>
      <c r="C616" s="5">
        <v>46237</v>
      </c>
      <c r="D616" s="30">
        <f t="shared" ref="D616:D639" si="23">C616-B616</f>
        <v>0</v>
      </c>
      <c r="E616" s="5" t="s">
        <v>567</v>
      </c>
      <c r="F616" s="5" t="s">
        <v>621</v>
      </c>
      <c r="G616" s="53" t="s">
        <v>618</v>
      </c>
      <c r="H616" s="2" t="s">
        <v>25</v>
      </c>
      <c r="I616" s="2" t="s">
        <v>575</v>
      </c>
      <c r="J616" s="2" t="s">
        <v>22</v>
      </c>
      <c r="K616" s="2" t="s">
        <v>569</v>
      </c>
      <c r="L616" s="7">
        <v>-74.068041033945093</v>
      </c>
      <c r="M616" s="7">
        <v>4.6260447043223998</v>
      </c>
    </row>
    <row r="617" spans="1:13">
      <c r="A617" s="24">
        <v>617</v>
      </c>
      <c r="B617" s="5">
        <v>46237</v>
      </c>
      <c r="C617" s="5">
        <v>46238</v>
      </c>
      <c r="D617" s="30">
        <f t="shared" si="23"/>
        <v>1</v>
      </c>
      <c r="E617" s="5" t="s">
        <v>567</v>
      </c>
      <c r="F617" s="5" t="s">
        <v>621</v>
      </c>
      <c r="G617" s="53" t="s">
        <v>605</v>
      </c>
      <c r="H617" s="2" t="s">
        <v>25</v>
      </c>
      <c r="I617" s="2" t="s">
        <v>1158</v>
      </c>
      <c r="J617" s="2" t="s">
        <v>22</v>
      </c>
      <c r="K617" s="2" t="s">
        <v>485</v>
      </c>
      <c r="L617" s="7">
        <v>-74.047167561821794</v>
      </c>
      <c r="M617" s="7">
        <v>4.6942279343398097</v>
      </c>
    </row>
    <row r="618" spans="1:13">
      <c r="A618" s="24">
        <v>618</v>
      </c>
      <c r="B618" s="5">
        <v>46237</v>
      </c>
      <c r="C618" s="5">
        <v>46238</v>
      </c>
      <c r="D618" s="30">
        <f t="shared" si="23"/>
        <v>1</v>
      </c>
      <c r="E618" s="5" t="s">
        <v>567</v>
      </c>
      <c r="F618" s="5" t="s">
        <v>621</v>
      </c>
      <c r="G618" s="53" t="s">
        <v>605</v>
      </c>
      <c r="H618" s="2" t="s">
        <v>25</v>
      </c>
      <c r="I618" s="2" t="s">
        <v>1159</v>
      </c>
      <c r="J618" s="2" t="s">
        <v>22</v>
      </c>
      <c r="K618" s="2" t="s">
        <v>485</v>
      </c>
      <c r="L618" s="7">
        <v>-74.087923625927004</v>
      </c>
      <c r="M618" s="7">
        <v>4.67565345578757</v>
      </c>
    </row>
    <row r="619" spans="1:13">
      <c r="A619" s="24">
        <v>619</v>
      </c>
      <c r="B619" s="5">
        <v>46237</v>
      </c>
      <c r="C619" s="5">
        <v>46238</v>
      </c>
      <c r="D619" s="30">
        <f t="shared" si="23"/>
        <v>1</v>
      </c>
      <c r="E619" s="5" t="s">
        <v>567</v>
      </c>
      <c r="F619" s="5" t="s">
        <v>621</v>
      </c>
      <c r="G619" s="53" t="s">
        <v>605</v>
      </c>
      <c r="H619" s="2" t="s">
        <v>25</v>
      </c>
      <c r="I619" s="2" t="s">
        <v>1160</v>
      </c>
      <c r="J619" s="2" t="s">
        <v>22</v>
      </c>
      <c r="K619" s="2" t="s">
        <v>80</v>
      </c>
      <c r="L619" s="7">
        <v>-74.092908757672006</v>
      </c>
      <c r="M619" s="7">
        <v>4.6160729516022396</v>
      </c>
    </row>
    <row r="620" spans="1:13">
      <c r="A620" s="24">
        <v>620</v>
      </c>
      <c r="B620" s="5">
        <v>46237</v>
      </c>
      <c r="C620" s="5">
        <v>46239</v>
      </c>
      <c r="D620" s="30">
        <f t="shared" si="23"/>
        <v>2</v>
      </c>
      <c r="E620" s="5" t="s">
        <v>567</v>
      </c>
      <c r="F620" s="5" t="s">
        <v>621</v>
      </c>
      <c r="G620" s="53" t="s">
        <v>605</v>
      </c>
      <c r="H620" s="2" t="s">
        <v>25</v>
      </c>
      <c r="I620" s="2" t="s">
        <v>1161</v>
      </c>
      <c r="J620" s="2" t="s">
        <v>117</v>
      </c>
      <c r="K620" s="2" t="s">
        <v>874</v>
      </c>
      <c r="L620" s="7">
        <v>-75.5595152343124</v>
      </c>
      <c r="M620" s="7">
        <v>6.2089089345280701</v>
      </c>
    </row>
    <row r="621" spans="1:13">
      <c r="A621" s="24">
        <v>621</v>
      </c>
      <c r="B621" s="5">
        <v>46237</v>
      </c>
      <c r="C621" s="5">
        <v>46237</v>
      </c>
      <c r="D621" s="30">
        <f t="shared" si="23"/>
        <v>0</v>
      </c>
      <c r="E621" s="5" t="s">
        <v>545</v>
      </c>
      <c r="F621" s="5" t="s">
        <v>604</v>
      </c>
      <c r="G621" s="53" t="s">
        <v>605</v>
      </c>
      <c r="H621" s="2" t="s">
        <v>25</v>
      </c>
      <c r="I621" s="2" t="s">
        <v>1162</v>
      </c>
      <c r="J621" s="2" t="s">
        <v>22</v>
      </c>
      <c r="K621" s="2" t="s">
        <v>343</v>
      </c>
      <c r="L621" s="7">
        <v>-7.4103314777095504</v>
      </c>
      <c r="M621" s="7">
        <v>4.5775958970995303</v>
      </c>
    </row>
    <row r="622" spans="1:13">
      <c r="A622" s="24">
        <v>622</v>
      </c>
      <c r="B622" s="5">
        <v>46237</v>
      </c>
      <c r="C622" s="5">
        <v>46237</v>
      </c>
      <c r="D622" s="30">
        <f t="shared" si="23"/>
        <v>0</v>
      </c>
      <c r="E622" s="5" t="s">
        <v>545</v>
      </c>
      <c r="F622" s="5" t="s">
        <v>604</v>
      </c>
      <c r="G622" s="53" t="s">
        <v>618</v>
      </c>
      <c r="H622" s="2" t="s">
        <v>25</v>
      </c>
      <c r="I622" s="2" t="s">
        <v>554</v>
      </c>
      <c r="J622" s="2" t="s">
        <v>22</v>
      </c>
      <c r="K622" s="2" t="s">
        <v>343</v>
      </c>
      <c r="L622" s="7">
        <v>-7.4053024928171798</v>
      </c>
      <c r="M622" s="80">
        <v>4.6798711636257098</v>
      </c>
    </row>
    <row r="623" spans="1:13">
      <c r="A623" s="24">
        <v>623</v>
      </c>
      <c r="B623" s="5">
        <v>46237</v>
      </c>
      <c r="C623" s="5">
        <v>46238</v>
      </c>
      <c r="D623" s="30">
        <f t="shared" si="23"/>
        <v>1</v>
      </c>
      <c r="E623" s="5" t="s">
        <v>545</v>
      </c>
      <c r="F623" s="5" t="s">
        <v>604</v>
      </c>
      <c r="G623" s="53" t="s">
        <v>618</v>
      </c>
      <c r="H623" s="2" t="s">
        <v>25</v>
      </c>
      <c r="I623" s="2" t="s">
        <v>556</v>
      </c>
      <c r="J623" s="2" t="s">
        <v>22</v>
      </c>
      <c r="K623" s="2" t="s">
        <v>343</v>
      </c>
      <c r="L623" s="7">
        <v>-74.056970209342396</v>
      </c>
      <c r="M623" s="7">
        <v>4.6720045530536796</v>
      </c>
    </row>
    <row r="624" spans="1:13">
      <c r="A624" s="24">
        <v>624</v>
      </c>
      <c r="B624" s="5">
        <v>46237</v>
      </c>
      <c r="C624" s="5">
        <v>46238</v>
      </c>
      <c r="D624" s="30">
        <f t="shared" si="23"/>
        <v>1</v>
      </c>
      <c r="E624" s="5" t="s">
        <v>545</v>
      </c>
      <c r="F624" s="5" t="s">
        <v>604</v>
      </c>
      <c r="G624" s="53" t="s">
        <v>618</v>
      </c>
      <c r="H624" s="2" t="s">
        <v>25</v>
      </c>
      <c r="I624" s="2" t="s">
        <v>557</v>
      </c>
      <c r="J624" s="2" t="s">
        <v>22</v>
      </c>
      <c r="K624" s="2" t="s">
        <v>343</v>
      </c>
      <c r="L624" s="7">
        <v>-74.146110079966704</v>
      </c>
      <c r="M624" s="7">
        <v>4.6722827360732504</v>
      </c>
    </row>
    <row r="625" spans="1:13">
      <c r="A625" s="24">
        <v>625</v>
      </c>
      <c r="B625" s="5">
        <v>46237</v>
      </c>
      <c r="C625" s="5">
        <v>46239</v>
      </c>
      <c r="D625" s="30">
        <f t="shared" si="23"/>
        <v>2</v>
      </c>
      <c r="E625" s="5" t="s">
        <v>545</v>
      </c>
      <c r="F625" s="5" t="s">
        <v>604</v>
      </c>
      <c r="G625" s="53" t="s">
        <v>618</v>
      </c>
      <c r="H625" s="2" t="s">
        <v>25</v>
      </c>
      <c r="I625" s="2" t="s">
        <v>559</v>
      </c>
      <c r="J625" s="2" t="s">
        <v>22</v>
      </c>
      <c r="K625" s="2" t="s">
        <v>343</v>
      </c>
      <c r="L625" s="7">
        <v>-74.143100188734607</v>
      </c>
      <c r="M625" s="7">
        <v>4.6748251457772296</v>
      </c>
    </row>
    <row r="626" spans="1:13">
      <c r="A626" s="24">
        <v>626</v>
      </c>
      <c r="B626" s="5">
        <v>46237</v>
      </c>
      <c r="C626" s="5">
        <v>46238</v>
      </c>
      <c r="D626" s="30">
        <f t="shared" si="23"/>
        <v>1</v>
      </c>
      <c r="E626" s="5" t="s">
        <v>545</v>
      </c>
      <c r="F626" s="5" t="s">
        <v>604</v>
      </c>
      <c r="G626" s="53" t="s">
        <v>605</v>
      </c>
      <c r="H626" s="2" t="s">
        <v>25</v>
      </c>
      <c r="I626" s="2" t="s">
        <v>1163</v>
      </c>
      <c r="J626" s="2" t="s">
        <v>22</v>
      </c>
      <c r="K626" s="2" t="s">
        <v>343</v>
      </c>
      <c r="L626" s="7">
        <v>-74.081970390579997</v>
      </c>
      <c r="M626" s="7">
        <v>4.6080669631118303</v>
      </c>
    </row>
    <row r="627" spans="1:13">
      <c r="A627" s="24">
        <v>627</v>
      </c>
      <c r="B627" s="5">
        <v>46238</v>
      </c>
      <c r="C627" s="5">
        <v>46238</v>
      </c>
      <c r="D627" s="30">
        <f t="shared" si="23"/>
        <v>0</v>
      </c>
      <c r="E627" s="5" t="s">
        <v>545</v>
      </c>
      <c r="F627" s="5" t="s">
        <v>621</v>
      </c>
      <c r="G627" s="53" t="s">
        <v>605</v>
      </c>
      <c r="H627" s="2" t="s">
        <v>25</v>
      </c>
      <c r="I627" s="2" t="s">
        <v>1164</v>
      </c>
      <c r="J627" s="2" t="s">
        <v>560</v>
      </c>
      <c r="K627" s="2" t="s">
        <v>393</v>
      </c>
      <c r="L627" s="7">
        <v>-75.694040992500504</v>
      </c>
      <c r="M627" s="7">
        <v>4.8152209521900797</v>
      </c>
    </row>
    <row r="628" spans="1:13">
      <c r="A628" s="24">
        <v>628</v>
      </c>
      <c r="B628" s="5">
        <v>46238</v>
      </c>
      <c r="C628" s="5">
        <v>46239</v>
      </c>
      <c r="D628" s="30">
        <f t="shared" si="23"/>
        <v>1</v>
      </c>
      <c r="E628" s="5" t="s">
        <v>545</v>
      </c>
      <c r="F628" s="5" t="s">
        <v>621</v>
      </c>
      <c r="G628" s="53" t="s">
        <v>605</v>
      </c>
      <c r="H628" s="2" t="s">
        <v>25</v>
      </c>
      <c r="I628" s="2" t="s">
        <v>810</v>
      </c>
      <c r="J628" s="2" t="s">
        <v>560</v>
      </c>
      <c r="K628" s="2" t="s">
        <v>393</v>
      </c>
      <c r="L628" s="7">
        <v>-75.699121674406896</v>
      </c>
      <c r="M628" s="7">
        <v>4.8137346932553999</v>
      </c>
    </row>
    <row r="629" spans="1:13">
      <c r="A629" s="24">
        <v>629</v>
      </c>
      <c r="B629" s="5">
        <v>46238</v>
      </c>
      <c r="C629" s="5">
        <v>46239</v>
      </c>
      <c r="D629" s="30">
        <f t="shared" si="23"/>
        <v>1</v>
      </c>
      <c r="E629" s="5" t="s">
        <v>545</v>
      </c>
      <c r="F629" s="5" t="s">
        <v>621</v>
      </c>
      <c r="G629" s="53" t="s">
        <v>618</v>
      </c>
      <c r="H629" s="2" t="s">
        <v>25</v>
      </c>
      <c r="I629" s="2" t="s">
        <v>562</v>
      </c>
      <c r="J629" s="2" t="s">
        <v>560</v>
      </c>
      <c r="K629" s="2" t="s">
        <v>393</v>
      </c>
      <c r="L629" s="7">
        <v>-75.688222089128402</v>
      </c>
      <c r="M629" s="7">
        <v>4.8082589374506997</v>
      </c>
    </row>
    <row r="630" spans="1:13">
      <c r="A630" s="24">
        <v>630</v>
      </c>
      <c r="B630" s="5">
        <v>46238</v>
      </c>
      <c r="C630" s="5">
        <v>46239</v>
      </c>
      <c r="D630" s="30">
        <f t="shared" si="23"/>
        <v>1</v>
      </c>
      <c r="E630" s="5" t="s">
        <v>545</v>
      </c>
      <c r="F630" s="5" t="s">
        <v>621</v>
      </c>
      <c r="G630" s="53" t="s">
        <v>605</v>
      </c>
      <c r="H630" s="2" t="s">
        <v>25</v>
      </c>
      <c r="I630" s="2" t="s">
        <v>1165</v>
      </c>
      <c r="J630" s="2" t="s">
        <v>560</v>
      </c>
      <c r="K630" s="2" t="s">
        <v>393</v>
      </c>
      <c r="L630" s="7">
        <v>-75.711405031641405</v>
      </c>
      <c r="M630" s="7">
        <v>4.8169389316597702</v>
      </c>
    </row>
    <row r="631" spans="1:13">
      <c r="A631" s="24">
        <v>631</v>
      </c>
      <c r="B631" s="5">
        <v>46238</v>
      </c>
      <c r="C631" s="5">
        <v>46238</v>
      </c>
      <c r="D631" s="30">
        <f t="shared" si="23"/>
        <v>0</v>
      </c>
      <c r="E631" s="5" t="s">
        <v>545</v>
      </c>
      <c r="F631" s="5" t="s">
        <v>621</v>
      </c>
      <c r="G631" s="53" t="s">
        <v>605</v>
      </c>
      <c r="H631" s="2" t="s">
        <v>25</v>
      </c>
      <c r="I631" s="2" t="s">
        <v>1166</v>
      </c>
      <c r="J631" s="2" t="s">
        <v>709</v>
      </c>
      <c r="K631" s="2" t="s">
        <v>393</v>
      </c>
      <c r="L631" s="7">
        <v>-75.532486094555296</v>
      </c>
      <c r="M631" s="7">
        <v>10.4095032464722</v>
      </c>
    </row>
    <row r="632" spans="1:13">
      <c r="A632" s="24">
        <v>632</v>
      </c>
      <c r="B632" s="5">
        <v>46238</v>
      </c>
      <c r="C632" s="5">
        <v>46238</v>
      </c>
      <c r="D632" s="30">
        <f t="shared" si="23"/>
        <v>0</v>
      </c>
      <c r="E632" s="5" t="s">
        <v>545</v>
      </c>
      <c r="F632" s="5" t="s">
        <v>621</v>
      </c>
      <c r="G632" s="53" t="s">
        <v>605</v>
      </c>
      <c r="H632" s="2" t="s">
        <v>25</v>
      </c>
      <c r="I632" s="2" t="s">
        <v>780</v>
      </c>
      <c r="J632" s="2" t="s">
        <v>709</v>
      </c>
      <c r="K632" s="2" t="s">
        <v>393</v>
      </c>
      <c r="L632" s="7">
        <v>-75.552021677287399</v>
      </c>
      <c r="M632" s="7">
        <v>10.4251391259071</v>
      </c>
    </row>
    <row r="633" spans="1:13">
      <c r="A633" s="24">
        <v>633</v>
      </c>
      <c r="B633" s="5">
        <v>46238</v>
      </c>
      <c r="C633" s="5">
        <v>46238</v>
      </c>
      <c r="D633" s="30">
        <f t="shared" si="23"/>
        <v>0</v>
      </c>
      <c r="E633" s="5" t="s">
        <v>545</v>
      </c>
      <c r="F633" s="5" t="s">
        <v>621</v>
      </c>
      <c r="G633" s="53" t="s">
        <v>605</v>
      </c>
      <c r="H633" s="2" t="s">
        <v>25</v>
      </c>
      <c r="I633" s="2" t="s">
        <v>1167</v>
      </c>
      <c r="J633" s="2" t="s">
        <v>709</v>
      </c>
      <c r="K633" s="2" t="s">
        <v>393</v>
      </c>
      <c r="L633" s="7">
        <v>-75.558268961668702</v>
      </c>
      <c r="M633" s="7">
        <v>10.398795401517701</v>
      </c>
    </row>
    <row r="634" spans="1:13">
      <c r="A634" s="24">
        <v>634</v>
      </c>
      <c r="B634" s="5">
        <v>46238</v>
      </c>
      <c r="C634" s="5">
        <v>46239</v>
      </c>
      <c r="D634" s="30">
        <f t="shared" si="23"/>
        <v>1</v>
      </c>
      <c r="E634" s="5" t="s">
        <v>545</v>
      </c>
      <c r="F634" s="5" t="s">
        <v>621</v>
      </c>
      <c r="G634" s="53" t="s">
        <v>605</v>
      </c>
      <c r="H634" s="2" t="s">
        <v>25</v>
      </c>
      <c r="I634" s="2" t="s">
        <v>1168</v>
      </c>
      <c r="J634" s="2" t="s">
        <v>709</v>
      </c>
      <c r="K634" s="2" t="s">
        <v>393</v>
      </c>
      <c r="L634" s="7">
        <v>-75.550922400790199</v>
      </c>
      <c r="M634" s="7">
        <v>10.408631111009599</v>
      </c>
    </row>
    <row r="635" spans="1:13">
      <c r="A635" s="24">
        <v>635</v>
      </c>
      <c r="B635" s="5">
        <v>46238</v>
      </c>
      <c r="C635" s="5">
        <v>46239</v>
      </c>
      <c r="D635" s="30">
        <f t="shared" si="23"/>
        <v>1</v>
      </c>
      <c r="E635" s="5" t="s">
        <v>545</v>
      </c>
      <c r="F635" s="5" t="s">
        <v>621</v>
      </c>
      <c r="G635" s="53" t="s">
        <v>605</v>
      </c>
      <c r="H635" s="2" t="s">
        <v>25</v>
      </c>
      <c r="I635" s="2" t="s">
        <v>1169</v>
      </c>
      <c r="J635" s="2" t="s">
        <v>709</v>
      </c>
      <c r="K635" s="2" t="s">
        <v>393</v>
      </c>
      <c r="L635" s="7">
        <v>-75.5454969281069</v>
      </c>
      <c r="M635" s="7">
        <v>10.422198376920999</v>
      </c>
    </row>
    <row r="636" spans="1:13">
      <c r="A636" s="24">
        <v>636</v>
      </c>
      <c r="B636" s="5">
        <v>46238</v>
      </c>
      <c r="C636" s="5">
        <v>46239</v>
      </c>
      <c r="D636" s="30">
        <f t="shared" si="23"/>
        <v>1</v>
      </c>
      <c r="E636" s="5" t="s">
        <v>545</v>
      </c>
      <c r="F636" s="5" t="s">
        <v>621</v>
      </c>
      <c r="G636" s="53" t="s">
        <v>605</v>
      </c>
      <c r="H636" s="2" t="s">
        <v>25</v>
      </c>
      <c r="I636" s="2" t="s">
        <v>1170</v>
      </c>
      <c r="J636" s="2" t="s">
        <v>709</v>
      </c>
      <c r="K636" s="2" t="s">
        <v>393</v>
      </c>
      <c r="L636" s="7">
        <v>-75.547187839279005</v>
      </c>
      <c r="M636" s="80">
        <v>10.4249472896659</v>
      </c>
    </row>
    <row r="637" spans="1:13">
      <c r="A637" s="24">
        <v>637</v>
      </c>
      <c r="B637" s="5">
        <v>46237</v>
      </c>
      <c r="C637" s="5">
        <v>46238</v>
      </c>
      <c r="D637" s="83">
        <f t="shared" si="23"/>
        <v>1</v>
      </c>
      <c r="E637" s="5" t="s">
        <v>567</v>
      </c>
      <c r="F637" s="5" t="s">
        <v>621</v>
      </c>
      <c r="G637" s="53" t="s">
        <v>605</v>
      </c>
      <c r="H637" s="2" t="s">
        <v>25</v>
      </c>
      <c r="I637" s="2" t="s">
        <v>1171</v>
      </c>
      <c r="J637" s="2" t="s">
        <v>117</v>
      </c>
      <c r="K637" s="2" t="s">
        <v>874</v>
      </c>
      <c r="L637" s="7">
        <v>-75.571179438990498</v>
      </c>
      <c r="M637" s="7">
        <v>6.20384694342534</v>
      </c>
    </row>
    <row r="638" spans="1:13">
      <c r="A638" s="24">
        <v>638</v>
      </c>
      <c r="B638" s="5">
        <v>46237</v>
      </c>
      <c r="C638" s="5">
        <v>46238</v>
      </c>
      <c r="D638" s="83">
        <f t="shared" si="23"/>
        <v>1</v>
      </c>
      <c r="E638" s="5" t="s">
        <v>567</v>
      </c>
      <c r="F638" s="5" t="s">
        <v>621</v>
      </c>
      <c r="G638" s="53" t="s">
        <v>605</v>
      </c>
      <c r="H638" s="2" t="s">
        <v>25</v>
      </c>
      <c r="I638" s="2" t="s">
        <v>1172</v>
      </c>
      <c r="J638" s="2" t="s">
        <v>117</v>
      </c>
      <c r="K638" s="2" t="s">
        <v>874</v>
      </c>
      <c r="L638" s="7">
        <v>-75.587888334624395</v>
      </c>
      <c r="M638" s="7">
        <v>6.17113623670748</v>
      </c>
    </row>
    <row r="639" spans="1:13">
      <c r="A639" s="24">
        <v>639</v>
      </c>
      <c r="B639" s="5">
        <v>46237</v>
      </c>
      <c r="C639" s="5">
        <v>46238</v>
      </c>
      <c r="D639" s="83">
        <f t="shared" si="23"/>
        <v>1</v>
      </c>
      <c r="E639" s="5" t="s">
        <v>567</v>
      </c>
      <c r="F639" s="5" t="s">
        <v>621</v>
      </c>
      <c r="G639" s="53" t="s">
        <v>605</v>
      </c>
      <c r="H639" s="2" t="s">
        <v>25</v>
      </c>
      <c r="I639" s="2" t="s">
        <v>1173</v>
      </c>
      <c r="J639" s="2" t="s">
        <v>117</v>
      </c>
      <c r="K639" s="2" t="s">
        <v>874</v>
      </c>
      <c r="L639" s="7">
        <v>-75.569057337596703</v>
      </c>
      <c r="M639" s="7">
        <v>6.2102424513928396</v>
      </c>
    </row>
    <row r="640" spans="1:13">
      <c r="A640" s="24">
        <v>639</v>
      </c>
      <c r="B640" s="5">
        <v>46239</v>
      </c>
      <c r="C640" s="5">
        <v>46240</v>
      </c>
      <c r="D640" s="83">
        <f>C640-B640</f>
        <v>1</v>
      </c>
      <c r="E640" s="5" t="s">
        <v>545</v>
      </c>
      <c r="F640" s="5" t="s">
        <v>621</v>
      </c>
      <c r="G640" s="53" t="s">
        <v>618</v>
      </c>
      <c r="H640" s="2" t="s">
        <v>25</v>
      </c>
      <c r="I640" s="2" t="s">
        <v>566</v>
      </c>
      <c r="J640" s="2" t="s">
        <v>22</v>
      </c>
      <c r="K640" s="2" t="s">
        <v>325</v>
      </c>
      <c r="L640" s="7">
        <v>-74.066164968100793</v>
      </c>
      <c r="M640" s="7">
        <v>4.6911353475421196</v>
      </c>
    </row>
    <row r="641" spans="1:14">
      <c r="A641" s="24">
        <v>640</v>
      </c>
      <c r="B641" s="5">
        <v>46238</v>
      </c>
      <c r="C641" s="5">
        <v>46238</v>
      </c>
      <c r="D641" s="81" t="s">
        <v>577</v>
      </c>
      <c r="E641" s="5" t="s">
        <v>567</v>
      </c>
      <c r="F641" s="5" t="s">
        <v>621</v>
      </c>
      <c r="G641" s="53" t="s">
        <v>618</v>
      </c>
      <c r="H641" s="2" t="s">
        <v>25</v>
      </c>
      <c r="I641" s="2" t="s">
        <v>579</v>
      </c>
      <c r="J641" s="2" t="s">
        <v>22</v>
      </c>
      <c r="K641" s="2" t="s">
        <v>569</v>
      </c>
      <c r="L641" s="7">
        <v>-74.106449683355294</v>
      </c>
      <c r="M641" s="7">
        <v>4.6711296365333004</v>
      </c>
    </row>
    <row r="642" spans="1:14">
      <c r="A642" s="24">
        <v>640.70000000000005</v>
      </c>
      <c r="B642" s="5">
        <v>46238</v>
      </c>
      <c r="C642" s="5">
        <v>46239</v>
      </c>
      <c r="D642" s="83">
        <f>C642-B642</f>
        <v>1</v>
      </c>
      <c r="E642" s="5" t="s">
        <v>567</v>
      </c>
      <c r="F642" s="5" t="s">
        <v>621</v>
      </c>
      <c r="G642" s="53" t="s">
        <v>618</v>
      </c>
      <c r="H642" s="2" t="s">
        <v>25</v>
      </c>
      <c r="I642" s="2" t="s">
        <v>581</v>
      </c>
      <c r="J642" s="2" t="s">
        <v>22</v>
      </c>
      <c r="K642" s="2" t="s">
        <v>569</v>
      </c>
      <c r="L642" s="7">
        <v>-74.028370322132702</v>
      </c>
      <c r="M642" s="7">
        <v>4.7352936613691998</v>
      </c>
    </row>
    <row r="643" spans="1:14">
      <c r="A643" s="24">
        <v>641.20000000000005</v>
      </c>
      <c r="B643" s="5">
        <v>46239</v>
      </c>
      <c r="C643" s="5">
        <v>46244</v>
      </c>
      <c r="D643" s="83">
        <v>5</v>
      </c>
      <c r="E643" s="5" t="s">
        <v>567</v>
      </c>
      <c r="F643" s="5" t="s">
        <v>621</v>
      </c>
      <c r="G643" s="53" t="s">
        <v>605</v>
      </c>
      <c r="H643" s="2" t="s">
        <v>25</v>
      </c>
      <c r="I643" s="2" t="s">
        <v>1174</v>
      </c>
      <c r="J643" s="2" t="s">
        <v>1175</v>
      </c>
      <c r="K643" s="2" t="s">
        <v>569</v>
      </c>
      <c r="L643" s="7">
        <v>-73.523271404271995</v>
      </c>
      <c r="M643" s="7">
        <v>5.6346437060502801</v>
      </c>
    </row>
    <row r="644" spans="1:14">
      <c r="A644" s="24">
        <v>641.80999999999995</v>
      </c>
      <c r="B644" s="5">
        <v>46239</v>
      </c>
      <c r="C644" s="5">
        <v>46244</v>
      </c>
      <c r="D644" s="83">
        <v>5</v>
      </c>
      <c r="E644" s="5" t="s">
        <v>567</v>
      </c>
      <c r="F644" s="5" t="s">
        <v>621</v>
      </c>
      <c r="G644" s="53" t="s">
        <v>605</v>
      </c>
      <c r="H644" s="2" t="s">
        <v>25</v>
      </c>
      <c r="I644" s="2" t="s">
        <v>1176</v>
      </c>
      <c r="J644" s="2" t="s">
        <v>843</v>
      </c>
      <c r="K644" s="2" t="s">
        <v>569</v>
      </c>
      <c r="L644" s="7">
        <v>-75.176977940271598</v>
      </c>
      <c r="M644" s="7">
        <v>4.4324299430570901</v>
      </c>
    </row>
    <row r="645" spans="1:14">
      <c r="A645" s="24">
        <v>643</v>
      </c>
      <c r="B645" s="5">
        <v>46239</v>
      </c>
      <c r="C645" s="5">
        <v>46244</v>
      </c>
      <c r="D645" s="83">
        <v>5</v>
      </c>
      <c r="E645" s="5" t="s">
        <v>567</v>
      </c>
      <c r="F645" s="5" t="s">
        <v>604</v>
      </c>
      <c r="G645" s="53" t="s">
        <v>605</v>
      </c>
      <c r="H645" s="2" t="s">
        <v>25</v>
      </c>
      <c r="I645" s="2" t="s">
        <v>1177</v>
      </c>
      <c r="J645" s="2" t="s">
        <v>709</v>
      </c>
      <c r="K645" s="2" t="s">
        <v>584</v>
      </c>
      <c r="L645" s="7">
        <v>-75.540795098150596</v>
      </c>
      <c r="M645" s="7">
        <v>10.4248201037071</v>
      </c>
    </row>
    <row r="646" spans="1:14">
      <c r="A646" s="24">
        <v>644</v>
      </c>
      <c r="B646" s="5">
        <v>46239</v>
      </c>
      <c r="C646" s="5">
        <v>46244</v>
      </c>
      <c r="D646" s="83">
        <v>5</v>
      </c>
      <c r="E646" s="5" t="s">
        <v>567</v>
      </c>
      <c r="F646" s="5" t="s">
        <v>604</v>
      </c>
      <c r="G646" s="53" t="s">
        <v>605</v>
      </c>
      <c r="H646" s="2" t="s">
        <v>25</v>
      </c>
      <c r="I646" s="2" t="s">
        <v>1178</v>
      </c>
      <c r="J646" s="2" t="s">
        <v>1179</v>
      </c>
      <c r="K646" s="2" t="s">
        <v>584</v>
      </c>
      <c r="L646" s="7">
        <v>-75.490422723626907</v>
      </c>
      <c r="M646" s="7">
        <v>5.0663476772751599</v>
      </c>
    </row>
    <row r="647" spans="1:14">
      <c r="A647" s="24">
        <v>645</v>
      </c>
      <c r="B647" s="5">
        <v>46239</v>
      </c>
      <c r="C647" s="5">
        <v>46244</v>
      </c>
      <c r="D647" s="83">
        <v>5</v>
      </c>
      <c r="E647" s="5" t="s">
        <v>567</v>
      </c>
      <c r="F647" s="5" t="s">
        <v>604</v>
      </c>
      <c r="G647" s="53" t="s">
        <v>618</v>
      </c>
      <c r="H647" s="2" t="s">
        <v>25</v>
      </c>
      <c r="I647" s="2" t="s">
        <v>583</v>
      </c>
      <c r="J647" s="2" t="s">
        <v>22</v>
      </c>
      <c r="K647" s="2" t="s">
        <v>584</v>
      </c>
      <c r="L647" s="7">
        <v>-74.119741277599303</v>
      </c>
      <c r="M647" s="7">
        <v>4.6853287623087798</v>
      </c>
    </row>
    <row r="648" spans="1:14">
      <c r="A648" s="24">
        <v>646</v>
      </c>
      <c r="B648" s="5">
        <v>46239</v>
      </c>
      <c r="C648" s="5">
        <v>46244</v>
      </c>
      <c r="D648" s="83">
        <v>5</v>
      </c>
      <c r="E648" s="5" t="s">
        <v>567</v>
      </c>
      <c r="F648" s="5" t="s">
        <v>604</v>
      </c>
      <c r="G648" s="53" t="s">
        <v>605</v>
      </c>
      <c r="H648" s="2" t="s">
        <v>25</v>
      </c>
      <c r="I648" s="2" t="s">
        <v>1180</v>
      </c>
      <c r="J648" s="2" t="s">
        <v>117</v>
      </c>
      <c r="K648" s="2" t="s">
        <v>584</v>
      </c>
      <c r="L648" s="7">
        <v>-75.559260297942799</v>
      </c>
      <c r="M648" s="7">
        <v>6.2193935437675103</v>
      </c>
    </row>
    <row r="649" spans="1:14">
      <c r="A649" s="24">
        <v>647</v>
      </c>
      <c r="B649" s="5">
        <v>46239</v>
      </c>
      <c r="C649" s="5">
        <v>46245</v>
      </c>
      <c r="D649" s="83">
        <f>C649-B649</f>
        <v>6</v>
      </c>
      <c r="E649" s="5" t="s">
        <v>567</v>
      </c>
      <c r="F649" s="5" t="s">
        <v>604</v>
      </c>
      <c r="G649" s="53" t="s">
        <v>605</v>
      </c>
      <c r="H649" s="2" t="s">
        <v>25</v>
      </c>
      <c r="I649" s="2" t="s">
        <v>1181</v>
      </c>
      <c r="J649" s="2" t="s">
        <v>709</v>
      </c>
      <c r="K649" s="2" t="s">
        <v>584</v>
      </c>
      <c r="L649" s="7" t="s">
        <v>171</v>
      </c>
      <c r="M649" s="7" t="s">
        <v>171</v>
      </c>
      <c r="N649" s="51" t="s">
        <v>1182</v>
      </c>
    </row>
    <row r="650" spans="1:14">
      <c r="A650" s="24">
        <v>648</v>
      </c>
      <c r="B650" s="5">
        <v>46244</v>
      </c>
      <c r="C650" s="5">
        <v>46245</v>
      </c>
      <c r="D650" s="83">
        <f>C650-B650</f>
        <v>1</v>
      </c>
      <c r="E650" s="5" t="s">
        <v>567</v>
      </c>
      <c r="F650" s="5" t="s">
        <v>621</v>
      </c>
      <c r="G650" s="53" t="s">
        <v>605</v>
      </c>
      <c r="H650" s="2" t="s">
        <v>25</v>
      </c>
      <c r="I650" s="2" t="s">
        <v>1183</v>
      </c>
      <c r="J650" s="2" t="s">
        <v>117</v>
      </c>
      <c r="K650" s="2" t="s">
        <v>874</v>
      </c>
      <c r="L650" s="7">
        <v>-75.572205151216195</v>
      </c>
      <c r="M650" s="7">
        <v>6.2051945748554198</v>
      </c>
    </row>
    <row r="651" spans="1:14">
      <c r="A651" s="24">
        <v>649</v>
      </c>
      <c r="B651" s="5">
        <v>46244</v>
      </c>
      <c r="C651" s="5">
        <v>46245</v>
      </c>
      <c r="D651" s="83">
        <f>C651-B651</f>
        <v>1</v>
      </c>
      <c r="E651" s="5" t="s">
        <v>567</v>
      </c>
      <c r="F651" s="5" t="s">
        <v>621</v>
      </c>
      <c r="G651" s="53" t="s">
        <v>605</v>
      </c>
      <c r="H651" s="2" t="s">
        <v>25</v>
      </c>
      <c r="I651" s="2" t="s">
        <v>1184</v>
      </c>
      <c r="J651" s="2" t="s">
        <v>117</v>
      </c>
      <c r="K651" s="2" t="s">
        <v>874</v>
      </c>
      <c r="L651" s="7">
        <v>-75.600801742328699</v>
      </c>
      <c r="M651" s="7">
        <v>6.2514580178665797</v>
      </c>
    </row>
    <row r="652" spans="1:14">
      <c r="A652" s="24">
        <v>650</v>
      </c>
      <c r="B652" s="5">
        <v>46244</v>
      </c>
      <c r="C652" s="5">
        <v>46245</v>
      </c>
      <c r="D652" s="83">
        <f>C652-B652</f>
        <v>1</v>
      </c>
      <c r="E652" s="5" t="s">
        <v>567</v>
      </c>
      <c r="F652" s="5" t="s">
        <v>621</v>
      </c>
      <c r="G652" s="53" t="s">
        <v>605</v>
      </c>
      <c r="H652" s="2" t="s">
        <v>25</v>
      </c>
      <c r="I652" s="2" t="s">
        <v>1185</v>
      </c>
      <c r="J652" s="2" t="s">
        <v>117</v>
      </c>
      <c r="K652" s="2" t="s">
        <v>874</v>
      </c>
      <c r="L652" s="7">
        <v>-75.584935184710204</v>
      </c>
      <c r="M652" s="7">
        <v>6.2035911192600404</v>
      </c>
    </row>
    <row r="653" spans="1:14">
      <c r="A653" s="24">
        <v>651</v>
      </c>
      <c r="B653" s="5">
        <v>46245</v>
      </c>
      <c r="C653" s="5">
        <v>46245</v>
      </c>
      <c r="D653" s="30">
        <f t="shared" ref="D653" si="24">C653-B653</f>
        <v>0</v>
      </c>
      <c r="E653" s="5" t="s">
        <v>567</v>
      </c>
      <c r="F653" s="5" t="s">
        <v>621</v>
      </c>
      <c r="G653" s="53" t="s">
        <v>605</v>
      </c>
      <c r="H653" s="2" t="s">
        <v>25</v>
      </c>
      <c r="I653" s="2" t="s">
        <v>1186</v>
      </c>
      <c r="J653" s="2" t="s">
        <v>1175</v>
      </c>
      <c r="K653" s="2" t="s">
        <v>569</v>
      </c>
      <c r="L653" s="7">
        <v>-73.523955798775503</v>
      </c>
      <c r="M653" s="7">
        <v>5.6388043654255897</v>
      </c>
    </row>
    <row r="654" spans="1:14">
      <c r="A654" s="24">
        <v>652</v>
      </c>
      <c r="B654" s="5">
        <v>46245</v>
      </c>
      <c r="C654" s="5">
        <v>46245</v>
      </c>
      <c r="D654" s="30">
        <f t="shared" ref="D654" si="25">C654-B654</f>
        <v>0</v>
      </c>
      <c r="E654" s="5" t="s">
        <v>567</v>
      </c>
      <c r="F654" s="5" t="s">
        <v>621</v>
      </c>
      <c r="G654" s="53" t="s">
        <v>605</v>
      </c>
      <c r="H654" s="2" t="s">
        <v>25</v>
      </c>
      <c r="I654" s="2" t="s">
        <v>1187</v>
      </c>
      <c r="J654" s="2" t="s">
        <v>1175</v>
      </c>
      <c r="K654" s="2" t="s">
        <v>569</v>
      </c>
      <c r="L654" s="7">
        <v>-73.525830443256297</v>
      </c>
      <c r="M654" s="7">
        <v>5.6338486376069703</v>
      </c>
    </row>
    <row r="655" spans="1:14">
      <c r="A655" s="24">
        <v>653</v>
      </c>
      <c r="B655" s="5">
        <v>46245</v>
      </c>
      <c r="C655" s="5">
        <v>46246</v>
      </c>
      <c r="D655" s="83">
        <f t="shared" ref="D655:D665" si="26">C655-B655</f>
        <v>1</v>
      </c>
      <c r="E655" s="5" t="s">
        <v>567</v>
      </c>
      <c r="F655" s="5" t="s">
        <v>621</v>
      </c>
      <c r="G655" s="53" t="s">
        <v>834</v>
      </c>
      <c r="H655" s="2" t="s">
        <v>25</v>
      </c>
      <c r="I655" s="2" t="s">
        <v>586</v>
      </c>
      <c r="J655" s="2" t="s">
        <v>22</v>
      </c>
      <c r="K655" s="2" t="s">
        <v>569</v>
      </c>
      <c r="L655" s="7">
        <v>-74.064033548185805</v>
      </c>
      <c r="M655" s="7">
        <v>4.6885869920992498</v>
      </c>
    </row>
    <row r="656" spans="1:14">
      <c r="A656" s="24">
        <v>654</v>
      </c>
      <c r="B656" s="5">
        <v>46244</v>
      </c>
      <c r="C656" s="5">
        <v>46244</v>
      </c>
      <c r="D656" s="82">
        <f t="shared" si="26"/>
        <v>0</v>
      </c>
      <c r="E656" s="5" t="s">
        <v>545</v>
      </c>
      <c r="F656" s="5" t="s">
        <v>621</v>
      </c>
      <c r="G656" s="53" t="s">
        <v>605</v>
      </c>
      <c r="H656" s="2" t="s">
        <v>25</v>
      </c>
      <c r="I656" s="2" t="s">
        <v>1188</v>
      </c>
      <c r="J656" s="2" t="s">
        <v>22</v>
      </c>
      <c r="K656" s="2" t="s">
        <v>325</v>
      </c>
    </row>
    <row r="657" spans="1:13">
      <c r="A657" s="24">
        <v>655</v>
      </c>
      <c r="B657" s="5">
        <v>46244</v>
      </c>
      <c r="C657" s="5">
        <v>46244</v>
      </c>
      <c r="D657" s="82">
        <f t="shared" si="26"/>
        <v>0</v>
      </c>
      <c r="E657" s="5" t="s">
        <v>545</v>
      </c>
      <c r="F657" s="5" t="s">
        <v>621</v>
      </c>
      <c r="G657" s="53" t="s">
        <v>618</v>
      </c>
      <c r="H657" s="2" t="s">
        <v>25</v>
      </c>
      <c r="I657" s="2" t="s">
        <v>565</v>
      </c>
      <c r="J657" s="2" t="s">
        <v>22</v>
      </c>
      <c r="K657" s="2" t="s">
        <v>325</v>
      </c>
    </row>
    <row r="658" spans="1:13">
      <c r="A658" s="24">
        <v>656</v>
      </c>
      <c r="B658" s="5">
        <v>46244</v>
      </c>
      <c r="C658" s="5">
        <v>46245</v>
      </c>
      <c r="D658" s="82">
        <f t="shared" si="26"/>
        <v>1</v>
      </c>
      <c r="E658" s="5" t="s">
        <v>545</v>
      </c>
      <c r="F658" s="5" t="s">
        <v>621</v>
      </c>
      <c r="H658" s="2" t="s">
        <v>25</v>
      </c>
      <c r="I658" s="2" t="s">
        <v>1189</v>
      </c>
      <c r="J658" s="2" t="s">
        <v>22</v>
      </c>
      <c r="K658" s="2" t="s">
        <v>325</v>
      </c>
    </row>
    <row r="659" spans="1:13">
      <c r="A659" s="24">
        <v>657</v>
      </c>
      <c r="B659" s="5">
        <v>46244</v>
      </c>
      <c r="C659" s="5">
        <v>46245</v>
      </c>
      <c r="D659" s="82">
        <f t="shared" si="26"/>
        <v>1</v>
      </c>
      <c r="E659" s="5" t="s">
        <v>545</v>
      </c>
      <c r="F659" s="5" t="s">
        <v>621</v>
      </c>
      <c r="G659" s="53" t="s">
        <v>605</v>
      </c>
      <c r="H659" s="2" t="s">
        <v>25</v>
      </c>
      <c r="I659" s="2" t="s">
        <v>1190</v>
      </c>
      <c r="J659" s="2" t="s">
        <v>22</v>
      </c>
      <c r="K659" s="2" t="s">
        <v>325</v>
      </c>
    </row>
    <row r="660" spans="1:13">
      <c r="A660" s="24">
        <v>658</v>
      </c>
      <c r="B660" s="5">
        <v>46244</v>
      </c>
      <c r="C660" s="5">
        <v>46245</v>
      </c>
      <c r="D660" s="82">
        <f t="shared" si="26"/>
        <v>1</v>
      </c>
      <c r="E660" s="5" t="s">
        <v>545</v>
      </c>
      <c r="F660" s="5" t="s">
        <v>621</v>
      </c>
      <c r="G660" s="53" t="s">
        <v>605</v>
      </c>
      <c r="H660" s="2" t="s">
        <v>25</v>
      </c>
      <c r="I660" s="2" t="s">
        <v>655</v>
      </c>
      <c r="J660" s="2" t="s">
        <v>22</v>
      </c>
      <c r="K660" s="2" t="s">
        <v>325</v>
      </c>
    </row>
    <row r="661" spans="1:13">
      <c r="A661" s="24">
        <v>659</v>
      </c>
      <c r="B661" s="5">
        <v>46244</v>
      </c>
      <c r="C661" s="5">
        <v>46245</v>
      </c>
      <c r="D661" s="82">
        <f t="shared" si="26"/>
        <v>1</v>
      </c>
      <c r="E661" s="5" t="s">
        <v>545</v>
      </c>
      <c r="F661" s="5" t="s">
        <v>621</v>
      </c>
      <c r="G661" s="53" t="s">
        <v>605</v>
      </c>
      <c r="H661" s="2" t="s">
        <v>25</v>
      </c>
      <c r="I661" s="2" t="s">
        <v>1191</v>
      </c>
      <c r="J661" s="2" t="s">
        <v>657</v>
      </c>
      <c r="K661" s="2" t="s">
        <v>325</v>
      </c>
    </row>
    <row r="662" spans="1:13">
      <c r="A662" s="24">
        <v>660</v>
      </c>
      <c r="B662" s="5">
        <v>46244</v>
      </c>
      <c r="C662" s="5">
        <v>46245</v>
      </c>
      <c r="D662" s="82">
        <f t="shared" si="26"/>
        <v>1</v>
      </c>
      <c r="E662" s="5" t="s">
        <v>545</v>
      </c>
      <c r="F662" s="5" t="s">
        <v>621</v>
      </c>
      <c r="G662" s="53" t="s">
        <v>605</v>
      </c>
      <c r="H662" s="2" t="s">
        <v>25</v>
      </c>
      <c r="I662" s="2" t="s">
        <v>1192</v>
      </c>
      <c r="J662" s="2" t="s">
        <v>657</v>
      </c>
      <c r="K662" s="2" t="s">
        <v>325</v>
      </c>
    </row>
    <row r="663" spans="1:13">
      <c r="A663" s="24">
        <v>661</v>
      </c>
      <c r="B663" s="5">
        <v>46245</v>
      </c>
      <c r="C663" s="5">
        <v>46246</v>
      </c>
      <c r="D663" s="82">
        <f t="shared" si="26"/>
        <v>1</v>
      </c>
      <c r="E663" s="5" t="s">
        <v>567</v>
      </c>
      <c r="F663" s="5" t="s">
        <v>621</v>
      </c>
      <c r="G663" s="53" t="s">
        <v>618</v>
      </c>
      <c r="H663" s="2" t="s">
        <v>25</v>
      </c>
      <c r="I663" s="2" t="s">
        <v>588</v>
      </c>
      <c r="J663" s="2" t="s">
        <v>22</v>
      </c>
      <c r="K663" s="2" t="s">
        <v>80</v>
      </c>
      <c r="L663" s="7">
        <v>-74.100561957671204</v>
      </c>
      <c r="M663" s="7">
        <v>4.5978197390696796</v>
      </c>
    </row>
    <row r="664" spans="1:13">
      <c r="A664" s="24">
        <v>662</v>
      </c>
      <c r="B664" s="5">
        <v>46245</v>
      </c>
      <c r="C664" s="5">
        <v>46246</v>
      </c>
      <c r="D664" s="82">
        <f t="shared" ref="D664" si="27">C664-B664</f>
        <v>1</v>
      </c>
      <c r="E664" s="5" t="s">
        <v>567</v>
      </c>
      <c r="F664" s="5" t="s">
        <v>621</v>
      </c>
      <c r="G664" s="53" t="s">
        <v>618</v>
      </c>
      <c r="H664" s="2" t="s">
        <v>25</v>
      </c>
      <c r="I664" s="2" t="s">
        <v>589</v>
      </c>
      <c r="J664" s="2" t="s">
        <v>22</v>
      </c>
      <c r="K664" s="2" t="s">
        <v>80</v>
      </c>
      <c r="L664" s="7">
        <v>-74.069683026986795</v>
      </c>
      <c r="M664" s="7">
        <v>4.6109795351958702</v>
      </c>
    </row>
    <row r="665" spans="1:13">
      <c r="A665" s="24">
        <v>663</v>
      </c>
      <c r="B665" s="5">
        <v>46247</v>
      </c>
      <c r="C665" s="5">
        <v>46247</v>
      </c>
      <c r="D665" s="82">
        <f t="shared" si="26"/>
        <v>0</v>
      </c>
      <c r="E665" s="5" t="s">
        <v>567</v>
      </c>
      <c r="F665" s="5" t="s">
        <v>621</v>
      </c>
      <c r="G665" s="53" t="s">
        <v>605</v>
      </c>
      <c r="H665" s="2" t="s">
        <v>25</v>
      </c>
      <c r="I665" s="2" t="s">
        <v>1193</v>
      </c>
      <c r="J665" s="2" t="s">
        <v>117</v>
      </c>
      <c r="K665" s="2" t="s">
        <v>874</v>
      </c>
      <c r="L665" s="7">
        <v>-75.595632795852097</v>
      </c>
      <c r="M665" s="7">
        <v>6.2470423240361797</v>
      </c>
    </row>
    <row r="666" spans="1:13">
      <c r="A666" s="24">
        <v>664</v>
      </c>
      <c r="B666" s="5">
        <v>46247</v>
      </c>
      <c r="C666" s="5">
        <v>46247</v>
      </c>
      <c r="D666" s="82">
        <f t="shared" ref="D666" si="28">C666-B666</f>
        <v>0</v>
      </c>
      <c r="E666" s="5" t="s">
        <v>567</v>
      </c>
      <c r="F666" s="5" t="s">
        <v>621</v>
      </c>
      <c r="G666" s="53" t="s">
        <v>605</v>
      </c>
      <c r="H666" s="2" t="s">
        <v>25</v>
      </c>
      <c r="I666" s="2" t="s">
        <v>1194</v>
      </c>
      <c r="J666" s="2" t="s">
        <v>117</v>
      </c>
      <c r="K666" s="2" t="s">
        <v>874</v>
      </c>
      <c r="L666" s="7">
        <v>-75.610502395544103</v>
      </c>
      <c r="M666" s="7">
        <v>6.1547368265312299</v>
      </c>
    </row>
    <row r="667" spans="1:13">
      <c r="A667" s="24">
        <v>665</v>
      </c>
      <c r="B667" s="5">
        <v>46247</v>
      </c>
      <c r="C667" s="5">
        <v>46247</v>
      </c>
      <c r="D667" s="82">
        <f t="shared" ref="D667:D671" si="29">C667-B667</f>
        <v>0</v>
      </c>
      <c r="E667" s="5" t="s">
        <v>567</v>
      </c>
      <c r="F667" s="5" t="s">
        <v>621</v>
      </c>
      <c r="G667" s="53" t="s">
        <v>605</v>
      </c>
      <c r="H667" s="2" t="s">
        <v>25</v>
      </c>
      <c r="I667" s="2" t="s">
        <v>1195</v>
      </c>
      <c r="J667" s="2" t="s">
        <v>117</v>
      </c>
      <c r="K667" s="2" t="s">
        <v>874</v>
      </c>
      <c r="L667" s="7">
        <v>-75.565638603831303</v>
      </c>
      <c r="M667" s="7">
        <v>6.2076968628607503</v>
      </c>
    </row>
    <row r="668" spans="1:13">
      <c r="A668" s="24">
        <v>666</v>
      </c>
      <c r="B668" s="5">
        <v>46247</v>
      </c>
      <c r="C668" s="5">
        <v>46247</v>
      </c>
      <c r="D668" s="82">
        <f t="shared" si="29"/>
        <v>0</v>
      </c>
      <c r="E668" s="5" t="s">
        <v>567</v>
      </c>
      <c r="F668" s="5" t="s">
        <v>621</v>
      </c>
      <c r="G668" s="53" t="s">
        <v>605</v>
      </c>
      <c r="H668" s="2" t="s">
        <v>25</v>
      </c>
      <c r="I668" s="2" t="s">
        <v>1196</v>
      </c>
      <c r="J668" s="2" t="s">
        <v>117</v>
      </c>
      <c r="K668" s="2" t="s">
        <v>874</v>
      </c>
      <c r="L668" s="7">
        <v>-75.621834510922497</v>
      </c>
      <c r="M668" s="7">
        <v>6.2495140506007001</v>
      </c>
    </row>
    <row r="669" spans="1:13">
      <c r="A669" s="24">
        <v>667</v>
      </c>
      <c r="B669" s="5">
        <v>46247</v>
      </c>
      <c r="C669" s="5">
        <v>46247</v>
      </c>
      <c r="D669" s="82">
        <f t="shared" si="29"/>
        <v>0</v>
      </c>
      <c r="E669" s="5" t="s">
        <v>567</v>
      </c>
      <c r="F669" s="5" t="s">
        <v>621</v>
      </c>
      <c r="G669" s="53" t="s">
        <v>605</v>
      </c>
      <c r="H669" s="2" t="s">
        <v>25</v>
      </c>
      <c r="I669" s="2" t="s">
        <v>1197</v>
      </c>
      <c r="J669" s="2" t="s">
        <v>22</v>
      </c>
      <c r="K669" s="2" t="s">
        <v>569</v>
      </c>
      <c r="L669" s="7">
        <v>-74.096996086506806</v>
      </c>
      <c r="M669" s="7">
        <v>4.5818996511631198</v>
      </c>
    </row>
    <row r="670" spans="1:13">
      <c r="A670" s="24">
        <v>668</v>
      </c>
      <c r="B670" s="5">
        <v>46252</v>
      </c>
      <c r="C670" s="5">
        <v>46252</v>
      </c>
      <c r="D670" s="82">
        <f t="shared" si="29"/>
        <v>0</v>
      </c>
      <c r="E670" s="5" t="s">
        <v>567</v>
      </c>
      <c r="F670" s="5" t="s">
        <v>621</v>
      </c>
      <c r="G670" s="53" t="s">
        <v>605</v>
      </c>
      <c r="H670" s="2" t="s">
        <v>25</v>
      </c>
      <c r="I670" s="2" t="s">
        <v>1198</v>
      </c>
      <c r="J670" s="2" t="s">
        <v>117</v>
      </c>
      <c r="K670" s="2" t="s">
        <v>874</v>
      </c>
      <c r="L670" s="7">
        <v>-75.596960110397404</v>
      </c>
      <c r="M670" s="7">
        <v>6.2316836904892297</v>
      </c>
    </row>
    <row r="671" spans="1:13">
      <c r="A671" s="24">
        <v>669</v>
      </c>
      <c r="B671" s="5">
        <v>46252</v>
      </c>
      <c r="C671" s="5">
        <v>46253</v>
      </c>
      <c r="D671" s="82">
        <f t="shared" si="29"/>
        <v>1</v>
      </c>
      <c r="E671" s="5" t="s">
        <v>567</v>
      </c>
      <c r="F671" s="5" t="s">
        <v>621</v>
      </c>
      <c r="G671" s="53" t="s">
        <v>834</v>
      </c>
      <c r="H671" s="2" t="s">
        <v>25</v>
      </c>
      <c r="I671" s="2" t="s">
        <v>484</v>
      </c>
      <c r="J671" s="2" t="s">
        <v>22</v>
      </c>
      <c r="K671" s="2" t="s">
        <v>38</v>
      </c>
      <c r="L671" s="7">
        <v>-74.0860187237177</v>
      </c>
      <c r="M671" s="7">
        <v>4.7386558317575496</v>
      </c>
    </row>
    <row r="672" spans="1:13">
      <c r="A672" s="24">
        <v>670</v>
      </c>
      <c r="B672" s="5">
        <v>46252</v>
      </c>
      <c r="C672" s="5">
        <v>46253</v>
      </c>
      <c r="D672" s="82">
        <f t="shared" ref="D672" si="30">C672-B672</f>
        <v>1</v>
      </c>
      <c r="E672" s="5" t="s">
        <v>567</v>
      </c>
      <c r="F672" s="5" t="s">
        <v>621</v>
      </c>
      <c r="G672" s="53" t="s">
        <v>1199</v>
      </c>
      <c r="H672" s="2" t="s">
        <v>25</v>
      </c>
      <c r="I672" s="2" t="s">
        <v>1200</v>
      </c>
      <c r="J672" s="2" t="s">
        <v>22</v>
      </c>
      <c r="K672" s="2" t="s">
        <v>38</v>
      </c>
      <c r="L672" s="7">
        <v>-74.085991813557996</v>
      </c>
      <c r="M672" s="7">
        <v>4.7386787285352803</v>
      </c>
    </row>
  </sheetData>
  <autoFilter ref="A1:N668" xr:uid="{946BA5FD-2B1F-48C6-AB74-546D5AABB072}"/>
  <phoneticPr fontId="2" type="noConversion"/>
  <conditionalFormatting sqref="H2:H269">
    <cfRule type="containsText" dxfId="21" priority="91" operator="containsText" text="Solicitado">
      <formula>NOT(ISERROR(SEARCH("Solicitado",H2)))</formula>
    </cfRule>
    <cfRule type="containsText" dxfId="20" priority="92" operator="containsText" text="Revisión">
      <formula>NOT(ISERROR(SEARCH("Revisión",H2)))</formula>
    </cfRule>
    <cfRule type="containsText" dxfId="19" priority="93" operator="containsText" text="Entregado">
      <formula>NOT(ISERROR(SEARCH("Entregado",H2)))</formula>
    </cfRule>
  </conditionalFormatting>
  <conditionalFormatting sqref="H271:H346">
    <cfRule type="containsText" dxfId="18" priority="73" operator="containsText" text="Solicitado">
      <formula>NOT(ISERROR(SEARCH("Solicitado",H271)))</formula>
    </cfRule>
    <cfRule type="containsText" dxfId="17" priority="74" operator="containsText" text="Revisión">
      <formula>NOT(ISERROR(SEARCH("Revisión",H271)))</formula>
    </cfRule>
    <cfRule type="containsText" dxfId="16" priority="75" operator="containsText" text="Entregado">
      <formula>NOT(ISERROR(SEARCH("Entregado",H271)))</formula>
    </cfRule>
  </conditionalFormatting>
  <conditionalFormatting sqref="H348:H509">
    <cfRule type="containsText" dxfId="15" priority="34" operator="containsText" text="Solicitado">
      <formula>NOT(ISERROR(SEARCH("Solicitado",H348)))</formula>
    </cfRule>
    <cfRule type="containsText" dxfId="14" priority="35" operator="containsText" text="Revisión">
      <formula>NOT(ISERROR(SEARCH("Revisión",H348)))</formula>
    </cfRule>
    <cfRule type="containsText" dxfId="13" priority="36" operator="containsText" text="Entregado">
      <formula>NOT(ISERROR(SEARCH("Entregado",H348)))</formula>
    </cfRule>
  </conditionalFormatting>
  <conditionalFormatting sqref="H511:H672">
    <cfRule type="containsText" dxfId="12" priority="1" operator="containsText" text="Solicitado">
      <formula>NOT(ISERROR(SEARCH("Solicitado",H511)))</formula>
    </cfRule>
    <cfRule type="containsText" dxfId="11" priority="2" operator="containsText" text="Revisión">
      <formula>NOT(ISERROR(SEARCH("Revisión",H511)))</formula>
    </cfRule>
    <cfRule type="containsText" dxfId="10" priority="3" operator="containsText" text="Entregado">
      <formula>NOT(ISERROR(SEARCH("Entregado",H511)))</formula>
    </cfRule>
  </conditionalFormatting>
  <conditionalFormatting sqref="I408:I409">
    <cfRule type="containsText" dxfId="9" priority="46" operator="containsText" text="Solicitado">
      <formula>NOT(ISERROR(SEARCH("Solicitado",I408)))</formula>
    </cfRule>
    <cfRule type="containsText" dxfId="8" priority="47" operator="containsText" text="Revisión">
      <formula>NOT(ISERROR(SEARCH("Revisión",I408)))</formula>
    </cfRule>
    <cfRule type="containsText" dxfId="7" priority="48" operator="containsText" text="Entregado">
      <formula>NOT(ISERROR(SEARCH("Entregado",I408)))</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BFFE53E2-F9CA-434D-9B7A-E701252148BD}">
          <x14:formula1>
            <xm:f>'Tiendas operando '!$G$9:$G$24</xm:f>
          </x14:formula1>
          <xm:sqref>K128 K61 K63:K65 K55:K57 K97:K102 K38:K48 K53 K68 K107:K108 K111:K120 K2:K36</xm:sqref>
        </x14:dataValidation>
        <x14:dataValidation type="list" allowBlank="1" showInputMessage="1" showErrorMessage="1" xr:uid="{54FA99A8-E96A-4DA6-8584-8614EF4033BB}">
          <x14:formula1>
            <xm:f>'Tiendas operando '!$G$3:$G$6</xm:f>
          </x14:formula1>
          <xm:sqref>H2:H134 H137 H224 H210 H212:H214 H140:H158</xm:sqref>
        </x14:dataValidation>
        <x14:dataValidation type="list" allowBlank="1" showInputMessage="1" showErrorMessage="1" xr:uid="{7FD7E42B-95A5-45AD-9873-D1BE43B5DD8C}">
          <x14:formula1>
            <xm:f>'Tiendas operando '!$L$11:$L$12</xm:f>
          </x14:formula1>
          <xm:sqref>F2:F134</xm:sqref>
        </x14:dataValidation>
        <x14:dataValidation type="list" allowBlank="1" showInputMessage="1" showErrorMessage="1" xr:uid="{FE3625BB-5D58-414E-AA94-C2811086ACF9}">
          <x14:formula1>
            <xm:f>'Tiendas operando '!$N$11:$N$12</xm:f>
          </x14:formula1>
          <xm:sqref>G142 G136 G2:G134</xm:sqref>
        </x14:dataValidation>
        <x14:dataValidation type="list" allowBlank="1" showInputMessage="1" showErrorMessage="1" xr:uid="{CF9D9FA2-43CF-49DB-BB47-C5C094C13900}">
          <x14:formula1>
            <xm:f>'Tiendas operando '!$G$9:$G$25</xm:f>
          </x14:formula1>
          <xm:sqref>K136:K147 K179:K185 K187:K209 K215:K219 K221:K222 K224:K232 K235:K250 K149:K176 K254:K264 K266:K272 K274:K290 K293:K318 K322:K326 K328:K389 K393:K435 K438:K459 K463:K467 K469:K475 K478:K487 K491:K494 K496:K517 K524:K557 K560:K567 K573:K589 K594 K596:K619 K621:K636 K640:K649 K653:K664 K669 K671:K1135</xm:sqref>
        </x14:dataValidation>
        <x14:dataValidation type="list" allowBlank="1" showInputMessage="1" showErrorMessage="1" xr:uid="{9DFE86C9-6306-418F-9B02-E113C6479C93}">
          <x14:formula1>
            <xm:f>'Tiendas operando '!$J$11:$J$13</xm:f>
          </x14:formula1>
          <xm:sqref>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91DF-0478-4376-A590-794C6882E835}">
  <sheetPr codeName="Hoja3"/>
  <dimension ref="A1:V627"/>
  <sheetViews>
    <sheetView zoomScale="59" workbookViewId="0">
      <selection activeCell="E18" sqref="E18"/>
    </sheetView>
  </sheetViews>
  <sheetFormatPr defaultColWidth="11.42578125" defaultRowHeight="14.45"/>
  <cols>
    <col min="1" max="1" width="11.42578125" style="2"/>
    <col min="2" max="2" width="19.140625" style="2" bestFit="1" customWidth="1"/>
    <col min="3" max="3" width="25.7109375" customWidth="1"/>
    <col min="7" max="7" width="28" bestFit="1" customWidth="1"/>
    <col min="19" max="19" width="23.42578125" bestFit="1" customWidth="1"/>
    <col min="20" max="20" width="25.42578125" bestFit="1" customWidth="1"/>
  </cols>
  <sheetData>
    <row r="1" spans="1:22">
      <c r="A1" s="41" t="s">
        <v>1201</v>
      </c>
      <c r="B1" s="41" t="s">
        <v>1202</v>
      </c>
      <c r="C1" s="32" t="s">
        <v>6</v>
      </c>
    </row>
    <row r="2" spans="1:22">
      <c r="A2" s="35" t="s">
        <v>1203</v>
      </c>
      <c r="B2" s="34">
        <v>140</v>
      </c>
      <c r="C2" s="33" t="s">
        <v>1204</v>
      </c>
      <c r="G2" s="31" t="s">
        <v>8</v>
      </c>
    </row>
    <row r="3" spans="1:22">
      <c r="A3" s="35" t="s">
        <v>1205</v>
      </c>
      <c r="B3" s="35">
        <v>724</v>
      </c>
      <c r="C3" s="33" t="s">
        <v>1206</v>
      </c>
      <c r="G3" s="31" t="s">
        <v>169</v>
      </c>
    </row>
    <row r="4" spans="1:22">
      <c r="A4" s="35" t="s">
        <v>1207</v>
      </c>
      <c r="B4" s="34" t="s">
        <v>1208</v>
      </c>
      <c r="C4" s="33" t="s">
        <v>297</v>
      </c>
      <c r="G4" s="31" t="s">
        <v>92</v>
      </c>
    </row>
    <row r="5" spans="1:22">
      <c r="A5" s="35" t="s">
        <v>1209</v>
      </c>
      <c r="B5" s="34" t="s">
        <v>279</v>
      </c>
      <c r="C5" s="33" t="s">
        <v>1210</v>
      </c>
      <c r="G5" s="31" t="s">
        <v>25</v>
      </c>
    </row>
    <row r="6" spans="1:22">
      <c r="A6" s="35" t="s">
        <v>1211</v>
      </c>
      <c r="B6" s="34" t="s">
        <v>1212</v>
      </c>
      <c r="C6" s="33" t="s">
        <v>1213</v>
      </c>
    </row>
    <row r="7" spans="1:22">
      <c r="A7" s="35" t="s">
        <v>1214</v>
      </c>
      <c r="B7" s="34" t="s">
        <v>1215</v>
      </c>
      <c r="C7" s="33" t="s">
        <v>1216</v>
      </c>
    </row>
    <row r="8" spans="1:22">
      <c r="A8" s="35" t="s">
        <v>1217</v>
      </c>
      <c r="B8" s="34" t="s">
        <v>1218</v>
      </c>
      <c r="C8" s="33" t="s">
        <v>1219</v>
      </c>
      <c r="G8" s="31" t="s">
        <v>1220</v>
      </c>
    </row>
    <row r="9" spans="1:22">
      <c r="A9" s="35" t="s">
        <v>1221</v>
      </c>
      <c r="B9" s="34" t="s">
        <v>1222</v>
      </c>
      <c r="C9" s="33" t="s">
        <v>475</v>
      </c>
      <c r="G9" s="31" t="s">
        <v>325</v>
      </c>
    </row>
    <row r="10" spans="1:22">
      <c r="A10" s="35" t="s">
        <v>1223</v>
      </c>
      <c r="B10" s="34" t="s">
        <v>1224</v>
      </c>
      <c r="C10" s="33" t="s">
        <v>308</v>
      </c>
      <c r="G10" s="31" t="s">
        <v>52</v>
      </c>
      <c r="J10" s="31" t="s">
        <v>1225</v>
      </c>
      <c r="L10" s="31" t="s">
        <v>28</v>
      </c>
      <c r="N10" s="31" t="s">
        <v>1226</v>
      </c>
    </row>
    <row r="11" spans="1:22">
      <c r="A11" s="35" t="s">
        <v>1227</v>
      </c>
      <c r="B11" s="34" t="s">
        <v>484</v>
      </c>
      <c r="C11" s="33" t="s">
        <v>1228</v>
      </c>
      <c r="G11" s="31" t="s">
        <v>393</v>
      </c>
      <c r="J11" s="31" t="s">
        <v>545</v>
      </c>
      <c r="L11" s="31" t="s">
        <v>604</v>
      </c>
      <c r="N11" s="31" t="s">
        <v>618</v>
      </c>
    </row>
    <row r="12" spans="1:22">
      <c r="A12" s="35" t="s">
        <v>1229</v>
      </c>
      <c r="B12" s="34" t="s">
        <v>1230</v>
      </c>
      <c r="C12" s="33" t="s">
        <v>1231</v>
      </c>
      <c r="G12" s="31" t="s">
        <v>1232</v>
      </c>
      <c r="J12" s="31" t="s">
        <v>567</v>
      </c>
      <c r="L12" s="31" t="s">
        <v>621</v>
      </c>
      <c r="N12" s="31" t="s">
        <v>605</v>
      </c>
    </row>
    <row r="13" spans="1:22">
      <c r="A13" s="35" t="s">
        <v>1233</v>
      </c>
      <c r="B13" s="34" t="s">
        <v>1234</v>
      </c>
      <c r="C13" s="33" t="s">
        <v>415</v>
      </c>
      <c r="G13" s="31" t="s">
        <v>1235</v>
      </c>
      <c r="J13" t="s">
        <v>539</v>
      </c>
    </row>
    <row r="14" spans="1:22">
      <c r="A14" s="35" t="s">
        <v>1236</v>
      </c>
      <c r="B14" s="34" t="s">
        <v>1237</v>
      </c>
      <c r="C14" s="33" t="s">
        <v>1238</v>
      </c>
      <c r="G14" s="31" t="s">
        <v>1239</v>
      </c>
    </row>
    <row r="15" spans="1:22">
      <c r="A15" s="35" t="s">
        <v>1240</v>
      </c>
      <c r="B15" s="34" t="s">
        <v>1241</v>
      </c>
      <c r="C15" s="33" t="s">
        <v>1242</v>
      </c>
      <c r="G15" s="31" t="s">
        <v>485</v>
      </c>
    </row>
    <row r="16" spans="1:22">
      <c r="A16" s="35" t="s">
        <v>1243</v>
      </c>
      <c r="B16" s="34" t="s">
        <v>1244</v>
      </c>
      <c r="C16" s="33" t="s">
        <v>425</v>
      </c>
      <c r="G16" s="31" t="s">
        <v>80</v>
      </c>
      <c r="L16" s="37">
        <v>46031</v>
      </c>
      <c r="M16" s="37">
        <v>46041</v>
      </c>
      <c r="N16" s="38">
        <v>10</v>
      </c>
      <c r="O16" s="37" t="s">
        <v>317</v>
      </c>
      <c r="P16" s="37" t="s">
        <v>604</v>
      </c>
      <c r="Q16" s="37" t="s">
        <v>618</v>
      </c>
      <c r="R16" s="34" t="s">
        <v>25</v>
      </c>
      <c r="S16" s="34" t="s">
        <v>619</v>
      </c>
      <c r="T16" s="34" t="s">
        <v>48</v>
      </c>
      <c r="U16" s="39">
        <v>-74.0565754</v>
      </c>
      <c r="V16" s="39">
        <v>4.6558222999999996</v>
      </c>
    </row>
    <row r="17" spans="1:22">
      <c r="A17" s="35" t="s">
        <v>1245</v>
      </c>
      <c r="B17" s="34" t="s">
        <v>1246</v>
      </c>
      <c r="C17" s="33" t="s">
        <v>270</v>
      </c>
      <c r="G17" s="31" t="s">
        <v>38</v>
      </c>
      <c r="L17" s="37">
        <v>46035</v>
      </c>
      <c r="M17" s="37">
        <v>46035</v>
      </c>
      <c r="N17" s="38">
        <v>0</v>
      </c>
      <c r="O17" s="37" t="s">
        <v>317</v>
      </c>
      <c r="P17" s="37" t="s">
        <v>621</v>
      </c>
      <c r="Q17" s="37" t="s">
        <v>618</v>
      </c>
      <c r="R17" s="34" t="s">
        <v>25</v>
      </c>
      <c r="S17" s="34" t="s">
        <v>625</v>
      </c>
      <c r="T17" s="34" t="s">
        <v>569</v>
      </c>
      <c r="U17" s="39">
        <v>-74.068681699999999</v>
      </c>
      <c r="V17" s="39">
        <v>4.7207878000000001</v>
      </c>
    </row>
    <row r="18" spans="1:22">
      <c r="A18" s="35" t="s">
        <v>1247</v>
      </c>
      <c r="B18" s="34" t="s">
        <v>1248</v>
      </c>
      <c r="C18" s="33" t="s">
        <v>261</v>
      </c>
      <c r="G18" s="31" t="s">
        <v>44</v>
      </c>
      <c r="L18" s="37">
        <v>46036</v>
      </c>
      <c r="M18" s="37">
        <v>46041</v>
      </c>
      <c r="N18" s="38">
        <v>5</v>
      </c>
      <c r="O18" s="37" t="s">
        <v>317</v>
      </c>
      <c r="P18" s="37" t="s">
        <v>604</v>
      </c>
      <c r="Q18" s="37" t="s">
        <v>618</v>
      </c>
      <c r="R18" s="34" t="s">
        <v>25</v>
      </c>
      <c r="S18" s="34" t="s">
        <v>638</v>
      </c>
      <c r="T18" s="34" t="s">
        <v>325</v>
      </c>
      <c r="U18" s="39">
        <v>-74.051566781935904</v>
      </c>
      <c r="V18" s="39">
        <v>4.6771436658904504</v>
      </c>
    </row>
    <row r="19" spans="1:22">
      <c r="A19" s="35" t="s">
        <v>1249</v>
      </c>
      <c r="B19" s="34" t="s">
        <v>1250</v>
      </c>
      <c r="C19" s="33" t="s">
        <v>1251</v>
      </c>
      <c r="G19" s="31" t="s">
        <v>48</v>
      </c>
      <c r="L19" s="37">
        <v>46036</v>
      </c>
      <c r="M19" s="37">
        <v>46042</v>
      </c>
      <c r="N19" s="38">
        <v>6</v>
      </c>
      <c r="O19" s="37" t="s">
        <v>317</v>
      </c>
      <c r="P19" s="37" t="s">
        <v>604</v>
      </c>
      <c r="Q19" s="37" t="s">
        <v>618</v>
      </c>
      <c r="R19" s="34" t="s">
        <v>25</v>
      </c>
      <c r="S19" s="34" t="s">
        <v>639</v>
      </c>
      <c r="T19" s="34" t="s">
        <v>325</v>
      </c>
      <c r="U19" s="39">
        <v>-74.065370354233593</v>
      </c>
      <c r="V19" s="39">
        <v>4.6655748457804398</v>
      </c>
    </row>
    <row r="20" spans="1:22">
      <c r="A20" s="35" t="s">
        <v>1252</v>
      </c>
      <c r="B20" s="34" t="s">
        <v>1253</v>
      </c>
      <c r="C20" s="33" t="s">
        <v>1254</v>
      </c>
      <c r="G20" s="31" t="s">
        <v>584</v>
      </c>
      <c r="L20" s="37">
        <v>46037</v>
      </c>
      <c r="M20" s="37">
        <v>46041</v>
      </c>
      <c r="N20" s="38">
        <v>4</v>
      </c>
      <c r="O20" s="37" t="s">
        <v>317</v>
      </c>
      <c r="P20" s="37" t="s">
        <v>604</v>
      </c>
      <c r="Q20" s="37" t="s">
        <v>618</v>
      </c>
      <c r="R20" s="34" t="s">
        <v>25</v>
      </c>
      <c r="S20" s="34" t="s">
        <v>640</v>
      </c>
      <c r="T20" s="34" t="s">
        <v>325</v>
      </c>
      <c r="U20" s="39">
        <v>-74.063744501924802</v>
      </c>
      <c r="V20" s="39">
        <v>4.6477056698812502</v>
      </c>
    </row>
    <row r="21" spans="1:22">
      <c r="A21" s="35" t="s">
        <v>1255</v>
      </c>
      <c r="B21" s="34" t="s">
        <v>296</v>
      </c>
      <c r="C21" s="33" t="s">
        <v>1256</v>
      </c>
      <c r="G21" s="31" t="s">
        <v>26</v>
      </c>
      <c r="L21" s="37">
        <v>46037</v>
      </c>
      <c r="M21" s="37">
        <v>46038</v>
      </c>
      <c r="N21" s="38">
        <v>1</v>
      </c>
      <c r="O21" s="37" t="s">
        <v>317</v>
      </c>
      <c r="P21" s="37" t="s">
        <v>604</v>
      </c>
      <c r="Q21" s="37" t="s">
        <v>618</v>
      </c>
      <c r="R21" s="34" t="s">
        <v>25</v>
      </c>
      <c r="S21" s="34" t="s">
        <v>642</v>
      </c>
      <c r="T21" s="34" t="s">
        <v>38</v>
      </c>
      <c r="U21" s="39">
        <v>-74.065162278878901</v>
      </c>
      <c r="V21" s="39">
        <v>4.6495881579756597</v>
      </c>
    </row>
    <row r="22" spans="1:22">
      <c r="A22" s="35" t="s">
        <v>1257</v>
      </c>
      <c r="B22" s="34" t="s">
        <v>1258</v>
      </c>
      <c r="C22" s="33" t="s">
        <v>1259</v>
      </c>
      <c r="G22" s="31" t="s">
        <v>1260</v>
      </c>
      <c r="L22" s="37">
        <v>46037</v>
      </c>
      <c r="M22" s="37">
        <v>46038</v>
      </c>
      <c r="N22" s="38">
        <v>1</v>
      </c>
      <c r="O22" s="37" t="s">
        <v>317</v>
      </c>
      <c r="P22" s="37" t="s">
        <v>604</v>
      </c>
      <c r="Q22" s="37" t="s">
        <v>618</v>
      </c>
      <c r="R22" s="34" t="s">
        <v>25</v>
      </c>
      <c r="S22" s="34" t="s">
        <v>643</v>
      </c>
      <c r="T22" s="34" t="s">
        <v>38</v>
      </c>
      <c r="U22" s="39">
        <v>-74.072320626869498</v>
      </c>
      <c r="V22" s="39">
        <v>4.6335002354933899</v>
      </c>
    </row>
    <row r="23" spans="1:22">
      <c r="A23" s="35" t="s">
        <v>1261</v>
      </c>
      <c r="B23" s="34" t="s">
        <v>1262</v>
      </c>
      <c r="C23" s="33" t="s">
        <v>1263</v>
      </c>
      <c r="G23" s="31" t="s">
        <v>33</v>
      </c>
      <c r="L23" s="37">
        <v>46038</v>
      </c>
      <c r="M23" s="37">
        <v>46043</v>
      </c>
      <c r="N23" s="38">
        <v>5</v>
      </c>
      <c r="O23" s="37" t="s">
        <v>317</v>
      </c>
      <c r="P23" s="37" t="s">
        <v>604</v>
      </c>
      <c r="Q23" s="37" t="s">
        <v>618</v>
      </c>
      <c r="R23" s="34" t="s">
        <v>25</v>
      </c>
      <c r="S23" s="34" t="s">
        <v>645</v>
      </c>
      <c r="T23" s="34" t="s">
        <v>325</v>
      </c>
      <c r="U23" s="39">
        <v>-74.0610252457397</v>
      </c>
      <c r="V23" s="39">
        <v>4.6613596476497801</v>
      </c>
    </row>
    <row r="24" spans="1:22">
      <c r="A24" s="35" t="s">
        <v>1264</v>
      </c>
      <c r="B24" s="34" t="s">
        <v>1265</v>
      </c>
      <c r="C24" s="33" t="s">
        <v>358</v>
      </c>
      <c r="G24" s="31" t="s">
        <v>569</v>
      </c>
      <c r="L24" s="37">
        <v>46042</v>
      </c>
      <c r="M24" s="37">
        <v>46045</v>
      </c>
      <c r="N24" s="38">
        <v>3</v>
      </c>
      <c r="O24" s="37" t="s">
        <v>317</v>
      </c>
      <c r="P24" s="37" t="s">
        <v>604</v>
      </c>
      <c r="Q24" s="37" t="s">
        <v>618</v>
      </c>
      <c r="R24" s="34" t="s">
        <v>25</v>
      </c>
      <c r="S24" s="34" t="s">
        <v>655</v>
      </c>
      <c r="T24" s="34" t="s">
        <v>48</v>
      </c>
      <c r="U24" s="39">
        <v>-74.027657599999998</v>
      </c>
      <c r="V24" s="40">
        <v>4.7383550999999997</v>
      </c>
    </row>
    <row r="25" spans="1:22">
      <c r="A25" s="35" t="s">
        <v>1266</v>
      </c>
      <c r="B25" s="34" t="s">
        <v>1267</v>
      </c>
      <c r="C25" s="33" t="s">
        <v>1268</v>
      </c>
      <c r="G25" s="31" t="s">
        <v>343</v>
      </c>
      <c r="L25" s="37">
        <v>46043</v>
      </c>
      <c r="M25" s="37">
        <v>46043</v>
      </c>
      <c r="N25" s="38">
        <v>0</v>
      </c>
      <c r="O25" s="37" t="s">
        <v>254</v>
      </c>
      <c r="P25" s="37" t="s">
        <v>621</v>
      </c>
      <c r="Q25" s="37" t="s">
        <v>618</v>
      </c>
      <c r="R25" s="34" t="s">
        <v>25</v>
      </c>
      <c r="S25" s="34" t="s">
        <v>664</v>
      </c>
      <c r="T25" s="34" t="s">
        <v>80</v>
      </c>
      <c r="U25" s="39">
        <v>-74.090690102671104</v>
      </c>
      <c r="V25" s="40">
        <v>4.6325043800228798</v>
      </c>
    </row>
    <row r="26" spans="1:22">
      <c r="A26" s="35" t="s">
        <v>1269</v>
      </c>
      <c r="B26" s="34" t="s">
        <v>1270</v>
      </c>
      <c r="C26" s="33" t="s">
        <v>334</v>
      </c>
      <c r="L26" s="37">
        <v>46043</v>
      </c>
      <c r="M26" s="37">
        <v>46044</v>
      </c>
      <c r="N26" s="38">
        <v>1</v>
      </c>
      <c r="O26" s="37" t="s">
        <v>254</v>
      </c>
      <c r="P26" s="37" t="s">
        <v>604</v>
      </c>
      <c r="Q26" s="37" t="s">
        <v>618</v>
      </c>
      <c r="R26" s="34" t="s">
        <v>25</v>
      </c>
      <c r="S26" s="34" t="s">
        <v>666</v>
      </c>
      <c r="T26" s="34" t="s">
        <v>80</v>
      </c>
      <c r="U26" s="39">
        <v>-74.0938211</v>
      </c>
      <c r="V26" s="47">
        <v>4.6325199000000001</v>
      </c>
    </row>
    <row r="27" spans="1:22">
      <c r="A27" s="35" t="s">
        <v>1271</v>
      </c>
      <c r="B27" s="34" t="s">
        <v>1272</v>
      </c>
      <c r="C27" s="33" t="s">
        <v>1273</v>
      </c>
      <c r="G27" t="s">
        <v>13</v>
      </c>
      <c r="L27" s="37">
        <v>46043</v>
      </c>
      <c r="M27" s="37">
        <v>46044</v>
      </c>
      <c r="N27" s="38">
        <v>1</v>
      </c>
      <c r="O27" s="37" t="s">
        <v>317</v>
      </c>
      <c r="P27" s="37" t="s">
        <v>604</v>
      </c>
      <c r="Q27" s="37" t="s">
        <v>618</v>
      </c>
      <c r="R27" s="34" t="s">
        <v>25</v>
      </c>
      <c r="S27" s="34" t="s">
        <v>670</v>
      </c>
      <c r="T27" s="34" t="s">
        <v>327</v>
      </c>
      <c r="U27" s="39">
        <v>-74.116269488054002</v>
      </c>
      <c r="V27" s="39">
        <v>4.6277724754043197</v>
      </c>
    </row>
    <row r="28" spans="1:22">
      <c r="A28" s="35" t="s">
        <v>1274</v>
      </c>
      <c r="B28" s="34" t="s">
        <v>1275</v>
      </c>
      <c r="C28" s="33" t="s">
        <v>1276</v>
      </c>
      <c r="G28" t="s">
        <v>40</v>
      </c>
      <c r="L28" s="37">
        <v>46044</v>
      </c>
      <c r="M28" s="37">
        <v>46045</v>
      </c>
      <c r="N28" s="38">
        <v>1</v>
      </c>
      <c r="O28" s="37" t="s">
        <v>317</v>
      </c>
      <c r="P28" s="37" t="s">
        <v>604</v>
      </c>
      <c r="Q28" s="37" t="s">
        <v>618</v>
      </c>
      <c r="R28" s="34" t="s">
        <v>25</v>
      </c>
      <c r="S28" s="34" t="s">
        <v>674</v>
      </c>
      <c r="T28" s="34" t="s">
        <v>38</v>
      </c>
      <c r="U28" s="39">
        <v>-74.076706504297107</v>
      </c>
      <c r="V28" s="39">
        <v>4.6424581541535703</v>
      </c>
    </row>
    <row r="29" spans="1:22">
      <c r="A29" s="35" t="s">
        <v>1277</v>
      </c>
      <c r="B29" s="34" t="s">
        <v>1278</v>
      </c>
      <c r="C29" s="33" t="s">
        <v>314</v>
      </c>
      <c r="G29" t="s">
        <v>28</v>
      </c>
      <c r="L29" s="37">
        <v>46045</v>
      </c>
      <c r="M29" s="37">
        <v>46048</v>
      </c>
      <c r="N29" s="38">
        <v>3</v>
      </c>
      <c r="O29" s="37" t="s">
        <v>317</v>
      </c>
      <c r="P29" s="37" t="s">
        <v>604</v>
      </c>
      <c r="Q29" s="37" t="s">
        <v>618</v>
      </c>
      <c r="R29" s="34" t="s">
        <v>25</v>
      </c>
      <c r="S29" s="34" t="s">
        <v>676</v>
      </c>
      <c r="T29" s="34" t="s">
        <v>325</v>
      </c>
      <c r="U29" s="39">
        <v>-74.0606255707972</v>
      </c>
      <c r="V29" s="48">
        <v>4.6483148149220002</v>
      </c>
    </row>
    <row r="30" spans="1:22">
      <c r="A30" s="35" t="s">
        <v>1279</v>
      </c>
      <c r="B30" s="34" t="s">
        <v>1280</v>
      </c>
      <c r="C30" s="33" t="s">
        <v>274</v>
      </c>
      <c r="G30" t="s">
        <v>63</v>
      </c>
      <c r="L30" s="37">
        <v>46048</v>
      </c>
      <c r="M30" s="37">
        <v>46049</v>
      </c>
      <c r="N30" s="38">
        <v>1</v>
      </c>
      <c r="O30" s="37" t="s">
        <v>317</v>
      </c>
      <c r="P30" s="37" t="s">
        <v>604</v>
      </c>
      <c r="Q30" s="37" t="s">
        <v>618</v>
      </c>
      <c r="R30" s="34" t="s">
        <v>25</v>
      </c>
      <c r="S30" s="34" t="s">
        <v>679</v>
      </c>
      <c r="T30" s="34" t="s">
        <v>327</v>
      </c>
      <c r="U30" s="39">
        <v>-74.049668672086398</v>
      </c>
      <c r="V30" s="39">
        <v>4.67800238325305</v>
      </c>
    </row>
    <row r="31" spans="1:22">
      <c r="A31" s="35" t="s">
        <v>1281</v>
      </c>
      <c r="B31" s="34" t="s">
        <v>1282</v>
      </c>
      <c r="C31" s="33" t="s">
        <v>1283</v>
      </c>
      <c r="L31" s="37">
        <v>46048</v>
      </c>
      <c r="M31" s="37">
        <v>46050</v>
      </c>
      <c r="N31" s="38">
        <v>2</v>
      </c>
      <c r="O31" s="37" t="s">
        <v>317</v>
      </c>
      <c r="P31" s="37" t="s">
        <v>604</v>
      </c>
      <c r="Q31" s="37" t="s">
        <v>618</v>
      </c>
      <c r="R31" s="34" t="s">
        <v>25</v>
      </c>
      <c r="S31" s="34" t="s">
        <v>681</v>
      </c>
      <c r="T31" s="34" t="s">
        <v>327</v>
      </c>
      <c r="U31" s="39">
        <v>-74.060628105323502</v>
      </c>
      <c r="V31" s="39">
        <v>4.6587165894731504</v>
      </c>
    </row>
    <row r="32" spans="1:22">
      <c r="A32" s="35">
        <v>50417</v>
      </c>
      <c r="B32" s="34" t="s">
        <v>298</v>
      </c>
      <c r="C32" s="33" t="s">
        <v>1284</v>
      </c>
      <c r="L32" s="37">
        <v>46050</v>
      </c>
      <c r="M32" s="37">
        <v>46051</v>
      </c>
      <c r="N32" s="38">
        <v>1</v>
      </c>
      <c r="O32" s="37" t="s">
        <v>254</v>
      </c>
      <c r="P32" s="37" t="s">
        <v>621</v>
      </c>
      <c r="Q32" s="37" t="s">
        <v>618</v>
      </c>
      <c r="R32" s="34" t="s">
        <v>25</v>
      </c>
      <c r="S32" s="34" t="s">
        <v>686</v>
      </c>
      <c r="T32" s="34" t="s">
        <v>80</v>
      </c>
      <c r="U32" s="39">
        <v>-74.070089999999993</v>
      </c>
      <c r="V32" s="47">
        <v>4.6104702</v>
      </c>
    </row>
    <row r="33" spans="1:22">
      <c r="A33" s="35" t="s">
        <v>1285</v>
      </c>
      <c r="B33" s="34" t="s">
        <v>1286</v>
      </c>
      <c r="C33" s="33" t="s">
        <v>546</v>
      </c>
      <c r="L33" s="37">
        <v>46050</v>
      </c>
      <c r="M33" s="37">
        <v>46051</v>
      </c>
      <c r="N33" s="38">
        <v>1</v>
      </c>
      <c r="O33" s="37" t="s">
        <v>254</v>
      </c>
      <c r="P33" s="37" t="s">
        <v>621</v>
      </c>
      <c r="Q33" s="37" t="s">
        <v>618</v>
      </c>
      <c r="R33" s="34" t="s">
        <v>25</v>
      </c>
      <c r="S33" s="34" t="s">
        <v>687</v>
      </c>
      <c r="T33" s="34" t="s">
        <v>33</v>
      </c>
      <c r="U33" s="39">
        <v>-74.030152200000003</v>
      </c>
      <c r="V33" s="47">
        <v>4.698664</v>
      </c>
    </row>
    <row r="34" spans="1:22">
      <c r="A34" s="35" t="s">
        <v>1287</v>
      </c>
      <c r="B34" s="34" t="s">
        <v>1288</v>
      </c>
      <c r="C34" s="33" t="s">
        <v>1289</v>
      </c>
      <c r="L34" s="37">
        <v>46051</v>
      </c>
      <c r="M34" s="37">
        <v>46051</v>
      </c>
      <c r="N34" s="38">
        <v>0</v>
      </c>
      <c r="O34" s="37" t="s">
        <v>254</v>
      </c>
      <c r="P34" s="37" t="s">
        <v>621</v>
      </c>
      <c r="Q34" s="37" t="s">
        <v>618</v>
      </c>
      <c r="R34" s="34" t="s">
        <v>25</v>
      </c>
      <c r="S34" s="34" t="s">
        <v>688</v>
      </c>
      <c r="T34" s="34" t="s">
        <v>38</v>
      </c>
      <c r="U34" s="39">
        <v>-74.070583882348004</v>
      </c>
      <c r="V34" s="47">
        <v>4.6381720698118096</v>
      </c>
    </row>
    <row r="35" spans="1:22">
      <c r="A35" s="35" t="s">
        <v>1290</v>
      </c>
      <c r="B35" s="34" t="s">
        <v>1291</v>
      </c>
      <c r="C35" s="33" t="s">
        <v>1292</v>
      </c>
      <c r="L35" s="37">
        <v>46055</v>
      </c>
      <c r="M35" s="37">
        <v>46056</v>
      </c>
      <c r="N35" s="38">
        <v>1</v>
      </c>
      <c r="O35" s="37" t="s">
        <v>317</v>
      </c>
      <c r="P35" s="37" t="s">
        <v>604</v>
      </c>
      <c r="Q35" s="37" t="s">
        <v>618</v>
      </c>
      <c r="R35" s="34" t="s">
        <v>25</v>
      </c>
      <c r="S35" s="34" t="s">
        <v>638</v>
      </c>
      <c r="T35" s="34" t="s">
        <v>327</v>
      </c>
      <c r="U35" s="39">
        <v>-74.051643181844796</v>
      </c>
      <c r="V35" s="47">
        <v>4.6769548984746496</v>
      </c>
    </row>
    <row r="36" spans="1:22">
      <c r="A36" s="35" t="s">
        <v>1293</v>
      </c>
      <c r="B36" s="34" t="s">
        <v>1294</v>
      </c>
      <c r="C36" s="33" t="s">
        <v>301</v>
      </c>
      <c r="L36" s="37">
        <v>46055</v>
      </c>
      <c r="M36" s="37">
        <v>46056</v>
      </c>
      <c r="N36" s="38">
        <v>1</v>
      </c>
      <c r="O36" s="37" t="s">
        <v>317</v>
      </c>
      <c r="P36" s="37" t="s">
        <v>604</v>
      </c>
      <c r="Q36" s="37" t="s">
        <v>618</v>
      </c>
      <c r="R36" s="34" t="s">
        <v>25</v>
      </c>
      <c r="S36" s="34" t="s">
        <v>693</v>
      </c>
      <c r="T36" s="34" t="s">
        <v>327</v>
      </c>
      <c r="U36" s="39">
        <v>-74.135365255104105</v>
      </c>
      <c r="V36" s="47">
        <v>4.6291256659042004</v>
      </c>
    </row>
    <row r="37" spans="1:22">
      <c r="A37" s="35" t="s">
        <v>1295</v>
      </c>
      <c r="B37" s="34" t="s">
        <v>1296</v>
      </c>
      <c r="C37" s="33" t="s">
        <v>1297</v>
      </c>
      <c r="L37" s="37">
        <v>46055</v>
      </c>
      <c r="M37" s="37">
        <v>46057</v>
      </c>
      <c r="N37" s="38">
        <v>2</v>
      </c>
      <c r="O37" s="37" t="s">
        <v>317</v>
      </c>
      <c r="P37" s="37" t="s">
        <v>604</v>
      </c>
      <c r="Q37" s="37" t="s">
        <v>618</v>
      </c>
      <c r="R37" s="34" t="s">
        <v>25</v>
      </c>
      <c r="S37" s="34" t="s">
        <v>694</v>
      </c>
      <c r="T37" s="34" t="s">
        <v>327</v>
      </c>
      <c r="U37" s="39">
        <v>-74.056606740342403</v>
      </c>
      <c r="V37" s="47">
        <v>4.6530127443081</v>
      </c>
    </row>
    <row r="38" spans="1:22">
      <c r="A38" s="35" t="s">
        <v>1298</v>
      </c>
      <c r="B38" s="34" t="s">
        <v>1299</v>
      </c>
      <c r="C38" s="33" t="s">
        <v>376</v>
      </c>
      <c r="L38" s="37">
        <v>46055</v>
      </c>
      <c r="M38" s="37">
        <v>46057</v>
      </c>
      <c r="N38" s="38">
        <v>2</v>
      </c>
      <c r="O38" s="37" t="s">
        <v>317</v>
      </c>
      <c r="P38" s="37" t="s">
        <v>604</v>
      </c>
      <c r="Q38" s="37" t="s">
        <v>618</v>
      </c>
      <c r="R38" s="34" t="s">
        <v>25</v>
      </c>
      <c r="S38" s="34" t="s">
        <v>695</v>
      </c>
      <c r="T38" s="34" t="s">
        <v>327</v>
      </c>
      <c r="U38" s="39">
        <v>-74.050829027999299</v>
      </c>
      <c r="V38" s="47">
        <v>4.6773686840432998</v>
      </c>
    </row>
    <row r="39" spans="1:22">
      <c r="A39" s="35" t="s">
        <v>1300</v>
      </c>
      <c r="B39" s="34" t="s">
        <v>1301</v>
      </c>
      <c r="C39" s="33" t="s">
        <v>1302</v>
      </c>
      <c r="L39" s="37">
        <v>46055</v>
      </c>
      <c r="M39" s="37">
        <v>46057</v>
      </c>
      <c r="N39" s="38">
        <v>2</v>
      </c>
      <c r="O39" s="37" t="s">
        <v>317</v>
      </c>
      <c r="P39" s="37" t="s">
        <v>604</v>
      </c>
      <c r="Q39" s="37" t="s">
        <v>618</v>
      </c>
      <c r="R39" s="34" t="s">
        <v>25</v>
      </c>
      <c r="S39" s="34" t="s">
        <v>696</v>
      </c>
      <c r="T39" s="34" t="s">
        <v>327</v>
      </c>
      <c r="U39" s="39">
        <v>-74.153979298692207</v>
      </c>
      <c r="V39" s="47">
        <v>4.62320056248379</v>
      </c>
    </row>
    <row r="40" spans="1:22">
      <c r="A40" s="35" t="s">
        <v>1303</v>
      </c>
      <c r="B40" s="34" t="s">
        <v>1304</v>
      </c>
      <c r="C40" s="33" t="s">
        <v>412</v>
      </c>
      <c r="L40" s="37">
        <v>46055</v>
      </c>
      <c r="M40" s="37">
        <v>46058</v>
      </c>
      <c r="N40" s="38">
        <v>3</v>
      </c>
      <c r="O40" s="37" t="s">
        <v>317</v>
      </c>
      <c r="P40" s="37" t="s">
        <v>604</v>
      </c>
      <c r="Q40" s="37" t="s">
        <v>618</v>
      </c>
      <c r="R40" s="34" t="s">
        <v>25</v>
      </c>
      <c r="S40" s="34" t="s">
        <v>697</v>
      </c>
      <c r="T40" s="34" t="s">
        <v>327</v>
      </c>
      <c r="U40" s="39">
        <v>-74.056671607745699</v>
      </c>
      <c r="V40" s="47">
        <v>4.6674207410567199</v>
      </c>
    </row>
    <row r="41" spans="1:22">
      <c r="A41" s="35" t="s">
        <v>1305</v>
      </c>
      <c r="B41" s="34" t="s">
        <v>1306</v>
      </c>
      <c r="C41" s="33" t="s">
        <v>1307</v>
      </c>
      <c r="L41" s="37">
        <v>46055</v>
      </c>
      <c r="M41" s="37">
        <v>46059</v>
      </c>
      <c r="N41" s="38">
        <v>4</v>
      </c>
      <c r="O41" s="37" t="s">
        <v>317</v>
      </c>
      <c r="P41" s="37" t="s">
        <v>604</v>
      </c>
      <c r="Q41" s="37" t="s">
        <v>618</v>
      </c>
      <c r="R41" s="34" t="s">
        <v>25</v>
      </c>
      <c r="S41" s="34" t="s">
        <v>531</v>
      </c>
      <c r="T41" s="34" t="s">
        <v>327</v>
      </c>
      <c r="U41" s="39">
        <v>-74.0592548312286</v>
      </c>
      <c r="V41" s="47">
        <v>4.6624870371826201</v>
      </c>
    </row>
    <row r="42" spans="1:22">
      <c r="A42" s="35" t="s">
        <v>1308</v>
      </c>
      <c r="B42" s="34" t="s">
        <v>1309</v>
      </c>
      <c r="C42" s="33" t="s">
        <v>494</v>
      </c>
      <c r="L42" s="37">
        <v>46055</v>
      </c>
      <c r="M42" s="37">
        <v>46058</v>
      </c>
      <c r="N42" s="38">
        <v>3</v>
      </c>
      <c r="O42" s="37" t="s">
        <v>317</v>
      </c>
      <c r="P42" s="37" t="s">
        <v>604</v>
      </c>
      <c r="Q42" s="37" t="s">
        <v>618</v>
      </c>
      <c r="R42" s="34" t="s">
        <v>25</v>
      </c>
      <c r="S42" s="34" t="s">
        <v>699</v>
      </c>
      <c r="T42" s="34" t="s">
        <v>327</v>
      </c>
      <c r="U42" s="39">
        <v>-74.106410090219597</v>
      </c>
      <c r="V42" s="47">
        <v>4.6966203123819596</v>
      </c>
    </row>
    <row r="43" spans="1:22">
      <c r="A43" s="35" t="s">
        <v>1310</v>
      </c>
      <c r="B43" s="34" t="s">
        <v>524</v>
      </c>
      <c r="C43" s="33" t="s">
        <v>1311</v>
      </c>
      <c r="L43" s="37">
        <v>46055</v>
      </c>
      <c r="M43" s="37">
        <v>46059</v>
      </c>
      <c r="N43" s="38">
        <v>4</v>
      </c>
      <c r="O43" s="37" t="s">
        <v>317</v>
      </c>
      <c r="P43" s="37" t="s">
        <v>604</v>
      </c>
      <c r="Q43" s="37" t="s">
        <v>618</v>
      </c>
      <c r="R43" s="34" t="s">
        <v>25</v>
      </c>
      <c r="S43" s="34" t="s">
        <v>700</v>
      </c>
      <c r="T43" s="34" t="s">
        <v>327</v>
      </c>
      <c r="U43" s="39">
        <v>-74.059219248796396</v>
      </c>
      <c r="V43" s="47">
        <v>4.6573060134871502</v>
      </c>
    </row>
    <row r="44" spans="1:22">
      <c r="A44" s="35" t="s">
        <v>1312</v>
      </c>
      <c r="B44" s="34" t="s">
        <v>1313</v>
      </c>
      <c r="C44" s="33" t="s">
        <v>387</v>
      </c>
      <c r="L44" s="37">
        <v>46055</v>
      </c>
      <c r="M44" s="37">
        <v>46056</v>
      </c>
      <c r="N44" s="38">
        <v>1</v>
      </c>
      <c r="O44" s="37" t="s">
        <v>317</v>
      </c>
      <c r="P44" s="37" t="s">
        <v>604</v>
      </c>
      <c r="Q44" s="37" t="s">
        <v>618</v>
      </c>
      <c r="R44" s="34" t="s">
        <v>25</v>
      </c>
      <c r="S44" s="34" t="s">
        <v>703</v>
      </c>
      <c r="T44" s="34" t="s">
        <v>325</v>
      </c>
      <c r="U44" s="39">
        <v>-74.067325525669801</v>
      </c>
      <c r="V44" s="47">
        <v>4.6275108934629001</v>
      </c>
    </row>
    <row r="45" spans="1:22">
      <c r="A45" s="35" t="s">
        <v>1314</v>
      </c>
      <c r="B45" s="34" t="s">
        <v>1315</v>
      </c>
      <c r="C45" s="33" t="s">
        <v>294</v>
      </c>
      <c r="L45" s="37">
        <v>46055</v>
      </c>
      <c r="M45" s="37">
        <v>46057</v>
      </c>
      <c r="N45" s="38">
        <v>2</v>
      </c>
      <c r="O45" s="37" t="s">
        <v>317</v>
      </c>
      <c r="P45" s="37" t="s">
        <v>621</v>
      </c>
      <c r="Q45" s="37" t="s">
        <v>618</v>
      </c>
      <c r="R45" s="34" t="s">
        <v>25</v>
      </c>
      <c r="S45" s="34" t="s">
        <v>705</v>
      </c>
      <c r="T45" s="34" t="s">
        <v>393</v>
      </c>
      <c r="U45" s="39">
        <v>-74.031138442284401</v>
      </c>
      <c r="V45" s="47">
        <v>4.6969266455545498</v>
      </c>
    </row>
    <row r="46" spans="1:22">
      <c r="A46" s="35" t="s">
        <v>1316</v>
      </c>
      <c r="B46" s="34" t="s">
        <v>523</v>
      </c>
      <c r="C46" s="33" t="s">
        <v>268</v>
      </c>
      <c r="L46" s="37">
        <v>46055</v>
      </c>
      <c r="M46" s="37">
        <v>46057</v>
      </c>
      <c r="N46" s="38">
        <v>2</v>
      </c>
      <c r="O46" s="37" t="s">
        <v>317</v>
      </c>
      <c r="P46" s="37" t="s">
        <v>621</v>
      </c>
      <c r="Q46" s="37" t="s">
        <v>618</v>
      </c>
      <c r="R46" s="34" t="s">
        <v>25</v>
      </c>
      <c r="S46" s="34" t="s">
        <v>706</v>
      </c>
      <c r="T46" s="34" t="s">
        <v>393</v>
      </c>
      <c r="U46" s="39">
        <v>-74.046978285008194</v>
      </c>
      <c r="V46" s="47">
        <v>4.7453553742998196</v>
      </c>
    </row>
    <row r="47" spans="1:22">
      <c r="A47" s="35" t="s">
        <v>1317</v>
      </c>
      <c r="B47" s="34" t="s">
        <v>1318</v>
      </c>
      <c r="C47" s="33" t="s">
        <v>471</v>
      </c>
      <c r="L47" s="37">
        <v>46058</v>
      </c>
      <c r="M47" s="37">
        <v>46063</v>
      </c>
      <c r="N47" s="38">
        <v>5</v>
      </c>
      <c r="O47" s="37" t="s">
        <v>317</v>
      </c>
      <c r="P47" s="37" t="s">
        <v>621</v>
      </c>
      <c r="Q47" s="37" t="s">
        <v>618</v>
      </c>
      <c r="R47" s="34" t="s">
        <v>25</v>
      </c>
      <c r="S47" s="34" t="s">
        <v>721</v>
      </c>
      <c r="T47" s="34" t="s">
        <v>325</v>
      </c>
      <c r="U47" s="39">
        <v>-74.063381720742498</v>
      </c>
      <c r="V47" s="47">
        <v>4.6506721375576303</v>
      </c>
    </row>
    <row r="48" spans="1:22">
      <c r="A48" s="35" t="s">
        <v>1319</v>
      </c>
      <c r="B48" s="34" t="s">
        <v>1320</v>
      </c>
      <c r="C48" s="33" t="s">
        <v>366</v>
      </c>
      <c r="L48" s="37">
        <v>46059</v>
      </c>
      <c r="M48" s="37">
        <v>46062</v>
      </c>
      <c r="N48" s="38">
        <v>3</v>
      </c>
      <c r="O48" s="37" t="s">
        <v>317</v>
      </c>
      <c r="P48" s="37" t="s">
        <v>621</v>
      </c>
      <c r="Q48" s="37" t="s">
        <v>618</v>
      </c>
      <c r="R48" s="34" t="s">
        <v>25</v>
      </c>
      <c r="S48" s="34" t="s">
        <v>723</v>
      </c>
      <c r="T48" s="34" t="s">
        <v>325</v>
      </c>
      <c r="U48" s="39">
        <v>-74.144337948107804</v>
      </c>
      <c r="V48" s="47">
        <v>4.6742180530524804</v>
      </c>
    </row>
    <row r="49" spans="1:22">
      <c r="A49" s="35" t="s">
        <v>1321</v>
      </c>
      <c r="B49" s="34" t="s">
        <v>1322</v>
      </c>
      <c r="C49" s="33" t="s">
        <v>1323</v>
      </c>
      <c r="L49" s="37">
        <v>46059</v>
      </c>
      <c r="M49" s="37">
        <v>46062</v>
      </c>
      <c r="N49" s="38">
        <v>3</v>
      </c>
      <c r="O49" s="37" t="s">
        <v>317</v>
      </c>
      <c r="P49" s="37" t="s">
        <v>621</v>
      </c>
      <c r="Q49" s="37" t="s">
        <v>618</v>
      </c>
      <c r="R49" s="34" t="s">
        <v>25</v>
      </c>
      <c r="S49" s="34" t="s">
        <v>724</v>
      </c>
      <c r="T49" s="34" t="s">
        <v>325</v>
      </c>
      <c r="U49" s="39">
        <v>-74.143321291848295</v>
      </c>
      <c r="V49" s="47">
        <v>4.6752559648875103</v>
      </c>
    </row>
    <row r="50" spans="1:22">
      <c r="A50" s="35" t="s">
        <v>1324</v>
      </c>
      <c r="B50" s="34" t="s">
        <v>1325</v>
      </c>
      <c r="C50" s="33" t="s">
        <v>363</v>
      </c>
    </row>
    <row r="51" spans="1:22">
      <c r="A51" s="35" t="s">
        <v>1326</v>
      </c>
      <c r="B51" s="34" t="s">
        <v>200</v>
      </c>
      <c r="C51" s="33" t="s">
        <v>371</v>
      </c>
    </row>
    <row r="52" spans="1:22">
      <c r="A52" s="35" t="s">
        <v>1327</v>
      </c>
      <c r="B52" s="34" t="s">
        <v>1328</v>
      </c>
      <c r="C52" s="33" t="s">
        <v>263</v>
      </c>
    </row>
    <row r="53" spans="1:22">
      <c r="A53" s="35" t="s">
        <v>1329</v>
      </c>
      <c r="B53" s="34" t="s">
        <v>1330</v>
      </c>
      <c r="C53" s="33" t="s">
        <v>318</v>
      </c>
    </row>
    <row r="54" spans="1:22">
      <c r="A54" s="35" t="s">
        <v>1331</v>
      </c>
      <c r="B54" s="34" t="s">
        <v>323</v>
      </c>
      <c r="C54" s="33" t="s">
        <v>1332</v>
      </c>
    </row>
    <row r="55" spans="1:22">
      <c r="A55" s="35" t="s">
        <v>1333</v>
      </c>
      <c r="B55" s="34" t="s">
        <v>1334</v>
      </c>
      <c r="C55" s="33" t="s">
        <v>442</v>
      </c>
    </row>
    <row r="56" spans="1:22">
      <c r="A56" s="35" t="s">
        <v>1335</v>
      </c>
      <c r="B56" s="34" t="s">
        <v>1336</v>
      </c>
      <c r="C56" s="33" t="s">
        <v>283</v>
      </c>
    </row>
    <row r="57" spans="1:22">
      <c r="A57" s="35" t="s">
        <v>1337</v>
      </c>
      <c r="B57" s="34" t="s">
        <v>1338</v>
      </c>
      <c r="C57" s="33" t="s">
        <v>446</v>
      </c>
    </row>
    <row r="58" spans="1:22">
      <c r="A58" s="35" t="s">
        <v>1339</v>
      </c>
      <c r="B58" s="34" t="s">
        <v>1340</v>
      </c>
      <c r="C58" s="33" t="s">
        <v>338</v>
      </c>
    </row>
    <row r="59" spans="1:22">
      <c r="A59" s="35" t="s">
        <v>1341</v>
      </c>
      <c r="B59" s="34" t="s">
        <v>1342</v>
      </c>
      <c r="C59" s="33" t="s">
        <v>286</v>
      </c>
    </row>
    <row r="60" spans="1:22">
      <c r="A60" s="35" t="s">
        <v>1343</v>
      </c>
      <c r="B60" s="34" t="s">
        <v>1344</v>
      </c>
      <c r="C60" s="33" t="s">
        <v>281</v>
      </c>
    </row>
    <row r="61" spans="1:22">
      <c r="A61" s="35" t="s">
        <v>1345</v>
      </c>
      <c r="B61" s="34" t="s">
        <v>427</v>
      </c>
      <c r="C61" s="33" t="s">
        <v>1346</v>
      </c>
    </row>
    <row r="62" spans="1:22">
      <c r="A62" s="35" t="s">
        <v>1347</v>
      </c>
      <c r="B62" s="34" t="s">
        <v>1348</v>
      </c>
      <c r="C62" s="33" t="s">
        <v>486</v>
      </c>
    </row>
    <row r="63" spans="1:22">
      <c r="A63" s="35" t="s">
        <v>1349</v>
      </c>
      <c r="B63" s="34" t="s">
        <v>1350</v>
      </c>
      <c r="C63" s="33" t="s">
        <v>284</v>
      </c>
    </row>
    <row r="64" spans="1:22">
      <c r="A64" s="35" t="s">
        <v>1351</v>
      </c>
      <c r="B64" s="34" t="s">
        <v>1352</v>
      </c>
      <c r="C64" s="33" t="s">
        <v>432</v>
      </c>
    </row>
    <row r="65" spans="1:3">
      <c r="A65" s="35" t="s">
        <v>1353</v>
      </c>
      <c r="B65" s="34" t="s">
        <v>1354</v>
      </c>
      <c r="C65" s="33" t="s">
        <v>578</v>
      </c>
    </row>
    <row r="66" spans="1:3">
      <c r="A66" s="35" t="s">
        <v>1355</v>
      </c>
      <c r="B66" s="34" t="s">
        <v>1356</v>
      </c>
      <c r="C66" s="33" t="s">
        <v>408</v>
      </c>
    </row>
    <row r="67" spans="1:3">
      <c r="A67" s="35" t="s">
        <v>1357</v>
      </c>
      <c r="B67" s="34" t="s">
        <v>1358</v>
      </c>
      <c r="C67" s="33" t="s">
        <v>488</v>
      </c>
    </row>
    <row r="68" spans="1:3">
      <c r="A68" s="35" t="s">
        <v>1359</v>
      </c>
      <c r="B68" s="34" t="s">
        <v>1360</v>
      </c>
      <c r="C68" s="33" t="s">
        <v>276</v>
      </c>
    </row>
    <row r="69" spans="1:3">
      <c r="A69" s="35" t="s">
        <v>1361</v>
      </c>
      <c r="B69" s="34" t="s">
        <v>1362</v>
      </c>
      <c r="C69" s="33" t="s">
        <v>1363</v>
      </c>
    </row>
    <row r="70" spans="1:3">
      <c r="A70" s="35" t="s">
        <v>1364</v>
      </c>
      <c r="B70" s="34" t="s">
        <v>1365</v>
      </c>
      <c r="C70" s="33" t="s">
        <v>312</v>
      </c>
    </row>
    <row r="71" spans="1:3">
      <c r="A71" s="35" t="s">
        <v>1366</v>
      </c>
      <c r="B71" s="34" t="s">
        <v>1367</v>
      </c>
      <c r="C71" s="33" t="s">
        <v>295</v>
      </c>
    </row>
    <row r="72" spans="1:3">
      <c r="A72" s="35" t="s">
        <v>1368</v>
      </c>
      <c r="B72" s="34" t="s">
        <v>1369</v>
      </c>
      <c r="C72" s="33" t="s">
        <v>535</v>
      </c>
    </row>
    <row r="73" spans="1:3">
      <c r="A73" s="35" t="s">
        <v>1370</v>
      </c>
      <c r="B73" s="34" t="s">
        <v>1371</v>
      </c>
      <c r="C73" s="33" t="s">
        <v>1372</v>
      </c>
    </row>
    <row r="74" spans="1:3">
      <c r="A74" s="35" t="s">
        <v>1373</v>
      </c>
      <c r="B74" s="34" t="s">
        <v>1374</v>
      </c>
      <c r="C74" s="33" t="s">
        <v>1375</v>
      </c>
    </row>
    <row r="75" spans="1:3">
      <c r="A75" s="35" t="s">
        <v>1376</v>
      </c>
      <c r="B75" s="34" t="s">
        <v>1377</v>
      </c>
      <c r="C75" s="33" t="s">
        <v>331</v>
      </c>
    </row>
    <row r="76" spans="1:3">
      <c r="A76" s="35" t="s">
        <v>1378</v>
      </c>
      <c r="B76" s="34" t="s">
        <v>477</v>
      </c>
    </row>
    <row r="77" spans="1:3">
      <c r="A77" s="35" t="s">
        <v>1379</v>
      </c>
      <c r="B77" s="34" t="s">
        <v>382</v>
      </c>
    </row>
    <row r="78" spans="1:3">
      <c r="A78" s="35" t="s">
        <v>1380</v>
      </c>
      <c r="B78" s="34" t="s">
        <v>1381</v>
      </c>
    </row>
    <row r="79" spans="1:3">
      <c r="A79" s="35" t="s">
        <v>1382</v>
      </c>
      <c r="B79" s="34" t="s">
        <v>1383</v>
      </c>
    </row>
    <row r="80" spans="1:3">
      <c r="A80" s="35" t="s">
        <v>1384</v>
      </c>
      <c r="B80" s="34" t="s">
        <v>1385</v>
      </c>
    </row>
    <row r="81" spans="1:2">
      <c r="A81" s="35" t="s">
        <v>1386</v>
      </c>
      <c r="B81" s="34" t="s">
        <v>555</v>
      </c>
    </row>
    <row r="82" spans="1:2">
      <c r="A82" s="35" t="s">
        <v>1387</v>
      </c>
      <c r="B82" s="34" t="s">
        <v>1388</v>
      </c>
    </row>
    <row r="83" spans="1:2">
      <c r="A83" s="35" t="s">
        <v>1389</v>
      </c>
      <c r="B83" s="34" t="s">
        <v>1390</v>
      </c>
    </row>
    <row r="84" spans="1:2">
      <c r="A84" s="35" t="s">
        <v>1391</v>
      </c>
      <c r="B84" s="34" t="s">
        <v>1392</v>
      </c>
    </row>
    <row r="85" spans="1:2">
      <c r="A85" s="35" t="s">
        <v>1393</v>
      </c>
      <c r="B85" s="34" t="s">
        <v>265</v>
      </c>
    </row>
    <row r="86" spans="1:2">
      <c r="A86" s="35" t="s">
        <v>1394</v>
      </c>
      <c r="B86" s="34" t="s">
        <v>1395</v>
      </c>
    </row>
    <row r="87" spans="1:2">
      <c r="A87" s="35" t="s">
        <v>1396</v>
      </c>
      <c r="B87" s="34" t="s">
        <v>1397</v>
      </c>
    </row>
    <row r="88" spans="1:2">
      <c r="A88" s="35" t="s">
        <v>1398</v>
      </c>
      <c r="B88" s="34" t="s">
        <v>1399</v>
      </c>
    </row>
    <row r="89" spans="1:2">
      <c r="A89" s="35" t="s">
        <v>1400</v>
      </c>
      <c r="B89" s="34" t="s">
        <v>1401</v>
      </c>
    </row>
    <row r="90" spans="1:2">
      <c r="A90" s="35" t="s">
        <v>1402</v>
      </c>
      <c r="B90" s="34" t="s">
        <v>1403</v>
      </c>
    </row>
    <row r="91" spans="1:2">
      <c r="A91" s="35" t="s">
        <v>1404</v>
      </c>
      <c r="B91" s="34" t="s">
        <v>1405</v>
      </c>
    </row>
    <row r="92" spans="1:2">
      <c r="A92" s="35" t="s">
        <v>1406</v>
      </c>
      <c r="B92" s="34" t="s">
        <v>1407</v>
      </c>
    </row>
    <row r="93" spans="1:2">
      <c r="A93" s="35" t="s">
        <v>1408</v>
      </c>
      <c r="B93" s="34" t="s">
        <v>1409</v>
      </c>
    </row>
    <row r="94" spans="1:2">
      <c r="A94" s="35" t="s">
        <v>1410</v>
      </c>
      <c r="B94" s="34" t="s">
        <v>1411</v>
      </c>
    </row>
    <row r="95" spans="1:2">
      <c r="A95" s="35" t="s">
        <v>1412</v>
      </c>
      <c r="B95" s="34" t="s">
        <v>424</v>
      </c>
    </row>
    <row r="96" spans="1:2">
      <c r="A96" s="35" t="s">
        <v>1413</v>
      </c>
      <c r="B96" s="34" t="s">
        <v>1414</v>
      </c>
    </row>
    <row r="97" spans="1:2">
      <c r="A97" s="35" t="s">
        <v>1415</v>
      </c>
      <c r="B97" s="34" t="s">
        <v>1416</v>
      </c>
    </row>
    <row r="98" spans="1:2">
      <c r="A98" s="35" t="s">
        <v>1417</v>
      </c>
      <c r="B98" s="34" t="s">
        <v>1418</v>
      </c>
    </row>
    <row r="99" spans="1:2">
      <c r="A99" s="35" t="s">
        <v>1419</v>
      </c>
      <c r="B99" s="34" t="s">
        <v>1420</v>
      </c>
    </row>
    <row r="100" spans="1:2">
      <c r="A100" s="35" t="s">
        <v>1421</v>
      </c>
      <c r="B100" s="34" t="s">
        <v>1422</v>
      </c>
    </row>
    <row r="101" spans="1:2">
      <c r="A101" s="35" t="s">
        <v>1423</v>
      </c>
      <c r="B101" s="34" t="s">
        <v>1424</v>
      </c>
    </row>
    <row r="102" spans="1:2">
      <c r="A102" s="35" t="s">
        <v>1425</v>
      </c>
      <c r="B102" s="34" t="s">
        <v>1426</v>
      </c>
    </row>
    <row r="103" spans="1:2">
      <c r="A103" s="35" t="s">
        <v>1427</v>
      </c>
      <c r="B103" s="34" t="s">
        <v>1428</v>
      </c>
    </row>
    <row r="104" spans="1:2">
      <c r="A104" s="35" t="s">
        <v>1429</v>
      </c>
      <c r="B104" s="34" t="s">
        <v>1430</v>
      </c>
    </row>
    <row r="105" spans="1:2">
      <c r="A105" s="35" t="s">
        <v>1431</v>
      </c>
      <c r="B105" s="34" t="s">
        <v>278</v>
      </c>
    </row>
    <row r="106" spans="1:2">
      <c r="A106" s="35" t="s">
        <v>1432</v>
      </c>
      <c r="B106" s="34" t="s">
        <v>1433</v>
      </c>
    </row>
    <row r="107" spans="1:2">
      <c r="A107" s="35" t="s">
        <v>1434</v>
      </c>
      <c r="B107" s="34" t="s">
        <v>273</v>
      </c>
    </row>
    <row r="108" spans="1:2">
      <c r="A108" s="35" t="s">
        <v>1435</v>
      </c>
      <c r="B108" s="34" t="s">
        <v>291</v>
      </c>
    </row>
    <row r="109" spans="1:2">
      <c r="A109" s="35" t="s">
        <v>1436</v>
      </c>
      <c r="B109" s="34" t="s">
        <v>306</v>
      </c>
    </row>
    <row r="110" spans="1:2">
      <c r="A110" s="35" t="s">
        <v>1437</v>
      </c>
      <c r="B110" s="34" t="s">
        <v>354</v>
      </c>
    </row>
    <row r="111" spans="1:2">
      <c r="A111" s="35" t="s">
        <v>1438</v>
      </c>
      <c r="B111" s="34" t="s">
        <v>345</v>
      </c>
    </row>
    <row r="112" spans="1:2">
      <c r="A112" s="35">
        <v>50554</v>
      </c>
      <c r="B112" s="34" t="s">
        <v>83</v>
      </c>
    </row>
    <row r="113" spans="1:2">
      <c r="A113" s="35" t="s">
        <v>1439</v>
      </c>
      <c r="B113" s="34" t="s">
        <v>1440</v>
      </c>
    </row>
    <row r="114" spans="1:2">
      <c r="A114" s="35" t="s">
        <v>1441</v>
      </c>
      <c r="B114" s="34" t="s">
        <v>1442</v>
      </c>
    </row>
    <row r="115" spans="1:2">
      <c r="A115" s="35" t="s">
        <v>1443</v>
      </c>
      <c r="B115" s="34" t="s">
        <v>282</v>
      </c>
    </row>
    <row r="116" spans="1:2">
      <c r="A116" s="35" t="s">
        <v>1444</v>
      </c>
      <c r="B116" s="36" t="s">
        <v>1445</v>
      </c>
    </row>
    <row r="117" spans="1:2">
      <c r="A117" s="35" t="s">
        <v>1446</v>
      </c>
      <c r="B117" s="34" t="s">
        <v>1447</v>
      </c>
    </row>
    <row r="118" spans="1:2">
      <c r="A118" s="35" t="s">
        <v>1448</v>
      </c>
      <c r="B118" s="34" t="s">
        <v>1449</v>
      </c>
    </row>
    <row r="119" spans="1:2">
      <c r="A119" s="35" t="s">
        <v>1450</v>
      </c>
      <c r="B119" s="34" t="s">
        <v>1451</v>
      </c>
    </row>
    <row r="120" spans="1:2">
      <c r="A120" s="35" t="s">
        <v>1452</v>
      </c>
      <c r="B120" s="34" t="s">
        <v>1453</v>
      </c>
    </row>
    <row r="121" spans="1:2">
      <c r="A121" s="35" t="s">
        <v>1454</v>
      </c>
      <c r="B121" s="34" t="s">
        <v>1455</v>
      </c>
    </row>
    <row r="122" spans="1:2">
      <c r="A122" s="35" t="s">
        <v>1456</v>
      </c>
      <c r="B122" s="34" t="s">
        <v>469</v>
      </c>
    </row>
    <row r="123" spans="1:2">
      <c r="A123" s="35">
        <v>50335</v>
      </c>
      <c r="B123" s="35" t="s">
        <v>574</v>
      </c>
    </row>
    <row r="124" spans="1:2">
      <c r="A124" s="35" t="s">
        <v>1457</v>
      </c>
      <c r="B124" s="34" t="s">
        <v>275</v>
      </c>
    </row>
    <row r="125" spans="1:2">
      <c r="A125" s="35" t="s">
        <v>1458</v>
      </c>
      <c r="B125" s="34" t="s">
        <v>1459</v>
      </c>
    </row>
    <row r="126" spans="1:2">
      <c r="A126" s="35" t="s">
        <v>1460</v>
      </c>
      <c r="B126" s="34" t="s">
        <v>407</v>
      </c>
    </row>
    <row r="127" spans="1:2">
      <c r="A127" s="35" t="s">
        <v>1461</v>
      </c>
      <c r="B127" s="34" t="s">
        <v>1462</v>
      </c>
    </row>
    <row r="128" spans="1:2">
      <c r="A128" s="35" t="s">
        <v>1463</v>
      </c>
      <c r="B128" s="34" t="s">
        <v>300</v>
      </c>
    </row>
    <row r="129" spans="1:2">
      <c r="A129" s="35" t="s">
        <v>1464</v>
      </c>
      <c r="B129" s="34" t="s">
        <v>474</v>
      </c>
    </row>
    <row r="130" spans="1:2">
      <c r="A130" s="35" t="s">
        <v>1465</v>
      </c>
      <c r="B130" s="34" t="s">
        <v>1466</v>
      </c>
    </row>
    <row r="131" spans="1:2">
      <c r="A131" s="35" t="s">
        <v>1467</v>
      </c>
      <c r="B131" s="34" t="s">
        <v>260</v>
      </c>
    </row>
    <row r="132" spans="1:2">
      <c r="A132" s="35" t="s">
        <v>1468</v>
      </c>
      <c r="B132" s="34" t="s">
        <v>1469</v>
      </c>
    </row>
    <row r="133" spans="1:2">
      <c r="A133" s="35" t="s">
        <v>1470</v>
      </c>
      <c r="B133" s="34" t="s">
        <v>1471</v>
      </c>
    </row>
    <row r="134" spans="1:2">
      <c r="A134" s="35" t="s">
        <v>1472</v>
      </c>
      <c r="B134" s="34" t="s">
        <v>1473</v>
      </c>
    </row>
    <row r="135" spans="1:2">
      <c r="A135" s="35" t="s">
        <v>1474</v>
      </c>
      <c r="B135" s="34" t="s">
        <v>1475</v>
      </c>
    </row>
    <row r="136" spans="1:2">
      <c r="A136" s="35" t="s">
        <v>1476</v>
      </c>
      <c r="B136" s="34" t="s">
        <v>1477</v>
      </c>
    </row>
    <row r="137" spans="1:2">
      <c r="A137" s="35" t="s">
        <v>1478</v>
      </c>
      <c r="B137" s="34" t="s">
        <v>368</v>
      </c>
    </row>
    <row r="138" spans="1:2">
      <c r="A138" s="35" t="s">
        <v>1479</v>
      </c>
      <c r="B138" s="34" t="s">
        <v>1480</v>
      </c>
    </row>
    <row r="139" spans="1:2">
      <c r="A139" s="35" t="s">
        <v>1481</v>
      </c>
      <c r="B139" s="34" t="s">
        <v>1482</v>
      </c>
    </row>
    <row r="140" spans="1:2">
      <c r="A140" s="35" t="s">
        <v>1483</v>
      </c>
      <c r="B140" s="34" t="s">
        <v>1484</v>
      </c>
    </row>
    <row r="141" spans="1:2">
      <c r="A141" s="35" t="s">
        <v>1485</v>
      </c>
      <c r="B141" s="34" t="s">
        <v>1486</v>
      </c>
    </row>
    <row r="142" spans="1:2">
      <c r="A142" s="35" t="s">
        <v>1487</v>
      </c>
      <c r="B142" s="34" t="s">
        <v>225</v>
      </c>
    </row>
    <row r="143" spans="1:2">
      <c r="A143" s="35" t="s">
        <v>1488</v>
      </c>
      <c r="B143" s="36" t="s">
        <v>1489</v>
      </c>
    </row>
    <row r="144" spans="1:2">
      <c r="A144" s="35" t="s">
        <v>1490</v>
      </c>
      <c r="B144" s="34" t="s">
        <v>54</v>
      </c>
    </row>
    <row r="145" spans="1:2">
      <c r="A145" s="35" t="s">
        <v>1491</v>
      </c>
      <c r="B145" s="34" t="s">
        <v>1492</v>
      </c>
    </row>
    <row r="146" spans="1:2">
      <c r="A146" s="35" t="s">
        <v>1493</v>
      </c>
      <c r="B146" s="34" t="s">
        <v>1494</v>
      </c>
    </row>
    <row r="147" spans="1:2">
      <c r="A147" s="35" t="s">
        <v>1495</v>
      </c>
      <c r="B147" s="34" t="s">
        <v>529</v>
      </c>
    </row>
    <row r="148" spans="1:2">
      <c r="A148" s="35" t="s">
        <v>1496</v>
      </c>
      <c r="B148" s="34" t="s">
        <v>470</v>
      </c>
    </row>
    <row r="149" spans="1:2">
      <c r="A149" s="35" t="s">
        <v>1497</v>
      </c>
      <c r="B149" s="34" t="s">
        <v>328</v>
      </c>
    </row>
    <row r="150" spans="1:2">
      <c r="A150" s="35" t="s">
        <v>1498</v>
      </c>
      <c r="B150" s="34" t="s">
        <v>267</v>
      </c>
    </row>
    <row r="151" spans="1:2">
      <c r="A151" s="35" t="s">
        <v>1499</v>
      </c>
      <c r="B151" s="34" t="s">
        <v>1500</v>
      </c>
    </row>
    <row r="152" spans="1:2">
      <c r="A152" s="35" t="s">
        <v>1501</v>
      </c>
      <c r="B152" s="34" t="s">
        <v>264</v>
      </c>
    </row>
    <row r="153" spans="1:2">
      <c r="A153" s="35" t="s">
        <v>1502</v>
      </c>
      <c r="B153" s="34" t="s">
        <v>1503</v>
      </c>
    </row>
    <row r="154" spans="1:2">
      <c r="A154" s="35" t="s">
        <v>1504</v>
      </c>
      <c r="B154" s="34" t="s">
        <v>527</v>
      </c>
    </row>
    <row r="155" spans="1:2">
      <c r="A155" s="35" t="s">
        <v>1505</v>
      </c>
      <c r="B155" s="34" t="s">
        <v>1506</v>
      </c>
    </row>
    <row r="156" spans="1:2">
      <c r="A156" s="35" t="s">
        <v>1507</v>
      </c>
      <c r="B156" s="34" t="s">
        <v>1508</v>
      </c>
    </row>
    <row r="157" spans="1:2">
      <c r="A157" s="35" t="s">
        <v>1509</v>
      </c>
      <c r="B157" s="34" t="s">
        <v>1510</v>
      </c>
    </row>
    <row r="158" spans="1:2">
      <c r="A158" s="35" t="s">
        <v>1511</v>
      </c>
      <c r="B158" s="34" t="s">
        <v>1512</v>
      </c>
    </row>
    <row r="159" spans="1:2">
      <c r="A159" s="35" t="s">
        <v>1513</v>
      </c>
      <c r="B159" s="34" t="s">
        <v>1514</v>
      </c>
    </row>
    <row r="160" spans="1:2">
      <c r="A160" s="35" t="s">
        <v>1515</v>
      </c>
      <c r="B160" s="34" t="s">
        <v>1516</v>
      </c>
    </row>
    <row r="161" spans="1:2">
      <c r="A161" s="35" t="s">
        <v>1517</v>
      </c>
      <c r="B161" s="34" t="s">
        <v>1518</v>
      </c>
    </row>
    <row r="162" spans="1:2">
      <c r="A162" s="35" t="s">
        <v>1519</v>
      </c>
      <c r="B162" s="34" t="s">
        <v>1520</v>
      </c>
    </row>
    <row r="163" spans="1:2">
      <c r="A163" s="35" t="s">
        <v>1521</v>
      </c>
      <c r="B163" s="34" t="s">
        <v>271</v>
      </c>
    </row>
    <row r="164" spans="1:2">
      <c r="A164" s="35" t="s">
        <v>1522</v>
      </c>
      <c r="B164" s="34" t="s">
        <v>1523</v>
      </c>
    </row>
    <row r="165" spans="1:2">
      <c r="A165" s="35" t="s">
        <v>1524</v>
      </c>
      <c r="B165" s="34" t="s">
        <v>1525</v>
      </c>
    </row>
    <row r="166" spans="1:2">
      <c r="A166" s="35" t="s">
        <v>1526</v>
      </c>
      <c r="B166" s="34" t="s">
        <v>1527</v>
      </c>
    </row>
    <row r="167" spans="1:2">
      <c r="A167" s="35" t="s">
        <v>1528</v>
      </c>
      <c r="B167" s="34" t="s">
        <v>1529</v>
      </c>
    </row>
    <row r="168" spans="1:2">
      <c r="A168" s="35" t="s">
        <v>1530</v>
      </c>
      <c r="B168" s="34" t="s">
        <v>1531</v>
      </c>
    </row>
    <row r="169" spans="1:2">
      <c r="A169" s="35" t="s">
        <v>1532</v>
      </c>
      <c r="B169" s="34" t="s">
        <v>288</v>
      </c>
    </row>
    <row r="170" spans="1:2">
      <c r="A170" s="35" t="s">
        <v>1533</v>
      </c>
      <c r="B170" s="34" t="s">
        <v>362</v>
      </c>
    </row>
    <row r="171" spans="1:2">
      <c r="A171" s="35" t="s">
        <v>1534</v>
      </c>
      <c r="B171" s="34" t="s">
        <v>1535</v>
      </c>
    </row>
    <row r="172" spans="1:2">
      <c r="A172" s="35" t="s">
        <v>1536</v>
      </c>
      <c r="B172" s="34" t="s">
        <v>1537</v>
      </c>
    </row>
    <row r="173" spans="1:2">
      <c r="A173" s="35" t="s">
        <v>1538</v>
      </c>
      <c r="B173" s="34" t="s">
        <v>1539</v>
      </c>
    </row>
    <row r="174" spans="1:2">
      <c r="A174" s="35" t="s">
        <v>1540</v>
      </c>
      <c r="B174" s="34" t="s">
        <v>1541</v>
      </c>
    </row>
    <row r="175" spans="1:2">
      <c r="A175" s="35" t="s">
        <v>1542</v>
      </c>
      <c r="B175" s="34" t="s">
        <v>1543</v>
      </c>
    </row>
    <row r="176" spans="1:2">
      <c r="A176" s="35" t="s">
        <v>1544</v>
      </c>
      <c r="B176" s="34" t="s">
        <v>1545</v>
      </c>
    </row>
    <row r="177" spans="1:2">
      <c r="A177" s="35" t="s">
        <v>1546</v>
      </c>
      <c r="B177" s="34" t="s">
        <v>1547</v>
      </c>
    </row>
    <row r="178" spans="1:2">
      <c r="A178" s="35" t="s">
        <v>1548</v>
      </c>
      <c r="B178" s="34" t="s">
        <v>1549</v>
      </c>
    </row>
    <row r="179" spans="1:2">
      <c r="A179" s="35" t="s">
        <v>1550</v>
      </c>
      <c r="B179" s="34" t="s">
        <v>1551</v>
      </c>
    </row>
    <row r="180" spans="1:2">
      <c r="A180" s="35" t="s">
        <v>1552</v>
      </c>
      <c r="B180" s="34" t="s">
        <v>1553</v>
      </c>
    </row>
    <row r="181" spans="1:2">
      <c r="A181" s="35" t="s">
        <v>1554</v>
      </c>
      <c r="B181" s="34" t="s">
        <v>1555</v>
      </c>
    </row>
    <row r="182" spans="1:2">
      <c r="A182" s="35" t="s">
        <v>1556</v>
      </c>
      <c r="B182" s="34" t="s">
        <v>1557</v>
      </c>
    </row>
    <row r="183" spans="1:2">
      <c r="A183" s="35" t="s">
        <v>1558</v>
      </c>
      <c r="B183" s="34" t="s">
        <v>1559</v>
      </c>
    </row>
    <row r="184" spans="1:2">
      <c r="A184" s="35" t="s">
        <v>1560</v>
      </c>
      <c r="B184" s="34" t="s">
        <v>1561</v>
      </c>
    </row>
    <row r="185" spans="1:2">
      <c r="A185" s="35" t="s">
        <v>1562</v>
      </c>
      <c r="B185" s="34" t="s">
        <v>1563</v>
      </c>
    </row>
    <row r="186" spans="1:2">
      <c r="A186" s="35" t="s">
        <v>1564</v>
      </c>
      <c r="B186" s="34" t="s">
        <v>1565</v>
      </c>
    </row>
    <row r="187" spans="1:2">
      <c r="A187" s="35" t="s">
        <v>1566</v>
      </c>
      <c r="B187" s="34" t="s">
        <v>1567</v>
      </c>
    </row>
    <row r="188" spans="1:2">
      <c r="A188" s="35" t="s">
        <v>1568</v>
      </c>
      <c r="B188" s="34" t="s">
        <v>1569</v>
      </c>
    </row>
    <row r="189" spans="1:2">
      <c r="A189" s="35" t="s">
        <v>1570</v>
      </c>
      <c r="B189" s="34" t="s">
        <v>1571</v>
      </c>
    </row>
    <row r="190" spans="1:2">
      <c r="A190" s="35" t="s">
        <v>1572</v>
      </c>
      <c r="B190" s="34" t="s">
        <v>1573</v>
      </c>
    </row>
    <row r="191" spans="1:2">
      <c r="A191" s="35" t="s">
        <v>1574</v>
      </c>
      <c r="B191" s="34" t="s">
        <v>1575</v>
      </c>
    </row>
    <row r="192" spans="1:2">
      <c r="A192" s="35" t="s">
        <v>1576</v>
      </c>
      <c r="B192" s="34" t="s">
        <v>1577</v>
      </c>
    </row>
    <row r="193" spans="1:2">
      <c r="A193" s="35" t="s">
        <v>1578</v>
      </c>
      <c r="B193" s="34" t="s">
        <v>1579</v>
      </c>
    </row>
    <row r="194" spans="1:2">
      <c r="A194" s="35" t="s">
        <v>1580</v>
      </c>
      <c r="B194" s="34" t="s">
        <v>1581</v>
      </c>
    </row>
    <row r="195" spans="1:2">
      <c r="A195" s="35" t="s">
        <v>1582</v>
      </c>
      <c r="B195" s="34" t="s">
        <v>1583</v>
      </c>
    </row>
    <row r="196" spans="1:2">
      <c r="A196" s="35" t="s">
        <v>1584</v>
      </c>
      <c r="B196" s="34" t="s">
        <v>1585</v>
      </c>
    </row>
    <row r="197" spans="1:2">
      <c r="A197" s="35" t="s">
        <v>1586</v>
      </c>
      <c r="B197" s="34" t="s">
        <v>1587</v>
      </c>
    </row>
    <row r="198" spans="1:2">
      <c r="A198" s="35" t="s">
        <v>1588</v>
      </c>
      <c r="B198" s="34" t="s">
        <v>1589</v>
      </c>
    </row>
    <row r="199" spans="1:2">
      <c r="A199" s="35" t="s">
        <v>1590</v>
      </c>
      <c r="B199" s="34" t="s">
        <v>309</v>
      </c>
    </row>
    <row r="200" spans="1:2">
      <c r="A200" s="35" t="s">
        <v>1591</v>
      </c>
      <c r="B200" s="34" t="s">
        <v>1592</v>
      </c>
    </row>
    <row r="201" spans="1:2">
      <c r="A201" s="35" t="s">
        <v>1593</v>
      </c>
      <c r="B201" s="34" t="s">
        <v>1594</v>
      </c>
    </row>
    <row r="202" spans="1:2">
      <c r="A202" s="35" t="s">
        <v>1595</v>
      </c>
      <c r="B202" s="34" t="s">
        <v>1596</v>
      </c>
    </row>
    <row r="203" spans="1:2">
      <c r="A203" s="35" t="s">
        <v>1597</v>
      </c>
      <c r="B203" s="34" t="s">
        <v>1598</v>
      </c>
    </row>
    <row r="204" spans="1:2">
      <c r="A204" s="35" t="s">
        <v>1599</v>
      </c>
      <c r="B204" s="34" t="s">
        <v>1600</v>
      </c>
    </row>
    <row r="205" spans="1:2">
      <c r="A205" s="35" t="s">
        <v>1601</v>
      </c>
      <c r="B205" s="34" t="s">
        <v>1602</v>
      </c>
    </row>
    <row r="206" spans="1:2">
      <c r="A206" s="35" t="s">
        <v>1603</v>
      </c>
      <c r="B206" s="34" t="s">
        <v>1604</v>
      </c>
    </row>
    <row r="207" spans="1:2">
      <c r="A207" s="35" t="s">
        <v>1605</v>
      </c>
      <c r="B207" s="34" t="s">
        <v>1606</v>
      </c>
    </row>
    <row r="208" spans="1:2">
      <c r="A208" s="35" t="s">
        <v>1607</v>
      </c>
      <c r="B208" s="34" t="s">
        <v>1608</v>
      </c>
    </row>
    <row r="209" spans="1:2">
      <c r="A209" s="35" t="s">
        <v>1609</v>
      </c>
      <c r="B209" s="34" t="s">
        <v>1610</v>
      </c>
    </row>
    <row r="210" spans="1:2">
      <c r="A210" s="35" t="s">
        <v>1611</v>
      </c>
      <c r="B210" s="34" t="s">
        <v>1612</v>
      </c>
    </row>
    <row r="211" spans="1:2">
      <c r="A211" s="35" t="s">
        <v>1613</v>
      </c>
      <c r="B211" s="34" t="s">
        <v>1614</v>
      </c>
    </row>
    <row r="212" spans="1:2">
      <c r="A212" s="35" t="s">
        <v>1615</v>
      </c>
      <c r="B212" s="34" t="s">
        <v>1616</v>
      </c>
    </row>
    <row r="213" spans="1:2">
      <c r="A213" s="35" t="s">
        <v>1617</v>
      </c>
      <c r="B213" s="34" t="s">
        <v>1618</v>
      </c>
    </row>
    <row r="214" spans="1:2">
      <c r="A214" s="35" t="s">
        <v>1619</v>
      </c>
      <c r="B214" s="34" t="s">
        <v>1620</v>
      </c>
    </row>
    <row r="215" spans="1:2">
      <c r="A215" s="35" t="s">
        <v>1621</v>
      </c>
      <c r="B215" s="34" t="s">
        <v>1622</v>
      </c>
    </row>
    <row r="216" spans="1:2">
      <c r="A216" s="35" t="s">
        <v>1623</v>
      </c>
      <c r="B216" s="34" t="s">
        <v>1624</v>
      </c>
    </row>
    <row r="217" spans="1:2">
      <c r="A217" s="35" t="s">
        <v>1625</v>
      </c>
      <c r="B217" s="34" t="s">
        <v>1626</v>
      </c>
    </row>
    <row r="218" spans="1:2">
      <c r="A218" s="35" t="s">
        <v>1627</v>
      </c>
      <c r="B218" s="34" t="s">
        <v>1628</v>
      </c>
    </row>
    <row r="219" spans="1:2">
      <c r="A219" s="35" t="s">
        <v>1629</v>
      </c>
      <c r="B219" s="34" t="s">
        <v>1630</v>
      </c>
    </row>
    <row r="220" spans="1:2">
      <c r="A220" s="35" t="s">
        <v>1631</v>
      </c>
      <c r="B220" s="34" t="s">
        <v>1632</v>
      </c>
    </row>
    <row r="221" spans="1:2">
      <c r="A221" s="35" t="s">
        <v>1633</v>
      </c>
      <c r="B221" s="34" t="s">
        <v>1634</v>
      </c>
    </row>
    <row r="222" spans="1:2">
      <c r="A222" s="35" t="s">
        <v>1635</v>
      </c>
      <c r="B222" s="34" t="s">
        <v>1636</v>
      </c>
    </row>
    <row r="223" spans="1:2">
      <c r="A223" s="35" t="s">
        <v>1637</v>
      </c>
      <c r="B223" s="34" t="s">
        <v>1638</v>
      </c>
    </row>
    <row r="224" spans="1:2">
      <c r="A224" s="35" t="s">
        <v>1639</v>
      </c>
      <c r="B224" s="34" t="s">
        <v>411</v>
      </c>
    </row>
    <row r="225" spans="1:2">
      <c r="A225" s="35" t="s">
        <v>1640</v>
      </c>
      <c r="B225" s="34" t="s">
        <v>1641</v>
      </c>
    </row>
    <row r="226" spans="1:2">
      <c r="A226" s="35" t="s">
        <v>1642</v>
      </c>
      <c r="B226" s="34" t="s">
        <v>1643</v>
      </c>
    </row>
    <row r="227" spans="1:2">
      <c r="A227" s="35" t="s">
        <v>1644</v>
      </c>
      <c r="B227" s="34" t="s">
        <v>1645</v>
      </c>
    </row>
    <row r="228" spans="1:2">
      <c r="A228" s="35" t="s">
        <v>1646</v>
      </c>
      <c r="B228" s="34" t="s">
        <v>445</v>
      </c>
    </row>
    <row r="229" spans="1:2">
      <c r="A229" s="35" t="s">
        <v>1647</v>
      </c>
      <c r="B229" s="34" t="s">
        <v>1648</v>
      </c>
    </row>
    <row r="230" spans="1:2">
      <c r="A230" s="35" t="s">
        <v>1649</v>
      </c>
      <c r="B230" s="34" t="s">
        <v>1650</v>
      </c>
    </row>
    <row r="231" spans="1:2">
      <c r="A231" s="35" t="s">
        <v>1651</v>
      </c>
      <c r="B231" s="34" t="s">
        <v>1652</v>
      </c>
    </row>
    <row r="232" spans="1:2">
      <c r="A232" s="35" t="s">
        <v>1653</v>
      </c>
      <c r="B232" s="34" t="s">
        <v>1654</v>
      </c>
    </row>
    <row r="233" spans="1:2">
      <c r="A233" s="35" t="s">
        <v>1655</v>
      </c>
      <c r="B233" s="34" t="s">
        <v>333</v>
      </c>
    </row>
    <row r="234" spans="1:2">
      <c r="A234" s="35" t="s">
        <v>1656</v>
      </c>
      <c r="B234" s="34" t="s">
        <v>1657</v>
      </c>
    </row>
    <row r="235" spans="1:2">
      <c r="A235" s="35" t="s">
        <v>1658</v>
      </c>
      <c r="B235" s="34" t="s">
        <v>1659</v>
      </c>
    </row>
    <row r="236" spans="1:2">
      <c r="A236" s="35" t="s">
        <v>1660</v>
      </c>
      <c r="B236" s="34" t="s">
        <v>1661</v>
      </c>
    </row>
    <row r="237" spans="1:2">
      <c r="A237" s="35" t="s">
        <v>1662</v>
      </c>
      <c r="B237" s="34" t="s">
        <v>1663</v>
      </c>
    </row>
    <row r="238" spans="1:2">
      <c r="A238" s="35" t="s">
        <v>1664</v>
      </c>
      <c r="B238" s="34" t="s">
        <v>1665</v>
      </c>
    </row>
    <row r="239" spans="1:2">
      <c r="A239" s="35">
        <v>50854</v>
      </c>
      <c r="B239" s="34" t="s">
        <v>1666</v>
      </c>
    </row>
    <row r="240" spans="1:2">
      <c r="A240" s="35" t="s">
        <v>1667</v>
      </c>
      <c r="B240" s="34" t="s">
        <v>66</v>
      </c>
    </row>
    <row r="241" spans="1:2">
      <c r="A241" s="35" t="s">
        <v>1668</v>
      </c>
      <c r="B241" s="34" t="s">
        <v>1669</v>
      </c>
    </row>
    <row r="242" spans="1:2">
      <c r="A242" s="35" t="s">
        <v>1670</v>
      </c>
      <c r="B242" s="34" t="s">
        <v>1671</v>
      </c>
    </row>
    <row r="243" spans="1:2">
      <c r="A243" s="35" t="s">
        <v>1672</v>
      </c>
      <c r="B243" s="34" t="s">
        <v>1673</v>
      </c>
    </row>
    <row r="244" spans="1:2">
      <c r="A244" s="35" t="s">
        <v>1674</v>
      </c>
      <c r="B244" s="34" t="s">
        <v>1675</v>
      </c>
    </row>
    <row r="245" spans="1:2">
      <c r="A245" s="35" t="s">
        <v>1676</v>
      </c>
      <c r="B245" s="34" t="s">
        <v>1677</v>
      </c>
    </row>
    <row r="246" spans="1:2">
      <c r="A246" s="35" t="s">
        <v>1678</v>
      </c>
      <c r="B246" s="34" t="s">
        <v>1679</v>
      </c>
    </row>
    <row r="247" spans="1:2">
      <c r="A247" s="35" t="s">
        <v>1680</v>
      </c>
      <c r="B247" s="34" t="s">
        <v>1681</v>
      </c>
    </row>
    <row r="248" spans="1:2">
      <c r="A248" s="35" t="s">
        <v>1682</v>
      </c>
      <c r="B248" s="34" t="s">
        <v>1683</v>
      </c>
    </row>
    <row r="249" spans="1:2">
      <c r="A249" s="35" t="s">
        <v>1684</v>
      </c>
      <c r="B249" s="34" t="s">
        <v>1685</v>
      </c>
    </row>
    <row r="250" spans="1:2">
      <c r="A250" s="35" t="s">
        <v>1686</v>
      </c>
      <c r="B250" s="34" t="s">
        <v>1687</v>
      </c>
    </row>
    <row r="251" spans="1:2">
      <c r="A251" s="35" t="s">
        <v>1688</v>
      </c>
      <c r="B251" s="34" t="s">
        <v>1689</v>
      </c>
    </row>
    <row r="252" spans="1:2">
      <c r="A252" s="35" t="s">
        <v>1690</v>
      </c>
      <c r="B252" s="34" t="s">
        <v>1691</v>
      </c>
    </row>
    <row r="253" spans="1:2">
      <c r="A253" s="35" t="s">
        <v>1692</v>
      </c>
      <c r="B253" s="34" t="s">
        <v>1693</v>
      </c>
    </row>
    <row r="254" spans="1:2">
      <c r="A254" s="35" t="s">
        <v>1694</v>
      </c>
      <c r="B254" s="34" t="s">
        <v>1695</v>
      </c>
    </row>
    <row r="255" spans="1:2">
      <c r="A255" s="35" t="s">
        <v>1696</v>
      </c>
      <c r="B255" s="34" t="s">
        <v>1697</v>
      </c>
    </row>
    <row r="256" spans="1:2">
      <c r="A256" s="35" t="s">
        <v>1698</v>
      </c>
      <c r="B256" s="34" t="s">
        <v>1699</v>
      </c>
    </row>
    <row r="257" spans="1:2">
      <c r="A257" s="35" t="s">
        <v>1700</v>
      </c>
      <c r="B257" s="34" t="s">
        <v>389</v>
      </c>
    </row>
    <row r="258" spans="1:2">
      <c r="A258" s="35" t="s">
        <v>1701</v>
      </c>
      <c r="B258" s="34" t="s">
        <v>450</v>
      </c>
    </row>
    <row r="259" spans="1:2">
      <c r="A259" s="35" t="s">
        <v>1702</v>
      </c>
      <c r="B259" s="34" t="s">
        <v>1703</v>
      </c>
    </row>
    <row r="260" spans="1:2">
      <c r="A260" s="35" t="s">
        <v>1704</v>
      </c>
      <c r="B260" s="34" t="s">
        <v>1705</v>
      </c>
    </row>
    <row r="261" spans="1:2">
      <c r="A261" s="35" t="s">
        <v>1706</v>
      </c>
      <c r="B261" s="34" t="s">
        <v>1707</v>
      </c>
    </row>
    <row r="262" spans="1:2">
      <c r="A262" s="35" t="s">
        <v>1708</v>
      </c>
      <c r="B262" s="34" t="s">
        <v>266</v>
      </c>
    </row>
    <row r="263" spans="1:2">
      <c r="A263" s="35" t="s">
        <v>1709</v>
      </c>
      <c r="B263" s="34" t="s">
        <v>1710</v>
      </c>
    </row>
    <row r="264" spans="1:2">
      <c r="A264" s="35" t="s">
        <v>1711</v>
      </c>
      <c r="B264" s="34" t="s">
        <v>404</v>
      </c>
    </row>
    <row r="265" spans="1:2">
      <c r="A265" s="35" t="s">
        <v>1712</v>
      </c>
      <c r="B265" s="34" t="s">
        <v>1713</v>
      </c>
    </row>
    <row r="266" spans="1:2">
      <c r="A266" s="35" t="s">
        <v>1714</v>
      </c>
      <c r="B266" s="34" t="s">
        <v>315</v>
      </c>
    </row>
    <row r="267" spans="1:2">
      <c r="A267" s="35" t="s">
        <v>1715</v>
      </c>
      <c r="B267" s="34" t="s">
        <v>316</v>
      </c>
    </row>
    <row r="268" spans="1:2">
      <c r="A268" s="35" t="s">
        <v>1716</v>
      </c>
      <c r="B268" s="34" t="s">
        <v>1717</v>
      </c>
    </row>
    <row r="269" spans="1:2">
      <c r="A269" s="35" t="s">
        <v>1718</v>
      </c>
      <c r="B269" s="34" t="s">
        <v>1719</v>
      </c>
    </row>
    <row r="270" spans="1:2">
      <c r="A270" s="35" t="s">
        <v>1720</v>
      </c>
      <c r="B270" s="34" t="s">
        <v>1721</v>
      </c>
    </row>
    <row r="271" spans="1:2">
      <c r="A271" s="35" t="s">
        <v>1722</v>
      </c>
      <c r="B271" s="34" t="s">
        <v>1723</v>
      </c>
    </row>
    <row r="272" spans="1:2">
      <c r="A272" s="35" t="s">
        <v>1724</v>
      </c>
      <c r="B272" s="34" t="s">
        <v>1725</v>
      </c>
    </row>
    <row r="273" spans="1:2">
      <c r="A273" s="35" t="s">
        <v>1726</v>
      </c>
      <c r="B273" s="34" t="s">
        <v>517</v>
      </c>
    </row>
    <row r="274" spans="1:2">
      <c r="A274" s="35" t="s">
        <v>1727</v>
      </c>
      <c r="B274" s="34" t="s">
        <v>1728</v>
      </c>
    </row>
    <row r="275" spans="1:2">
      <c r="A275" s="35" t="s">
        <v>1729</v>
      </c>
      <c r="B275" s="34" t="s">
        <v>1730</v>
      </c>
    </row>
    <row r="276" spans="1:2">
      <c r="A276" s="35" t="s">
        <v>1731</v>
      </c>
      <c r="B276" s="34" t="s">
        <v>1732</v>
      </c>
    </row>
    <row r="277" spans="1:2">
      <c r="A277" s="35" t="s">
        <v>1733</v>
      </c>
      <c r="B277" s="34" t="s">
        <v>1734</v>
      </c>
    </row>
    <row r="278" spans="1:2">
      <c r="A278" s="35" t="s">
        <v>1735</v>
      </c>
      <c r="B278" s="34" t="s">
        <v>1736</v>
      </c>
    </row>
    <row r="279" spans="1:2">
      <c r="A279" s="35" t="s">
        <v>1737</v>
      </c>
      <c r="B279" s="34" t="s">
        <v>1738</v>
      </c>
    </row>
    <row r="280" spans="1:2">
      <c r="A280" s="35" t="s">
        <v>1739</v>
      </c>
      <c r="B280" s="34" t="s">
        <v>1740</v>
      </c>
    </row>
    <row r="281" spans="1:2">
      <c r="A281" s="35" t="s">
        <v>1741</v>
      </c>
      <c r="B281" s="34" t="s">
        <v>1742</v>
      </c>
    </row>
    <row r="282" spans="1:2">
      <c r="A282" s="35" t="s">
        <v>1743</v>
      </c>
      <c r="B282" s="34" t="s">
        <v>1744</v>
      </c>
    </row>
    <row r="283" spans="1:2">
      <c r="A283" s="35" t="s">
        <v>1745</v>
      </c>
      <c r="B283" s="34" t="s">
        <v>1746</v>
      </c>
    </row>
    <row r="284" spans="1:2">
      <c r="A284" s="35" t="s">
        <v>1747</v>
      </c>
      <c r="B284" s="34" t="s">
        <v>1748</v>
      </c>
    </row>
    <row r="285" spans="1:2">
      <c r="A285" s="35" t="s">
        <v>1749</v>
      </c>
      <c r="B285" s="34" t="s">
        <v>1750</v>
      </c>
    </row>
    <row r="286" spans="1:2">
      <c r="A286" s="35" t="s">
        <v>1751</v>
      </c>
      <c r="B286" s="34" t="s">
        <v>1752</v>
      </c>
    </row>
    <row r="287" spans="1:2">
      <c r="A287" s="35" t="s">
        <v>1753</v>
      </c>
      <c r="B287" s="34" t="s">
        <v>1754</v>
      </c>
    </row>
    <row r="288" spans="1:2">
      <c r="A288" s="35" t="s">
        <v>1755</v>
      </c>
      <c r="B288" s="34" t="s">
        <v>1756</v>
      </c>
    </row>
    <row r="289" spans="1:2">
      <c r="A289" s="35" t="s">
        <v>1757</v>
      </c>
      <c r="B289" s="34" t="s">
        <v>1758</v>
      </c>
    </row>
    <row r="290" spans="1:2">
      <c r="A290" s="35" t="s">
        <v>1759</v>
      </c>
      <c r="B290" s="34" t="s">
        <v>280</v>
      </c>
    </row>
    <row r="291" spans="1:2">
      <c r="A291" s="35" t="s">
        <v>1760</v>
      </c>
      <c r="B291" s="34" t="s">
        <v>1761</v>
      </c>
    </row>
    <row r="292" spans="1:2">
      <c r="A292" s="35" t="s">
        <v>1762</v>
      </c>
      <c r="B292" s="34" t="s">
        <v>290</v>
      </c>
    </row>
    <row r="293" spans="1:2">
      <c r="A293" s="35" t="s">
        <v>1763</v>
      </c>
      <c r="B293" s="34" t="s">
        <v>1764</v>
      </c>
    </row>
    <row r="294" spans="1:2">
      <c r="A294" s="35" t="s">
        <v>1765</v>
      </c>
      <c r="B294" s="34" t="s">
        <v>1766</v>
      </c>
    </row>
    <row r="295" spans="1:2">
      <c r="A295" s="35" t="s">
        <v>1767</v>
      </c>
      <c r="B295" s="34" t="s">
        <v>1768</v>
      </c>
    </row>
    <row r="296" spans="1:2">
      <c r="A296" s="35" t="s">
        <v>1769</v>
      </c>
      <c r="B296" s="34" t="s">
        <v>272</v>
      </c>
    </row>
    <row r="297" spans="1:2">
      <c r="A297" s="35" t="s">
        <v>1770</v>
      </c>
      <c r="B297" s="34" t="s">
        <v>1771</v>
      </c>
    </row>
    <row r="298" spans="1:2">
      <c r="A298" s="35" t="s">
        <v>1772</v>
      </c>
      <c r="B298" s="34" t="s">
        <v>410</v>
      </c>
    </row>
    <row r="299" spans="1:2">
      <c r="A299" s="35" t="s">
        <v>1773</v>
      </c>
      <c r="B299" s="34" t="s">
        <v>1774</v>
      </c>
    </row>
    <row r="300" spans="1:2">
      <c r="A300" s="35" t="s">
        <v>1775</v>
      </c>
      <c r="B300" s="34" t="s">
        <v>451</v>
      </c>
    </row>
    <row r="301" spans="1:2">
      <c r="A301" s="35" t="s">
        <v>1776</v>
      </c>
      <c r="B301" s="34" t="s">
        <v>310</v>
      </c>
    </row>
    <row r="302" spans="1:2">
      <c r="A302" s="35" t="s">
        <v>1777</v>
      </c>
      <c r="B302" s="34" t="s">
        <v>1778</v>
      </c>
    </row>
    <row r="303" spans="1:2">
      <c r="A303" s="35" t="s">
        <v>1779</v>
      </c>
      <c r="B303" s="34" t="s">
        <v>1780</v>
      </c>
    </row>
    <row r="304" spans="1:2">
      <c r="A304" s="35" t="s">
        <v>1781</v>
      </c>
      <c r="B304" s="34" t="s">
        <v>1782</v>
      </c>
    </row>
    <row r="305" spans="1:2">
      <c r="A305" s="35" t="s">
        <v>1783</v>
      </c>
      <c r="B305" s="34" t="s">
        <v>1784</v>
      </c>
    </row>
    <row r="306" spans="1:2">
      <c r="A306" s="35" t="s">
        <v>1785</v>
      </c>
      <c r="B306" s="34" t="s">
        <v>302</v>
      </c>
    </row>
    <row r="307" spans="1:2">
      <c r="A307" s="35" t="s">
        <v>1786</v>
      </c>
      <c r="B307" s="34" t="s">
        <v>227</v>
      </c>
    </row>
    <row r="308" spans="1:2">
      <c r="A308" s="35" t="s">
        <v>1787</v>
      </c>
      <c r="B308" s="34" t="s">
        <v>1788</v>
      </c>
    </row>
    <row r="309" spans="1:2">
      <c r="A309" s="35" t="s">
        <v>1789</v>
      </c>
      <c r="B309" s="34" t="s">
        <v>1790</v>
      </c>
    </row>
    <row r="310" spans="1:2">
      <c r="A310" s="35" t="s">
        <v>1791</v>
      </c>
      <c r="B310" s="34" t="s">
        <v>1792</v>
      </c>
    </row>
    <row r="311" spans="1:2">
      <c r="A311" s="35" t="s">
        <v>1793</v>
      </c>
      <c r="B311" s="34" t="s">
        <v>1794</v>
      </c>
    </row>
    <row r="312" spans="1:2">
      <c r="A312" s="35" t="s">
        <v>1795</v>
      </c>
      <c r="B312" s="34" t="s">
        <v>1796</v>
      </c>
    </row>
    <row r="313" spans="1:2">
      <c r="A313" s="35" t="s">
        <v>1797</v>
      </c>
      <c r="B313" s="34" t="s">
        <v>1798</v>
      </c>
    </row>
    <row r="314" spans="1:2">
      <c r="A314" s="35" t="s">
        <v>1799</v>
      </c>
      <c r="B314" s="34" t="s">
        <v>1800</v>
      </c>
    </row>
    <row r="315" spans="1:2">
      <c r="A315" s="35" t="s">
        <v>1801</v>
      </c>
      <c r="B315" s="34" t="s">
        <v>304</v>
      </c>
    </row>
    <row r="316" spans="1:2">
      <c r="A316" s="35" t="s">
        <v>1802</v>
      </c>
      <c r="B316" s="34" t="s">
        <v>1803</v>
      </c>
    </row>
    <row r="317" spans="1:2">
      <c r="A317" s="35" t="s">
        <v>1804</v>
      </c>
      <c r="B317" s="34" t="s">
        <v>1805</v>
      </c>
    </row>
    <row r="318" spans="1:2">
      <c r="A318" s="35" t="s">
        <v>1806</v>
      </c>
      <c r="B318" s="34" t="s">
        <v>90</v>
      </c>
    </row>
    <row r="319" spans="1:2">
      <c r="A319" s="35" t="s">
        <v>1807</v>
      </c>
      <c r="B319" s="34" t="s">
        <v>1808</v>
      </c>
    </row>
    <row r="320" spans="1:2">
      <c r="A320" s="35">
        <v>50619</v>
      </c>
      <c r="B320" s="34" t="s">
        <v>1809</v>
      </c>
    </row>
    <row r="321" spans="1:2">
      <c r="A321" s="35" t="s">
        <v>1810</v>
      </c>
      <c r="B321" s="34" t="s">
        <v>1811</v>
      </c>
    </row>
    <row r="322" spans="1:2">
      <c r="A322" s="35" t="s">
        <v>1812</v>
      </c>
      <c r="B322" s="34" t="s">
        <v>194</v>
      </c>
    </row>
    <row r="323" spans="1:2">
      <c r="A323" s="35" t="s">
        <v>1813</v>
      </c>
      <c r="B323" s="34" t="s">
        <v>1814</v>
      </c>
    </row>
    <row r="324" spans="1:2">
      <c r="A324" s="35" t="s">
        <v>1815</v>
      </c>
      <c r="B324" s="34" t="s">
        <v>1816</v>
      </c>
    </row>
    <row r="325" spans="1:2">
      <c r="A325" s="35" t="s">
        <v>1817</v>
      </c>
      <c r="B325" s="34" t="s">
        <v>1818</v>
      </c>
    </row>
    <row r="326" spans="1:2">
      <c r="A326" s="35" t="s">
        <v>1819</v>
      </c>
      <c r="B326" s="34" t="s">
        <v>1820</v>
      </c>
    </row>
    <row r="327" spans="1:2">
      <c r="A327" s="35" t="s">
        <v>1821</v>
      </c>
      <c r="B327" s="34" t="s">
        <v>1822</v>
      </c>
    </row>
    <row r="328" spans="1:2">
      <c r="A328" s="35" t="s">
        <v>1823</v>
      </c>
      <c r="B328" s="34" t="s">
        <v>1824</v>
      </c>
    </row>
    <row r="329" spans="1:2">
      <c r="A329" s="35" t="s">
        <v>1825</v>
      </c>
      <c r="B329" s="34" t="s">
        <v>1826</v>
      </c>
    </row>
    <row r="330" spans="1:2">
      <c r="A330" s="35" t="s">
        <v>1827</v>
      </c>
      <c r="B330" s="34" t="s">
        <v>350</v>
      </c>
    </row>
    <row r="331" spans="1:2">
      <c r="A331" s="35" t="s">
        <v>1828</v>
      </c>
      <c r="B331" s="34" t="s">
        <v>1829</v>
      </c>
    </row>
    <row r="332" spans="1:2">
      <c r="A332" s="35" t="s">
        <v>1830</v>
      </c>
      <c r="B332" s="34" t="s">
        <v>520</v>
      </c>
    </row>
    <row r="333" spans="1:2">
      <c r="A333" s="35" t="s">
        <v>1831</v>
      </c>
      <c r="B333" s="36" t="s">
        <v>1832</v>
      </c>
    </row>
    <row r="334" spans="1:2">
      <c r="A334" s="35" t="s">
        <v>1833</v>
      </c>
      <c r="B334" s="34" t="s">
        <v>1834</v>
      </c>
    </row>
    <row r="335" spans="1:2">
      <c r="A335" s="35" t="s">
        <v>1835</v>
      </c>
      <c r="B335" s="34" t="s">
        <v>1836</v>
      </c>
    </row>
    <row r="336" spans="1:2">
      <c r="A336" s="35" t="s">
        <v>1837</v>
      </c>
      <c r="B336" s="34" t="s">
        <v>1838</v>
      </c>
    </row>
    <row r="337" spans="1:2">
      <c r="A337" s="35" t="s">
        <v>1839</v>
      </c>
      <c r="B337" s="34" t="s">
        <v>1840</v>
      </c>
    </row>
    <row r="338" spans="1:2">
      <c r="A338" s="35" t="s">
        <v>1841</v>
      </c>
      <c r="B338" s="34" t="s">
        <v>1842</v>
      </c>
    </row>
    <row r="339" spans="1:2">
      <c r="A339" s="35" t="s">
        <v>1843</v>
      </c>
      <c r="B339" s="34" t="s">
        <v>1844</v>
      </c>
    </row>
    <row r="340" spans="1:2">
      <c r="A340" s="35" t="s">
        <v>1845</v>
      </c>
      <c r="B340" s="34" t="s">
        <v>1846</v>
      </c>
    </row>
    <row r="341" spans="1:2">
      <c r="A341" s="35" t="s">
        <v>1847</v>
      </c>
      <c r="B341" s="34" t="s">
        <v>1848</v>
      </c>
    </row>
    <row r="342" spans="1:2">
      <c r="A342" s="35" t="s">
        <v>1849</v>
      </c>
      <c r="B342" s="34" t="s">
        <v>305</v>
      </c>
    </row>
    <row r="343" spans="1:2">
      <c r="A343" s="35" t="s">
        <v>1850</v>
      </c>
      <c r="B343" s="34" t="s">
        <v>307</v>
      </c>
    </row>
    <row r="344" spans="1:2">
      <c r="A344" s="35" t="s">
        <v>1851</v>
      </c>
      <c r="B344" s="34" t="s">
        <v>1852</v>
      </c>
    </row>
    <row r="345" spans="1:2">
      <c r="A345" s="35" t="s">
        <v>1853</v>
      </c>
      <c r="B345" s="34" t="s">
        <v>1854</v>
      </c>
    </row>
    <row r="346" spans="1:2">
      <c r="A346" s="35" t="s">
        <v>1855</v>
      </c>
      <c r="B346" s="34" t="s">
        <v>1856</v>
      </c>
    </row>
    <row r="347" spans="1:2">
      <c r="A347" s="35" t="s">
        <v>1857</v>
      </c>
      <c r="B347" s="34" t="s">
        <v>1858</v>
      </c>
    </row>
    <row r="348" spans="1:2">
      <c r="A348" s="35" t="s">
        <v>1859</v>
      </c>
      <c r="B348" s="34" t="s">
        <v>1860</v>
      </c>
    </row>
    <row r="349" spans="1:2">
      <c r="A349" s="35" t="s">
        <v>1861</v>
      </c>
      <c r="B349" s="34" t="s">
        <v>1862</v>
      </c>
    </row>
    <row r="350" spans="1:2">
      <c r="A350" s="35" t="s">
        <v>1863</v>
      </c>
      <c r="B350" s="34" t="s">
        <v>1864</v>
      </c>
    </row>
    <row r="351" spans="1:2">
      <c r="A351" s="35" t="s">
        <v>1865</v>
      </c>
      <c r="B351" s="34" t="s">
        <v>1866</v>
      </c>
    </row>
    <row r="352" spans="1:2">
      <c r="A352" s="35" t="s">
        <v>1867</v>
      </c>
      <c r="B352" s="34" t="s">
        <v>1868</v>
      </c>
    </row>
    <row r="353" spans="1:2">
      <c r="A353" s="35" t="s">
        <v>1869</v>
      </c>
      <c r="B353" s="34" t="s">
        <v>1870</v>
      </c>
    </row>
    <row r="354" spans="1:2">
      <c r="A354" s="35" t="s">
        <v>1871</v>
      </c>
      <c r="B354" s="34" t="s">
        <v>243</v>
      </c>
    </row>
    <row r="355" spans="1:2">
      <c r="A355" s="35" t="s">
        <v>1872</v>
      </c>
      <c r="B355" s="34" t="s">
        <v>1873</v>
      </c>
    </row>
    <row r="356" spans="1:2">
      <c r="A356" s="35" t="s">
        <v>1874</v>
      </c>
      <c r="B356" s="34" t="s">
        <v>1875</v>
      </c>
    </row>
    <row r="357" spans="1:2">
      <c r="A357" s="35" t="s">
        <v>1876</v>
      </c>
      <c r="B357" s="34" t="s">
        <v>1877</v>
      </c>
    </row>
    <row r="358" spans="1:2">
      <c r="A358" s="35" t="s">
        <v>1878</v>
      </c>
      <c r="B358" s="34" t="s">
        <v>1879</v>
      </c>
    </row>
    <row r="359" spans="1:2">
      <c r="A359" s="35" t="s">
        <v>1880</v>
      </c>
      <c r="B359" s="34" t="s">
        <v>1881</v>
      </c>
    </row>
    <row r="360" spans="1:2">
      <c r="A360" s="35" t="s">
        <v>1882</v>
      </c>
      <c r="B360" s="34" t="s">
        <v>576</v>
      </c>
    </row>
    <row r="361" spans="1:2">
      <c r="A361" s="35" t="s">
        <v>1883</v>
      </c>
      <c r="B361" s="34" t="s">
        <v>1884</v>
      </c>
    </row>
    <row r="362" spans="1:2">
      <c r="A362" s="35" t="s">
        <v>1885</v>
      </c>
      <c r="B362" s="34" t="s">
        <v>1886</v>
      </c>
    </row>
    <row r="363" spans="1:2">
      <c r="A363" s="35" t="s">
        <v>1887</v>
      </c>
      <c r="B363" s="34" t="s">
        <v>1888</v>
      </c>
    </row>
    <row r="364" spans="1:2">
      <c r="A364" s="35" t="s">
        <v>1889</v>
      </c>
      <c r="B364" s="34" t="s">
        <v>572</v>
      </c>
    </row>
    <row r="365" spans="1:2">
      <c r="A365" s="35" t="s">
        <v>1890</v>
      </c>
      <c r="B365" s="34" t="s">
        <v>299</v>
      </c>
    </row>
    <row r="366" spans="1:2">
      <c r="A366" s="35" t="s">
        <v>1891</v>
      </c>
      <c r="B366" s="34" t="s">
        <v>1892</v>
      </c>
    </row>
    <row r="367" spans="1:2">
      <c r="A367" s="35" t="s">
        <v>1893</v>
      </c>
      <c r="B367" s="34" t="s">
        <v>1894</v>
      </c>
    </row>
    <row r="368" spans="1:2">
      <c r="A368" s="35" t="s">
        <v>1895</v>
      </c>
      <c r="B368" s="34" t="s">
        <v>1896</v>
      </c>
    </row>
    <row r="369" spans="1:2">
      <c r="A369" s="35" t="s">
        <v>1897</v>
      </c>
      <c r="B369" s="34" t="s">
        <v>1898</v>
      </c>
    </row>
    <row r="370" spans="1:2">
      <c r="A370" s="35" t="s">
        <v>1899</v>
      </c>
      <c r="B370" s="34" t="s">
        <v>1900</v>
      </c>
    </row>
    <row r="371" spans="1:2">
      <c r="A371" s="35">
        <v>50487</v>
      </c>
      <c r="B371" s="34" t="s">
        <v>1901</v>
      </c>
    </row>
    <row r="372" spans="1:2">
      <c r="A372" s="35" t="s">
        <v>1902</v>
      </c>
      <c r="B372" s="34" t="s">
        <v>1903</v>
      </c>
    </row>
    <row r="373" spans="1:2">
      <c r="A373" s="35" t="s">
        <v>1904</v>
      </c>
      <c r="B373" s="34" t="s">
        <v>1905</v>
      </c>
    </row>
    <row r="374" spans="1:2">
      <c r="A374" s="35" t="s">
        <v>1906</v>
      </c>
      <c r="B374" s="34" t="s">
        <v>1907</v>
      </c>
    </row>
    <row r="375" spans="1:2">
      <c r="A375" s="35" t="s">
        <v>1908</v>
      </c>
      <c r="B375" s="34" t="s">
        <v>1909</v>
      </c>
    </row>
    <row r="376" spans="1:2">
      <c r="A376" s="35" t="s">
        <v>1910</v>
      </c>
      <c r="B376" s="34" t="s">
        <v>1911</v>
      </c>
    </row>
    <row r="377" spans="1:2">
      <c r="A377" s="35" t="s">
        <v>1912</v>
      </c>
      <c r="B377" s="34" t="s">
        <v>1913</v>
      </c>
    </row>
    <row r="378" spans="1:2">
      <c r="A378" s="35" t="s">
        <v>1914</v>
      </c>
      <c r="B378" s="34" t="s">
        <v>365</v>
      </c>
    </row>
    <row r="379" spans="1:2">
      <c r="A379" s="35" t="s">
        <v>1915</v>
      </c>
      <c r="B379" s="34" t="s">
        <v>1916</v>
      </c>
    </row>
    <row r="380" spans="1:2">
      <c r="A380" s="35" t="s">
        <v>1917</v>
      </c>
      <c r="B380" s="34" t="s">
        <v>292</v>
      </c>
    </row>
    <row r="381" spans="1:2">
      <c r="A381" s="35" t="s">
        <v>1918</v>
      </c>
      <c r="B381" s="34" t="s">
        <v>441</v>
      </c>
    </row>
    <row r="382" spans="1:2">
      <c r="A382" s="35" t="s">
        <v>1919</v>
      </c>
      <c r="B382" s="34" t="s">
        <v>1920</v>
      </c>
    </row>
    <row r="383" spans="1:2">
      <c r="A383" s="35" t="s">
        <v>1921</v>
      </c>
      <c r="B383" s="34" t="s">
        <v>548</v>
      </c>
    </row>
    <row r="384" spans="1:2">
      <c r="A384" s="35" t="s">
        <v>1922</v>
      </c>
      <c r="B384" s="34" t="s">
        <v>1923</v>
      </c>
    </row>
    <row r="385" spans="1:2">
      <c r="A385" s="35" t="s">
        <v>1924</v>
      </c>
      <c r="B385" s="34" t="s">
        <v>1925</v>
      </c>
    </row>
    <row r="386" spans="1:2">
      <c r="A386" s="35" t="s">
        <v>1926</v>
      </c>
      <c r="B386" s="34" t="s">
        <v>537</v>
      </c>
    </row>
    <row r="387" spans="1:2">
      <c r="A387" s="35" t="s">
        <v>1927</v>
      </c>
      <c r="B387" s="34" t="s">
        <v>1928</v>
      </c>
    </row>
    <row r="388" spans="1:2">
      <c r="A388" s="35" t="s">
        <v>1929</v>
      </c>
      <c r="B388" s="34" t="s">
        <v>158</v>
      </c>
    </row>
    <row r="389" spans="1:2">
      <c r="A389" s="35" t="s">
        <v>1930</v>
      </c>
      <c r="B389" s="34" t="s">
        <v>1931</v>
      </c>
    </row>
    <row r="390" spans="1:2">
      <c r="A390" s="35" t="s">
        <v>1932</v>
      </c>
      <c r="B390" s="34" t="s">
        <v>1933</v>
      </c>
    </row>
    <row r="391" spans="1:2">
      <c r="A391" s="35" t="s">
        <v>1934</v>
      </c>
      <c r="B391" s="34" t="s">
        <v>262</v>
      </c>
    </row>
    <row r="392" spans="1:2">
      <c r="A392" s="35" t="s">
        <v>1935</v>
      </c>
      <c r="B392" s="36" t="s">
        <v>79</v>
      </c>
    </row>
    <row r="393" spans="1:2">
      <c r="A393" s="35" t="s">
        <v>1936</v>
      </c>
      <c r="B393" s="34" t="s">
        <v>1937</v>
      </c>
    </row>
    <row r="394" spans="1:2">
      <c r="A394" s="35" t="s">
        <v>1938</v>
      </c>
      <c r="B394" s="34" t="s">
        <v>1939</v>
      </c>
    </row>
    <row r="395" spans="1:2">
      <c r="A395" s="35" t="s">
        <v>1940</v>
      </c>
      <c r="B395" s="34" t="s">
        <v>580</v>
      </c>
    </row>
    <row r="396" spans="1:2">
      <c r="A396" s="35" t="s">
        <v>1941</v>
      </c>
      <c r="B396" s="34" t="s">
        <v>1942</v>
      </c>
    </row>
    <row r="397" spans="1:2">
      <c r="A397" s="35" t="s">
        <v>1943</v>
      </c>
      <c r="B397" s="34" t="s">
        <v>1944</v>
      </c>
    </row>
    <row r="398" spans="1:2">
      <c r="A398" s="35" t="s">
        <v>1945</v>
      </c>
      <c r="B398" s="34" t="s">
        <v>1946</v>
      </c>
    </row>
    <row r="399" spans="1:2">
      <c r="A399" s="35" t="s">
        <v>1947</v>
      </c>
      <c r="B399" s="34" t="s">
        <v>1948</v>
      </c>
    </row>
    <row r="400" spans="1:2">
      <c r="A400" s="35" t="s">
        <v>1949</v>
      </c>
      <c r="B400" s="34" t="s">
        <v>1950</v>
      </c>
    </row>
    <row r="401" spans="1:2">
      <c r="A401" s="35" t="s">
        <v>1951</v>
      </c>
      <c r="B401" s="34" t="s">
        <v>1952</v>
      </c>
    </row>
    <row r="402" spans="1:2">
      <c r="A402" s="35" t="s">
        <v>1953</v>
      </c>
      <c r="B402" s="34" t="s">
        <v>1954</v>
      </c>
    </row>
    <row r="403" spans="1:2">
      <c r="A403" s="35" t="s">
        <v>1955</v>
      </c>
      <c r="B403" s="34" t="s">
        <v>1956</v>
      </c>
    </row>
    <row r="404" spans="1:2">
      <c r="A404" s="35" t="s">
        <v>1957</v>
      </c>
      <c r="B404" s="34" t="s">
        <v>1958</v>
      </c>
    </row>
    <row r="405" spans="1:2">
      <c r="A405" s="35" t="s">
        <v>1959</v>
      </c>
      <c r="B405" s="34" t="s">
        <v>277</v>
      </c>
    </row>
    <row r="406" spans="1:2">
      <c r="A406" s="35" t="s">
        <v>1960</v>
      </c>
      <c r="B406" s="34" t="s">
        <v>1961</v>
      </c>
    </row>
    <row r="407" spans="1:2">
      <c r="A407" s="35" t="s">
        <v>1962</v>
      </c>
      <c r="B407" s="34" t="s">
        <v>436</v>
      </c>
    </row>
    <row r="408" spans="1:2">
      <c r="A408" s="35" t="s">
        <v>1963</v>
      </c>
      <c r="B408" s="34" t="s">
        <v>496</v>
      </c>
    </row>
    <row r="409" spans="1:2">
      <c r="A409" s="35" t="s">
        <v>1964</v>
      </c>
      <c r="B409" s="34" t="s">
        <v>1965</v>
      </c>
    </row>
    <row r="410" spans="1:2">
      <c r="A410" s="35" t="s">
        <v>1966</v>
      </c>
      <c r="B410" s="34" t="s">
        <v>313</v>
      </c>
    </row>
    <row r="411" spans="1:2">
      <c r="A411" s="35" t="s">
        <v>1967</v>
      </c>
      <c r="B411" s="34" t="s">
        <v>1968</v>
      </c>
    </row>
    <row r="412" spans="1:2">
      <c r="A412" s="35" t="s">
        <v>1969</v>
      </c>
      <c r="B412" s="34" t="s">
        <v>519</v>
      </c>
    </row>
    <row r="413" spans="1:2">
      <c r="A413" s="35" t="s">
        <v>1970</v>
      </c>
      <c r="B413" s="36" t="s">
        <v>473</v>
      </c>
    </row>
    <row r="414" spans="1:2">
      <c r="A414" s="35" t="s">
        <v>1971</v>
      </c>
      <c r="B414" s="34" t="s">
        <v>1972</v>
      </c>
    </row>
    <row r="415" spans="1:2">
      <c r="A415" s="35" t="s">
        <v>1973</v>
      </c>
      <c r="B415" s="34" t="s">
        <v>1974</v>
      </c>
    </row>
    <row r="416" spans="1:2">
      <c r="A416" s="35" t="s">
        <v>1975</v>
      </c>
      <c r="B416" s="34" t="s">
        <v>1976</v>
      </c>
    </row>
    <row r="417" spans="1:2">
      <c r="A417" s="35" t="s">
        <v>1977</v>
      </c>
      <c r="B417" s="34" t="s">
        <v>1978</v>
      </c>
    </row>
    <row r="418" spans="1:2">
      <c r="A418" s="35" t="s">
        <v>1979</v>
      </c>
      <c r="B418" s="34" t="s">
        <v>1980</v>
      </c>
    </row>
    <row r="419" spans="1:2">
      <c r="A419" s="35" t="s">
        <v>1981</v>
      </c>
      <c r="B419" s="34" t="s">
        <v>1982</v>
      </c>
    </row>
    <row r="420" spans="1:2">
      <c r="A420" s="35" t="s">
        <v>1983</v>
      </c>
      <c r="B420" s="34" t="s">
        <v>1984</v>
      </c>
    </row>
    <row r="421" spans="1:2">
      <c r="A421" s="35" t="s">
        <v>1985</v>
      </c>
      <c r="B421" s="34" t="s">
        <v>1986</v>
      </c>
    </row>
    <row r="422" spans="1:2">
      <c r="A422" s="35" t="s">
        <v>1987</v>
      </c>
      <c r="B422" s="34" t="s">
        <v>348</v>
      </c>
    </row>
    <row r="423" spans="1:2">
      <c r="A423" s="35" t="s">
        <v>1988</v>
      </c>
      <c r="B423" s="34" t="s">
        <v>119</v>
      </c>
    </row>
    <row r="424" spans="1:2">
      <c r="A424" s="35" t="s">
        <v>1989</v>
      </c>
      <c r="B424" s="34" t="s">
        <v>1990</v>
      </c>
    </row>
    <row r="425" spans="1:2">
      <c r="A425" s="35" t="s">
        <v>1991</v>
      </c>
      <c r="B425" s="34" t="s">
        <v>1992</v>
      </c>
    </row>
    <row r="426" spans="1:2">
      <c r="A426" s="35" t="s">
        <v>1993</v>
      </c>
      <c r="B426" s="34" t="s">
        <v>526</v>
      </c>
    </row>
    <row r="427" spans="1:2">
      <c r="A427" s="35" t="s">
        <v>1994</v>
      </c>
      <c r="B427" s="34" t="s">
        <v>1995</v>
      </c>
    </row>
    <row r="428" spans="1:2">
      <c r="A428" s="35" t="s">
        <v>1996</v>
      </c>
      <c r="B428" s="34" t="s">
        <v>1997</v>
      </c>
    </row>
    <row r="429" spans="1:2">
      <c r="A429" s="35" t="s">
        <v>1998</v>
      </c>
      <c r="B429" s="34" t="s">
        <v>1999</v>
      </c>
    </row>
    <row r="430" spans="1:2">
      <c r="A430" s="35">
        <v>50184</v>
      </c>
      <c r="B430" s="34" t="s">
        <v>2000</v>
      </c>
    </row>
    <row r="431" spans="1:2">
      <c r="A431" s="35" t="s">
        <v>2001</v>
      </c>
      <c r="B431" s="34" t="s">
        <v>2002</v>
      </c>
    </row>
    <row r="432" spans="1:2">
      <c r="A432" s="35" t="s">
        <v>2003</v>
      </c>
      <c r="B432" s="34" t="s">
        <v>2004</v>
      </c>
    </row>
    <row r="433" spans="1:2">
      <c r="A433" s="35" t="s">
        <v>2005</v>
      </c>
      <c r="B433" s="36" t="s">
        <v>2006</v>
      </c>
    </row>
    <row r="434" spans="1:2">
      <c r="A434" s="35" t="s">
        <v>2007</v>
      </c>
      <c r="B434" s="34" t="s">
        <v>370</v>
      </c>
    </row>
    <row r="435" spans="1:2">
      <c r="A435" s="35" t="s">
        <v>2008</v>
      </c>
      <c r="B435" s="34" t="s">
        <v>2009</v>
      </c>
    </row>
    <row r="436" spans="1:2">
      <c r="A436" s="35" t="s">
        <v>2010</v>
      </c>
      <c r="B436" s="34" t="s">
        <v>2011</v>
      </c>
    </row>
    <row r="437" spans="1:2">
      <c r="A437" s="35" t="s">
        <v>2012</v>
      </c>
      <c r="B437" s="34" t="s">
        <v>289</v>
      </c>
    </row>
    <row r="438" spans="1:2">
      <c r="A438" s="35" t="s">
        <v>2013</v>
      </c>
      <c r="B438" s="34" t="s">
        <v>2014</v>
      </c>
    </row>
    <row r="439" spans="1:2">
      <c r="A439" s="35" t="s">
        <v>2015</v>
      </c>
      <c r="B439" s="34" t="s">
        <v>347</v>
      </c>
    </row>
    <row r="440" spans="1:2">
      <c r="A440" s="35" t="s">
        <v>2016</v>
      </c>
      <c r="B440" s="34" t="s">
        <v>2017</v>
      </c>
    </row>
    <row r="441" spans="1:2">
      <c r="A441" s="35" t="s">
        <v>2018</v>
      </c>
      <c r="B441" s="34" t="s">
        <v>2019</v>
      </c>
    </row>
    <row r="442" spans="1:2">
      <c r="A442" s="35" t="s">
        <v>2020</v>
      </c>
      <c r="B442" s="34" t="s">
        <v>2021</v>
      </c>
    </row>
    <row r="443" spans="1:2">
      <c r="A443" s="35" t="s">
        <v>2022</v>
      </c>
      <c r="B443" s="34" t="s">
        <v>2023</v>
      </c>
    </row>
    <row r="444" spans="1:2">
      <c r="A444" s="35" t="s">
        <v>2024</v>
      </c>
      <c r="B444" s="34" t="s">
        <v>2025</v>
      </c>
    </row>
    <row r="445" spans="1:2">
      <c r="A445" s="35" t="s">
        <v>2026</v>
      </c>
      <c r="B445" s="34" t="s">
        <v>386</v>
      </c>
    </row>
    <row r="446" spans="1:2">
      <c r="A446" s="35" t="s">
        <v>2027</v>
      </c>
      <c r="B446" s="34" t="s">
        <v>2028</v>
      </c>
    </row>
    <row r="447" spans="1:2">
      <c r="A447" s="35">
        <v>50633</v>
      </c>
      <c r="B447" s="34" t="s">
        <v>2029</v>
      </c>
    </row>
    <row r="448" spans="1:2">
      <c r="A448" s="35" t="s">
        <v>2030</v>
      </c>
      <c r="B448" s="34" t="s">
        <v>2031</v>
      </c>
    </row>
    <row r="449" spans="1:2">
      <c r="A449" s="35" t="s">
        <v>2032</v>
      </c>
      <c r="B449" s="34" t="s">
        <v>2033</v>
      </c>
    </row>
    <row r="450" spans="1:2">
      <c r="A450" s="35" t="s">
        <v>2034</v>
      </c>
      <c r="B450" s="34" t="s">
        <v>2035</v>
      </c>
    </row>
    <row r="451" spans="1:2">
      <c r="A451" s="35" t="s">
        <v>2036</v>
      </c>
      <c r="B451" s="34" t="s">
        <v>2037</v>
      </c>
    </row>
    <row r="452" spans="1:2">
      <c r="A452" s="35" t="s">
        <v>2038</v>
      </c>
      <c r="B452" s="34" t="s">
        <v>2039</v>
      </c>
    </row>
    <row r="453" spans="1:2">
      <c r="A453" s="35" t="s">
        <v>2040</v>
      </c>
      <c r="B453" s="34" t="s">
        <v>2041</v>
      </c>
    </row>
    <row r="454" spans="1:2">
      <c r="A454" s="35" t="s">
        <v>2042</v>
      </c>
      <c r="B454" s="34" t="s">
        <v>2043</v>
      </c>
    </row>
    <row r="455" spans="1:2">
      <c r="A455" s="35" t="s">
        <v>2044</v>
      </c>
      <c r="B455" s="34" t="s">
        <v>2045</v>
      </c>
    </row>
    <row r="456" spans="1:2">
      <c r="A456" s="35" t="s">
        <v>2046</v>
      </c>
      <c r="B456" s="34" t="s">
        <v>2047</v>
      </c>
    </row>
    <row r="457" spans="1:2">
      <c r="A457" s="35" t="s">
        <v>2048</v>
      </c>
      <c r="B457" s="34" t="s">
        <v>2049</v>
      </c>
    </row>
    <row r="458" spans="1:2">
      <c r="A458" s="35" t="s">
        <v>2050</v>
      </c>
      <c r="B458" s="34" t="s">
        <v>2051</v>
      </c>
    </row>
    <row r="459" spans="1:2">
      <c r="A459" s="35">
        <v>50469</v>
      </c>
      <c r="B459" s="34" t="s">
        <v>2052</v>
      </c>
    </row>
    <row r="460" spans="1:2">
      <c r="A460" s="35" t="s">
        <v>2053</v>
      </c>
      <c r="B460" s="34" t="s">
        <v>2054</v>
      </c>
    </row>
    <row r="461" spans="1:2">
      <c r="A461" s="35" t="s">
        <v>2055</v>
      </c>
      <c r="B461" s="34" t="s">
        <v>2056</v>
      </c>
    </row>
    <row r="462" spans="1:2">
      <c r="A462" s="35" t="s">
        <v>2057</v>
      </c>
      <c r="B462" s="34" t="s">
        <v>2058</v>
      </c>
    </row>
    <row r="463" spans="1:2">
      <c r="A463" s="35" t="s">
        <v>2059</v>
      </c>
      <c r="B463" s="34" t="s">
        <v>2060</v>
      </c>
    </row>
    <row r="464" spans="1:2">
      <c r="A464" s="35" t="s">
        <v>2061</v>
      </c>
      <c r="B464" s="34" t="s">
        <v>341</v>
      </c>
    </row>
    <row r="465" spans="1:2">
      <c r="A465" s="35" t="s">
        <v>2062</v>
      </c>
      <c r="B465" s="34" t="s">
        <v>42</v>
      </c>
    </row>
    <row r="466" spans="1:2">
      <c r="A466" s="35" t="s">
        <v>2063</v>
      </c>
      <c r="B466" s="34" t="s">
        <v>2064</v>
      </c>
    </row>
    <row r="467" spans="1:2">
      <c r="A467" s="35" t="s">
        <v>2065</v>
      </c>
      <c r="B467" s="34" t="s">
        <v>2066</v>
      </c>
    </row>
    <row r="468" spans="1:2">
      <c r="A468" s="35" t="s">
        <v>2067</v>
      </c>
      <c r="B468" s="34" t="s">
        <v>2068</v>
      </c>
    </row>
    <row r="469" spans="1:2">
      <c r="A469" s="35" t="s">
        <v>2069</v>
      </c>
      <c r="B469" s="34" t="s">
        <v>2070</v>
      </c>
    </row>
    <row r="470" spans="1:2">
      <c r="A470" s="35" t="s">
        <v>2071</v>
      </c>
      <c r="B470" s="34" t="s">
        <v>2072</v>
      </c>
    </row>
    <row r="471" spans="1:2">
      <c r="A471" s="35" t="s">
        <v>2073</v>
      </c>
      <c r="B471" s="34" t="s">
        <v>2074</v>
      </c>
    </row>
    <row r="472" spans="1:2">
      <c r="A472" s="35" t="s">
        <v>2075</v>
      </c>
      <c r="B472" s="34" t="s">
        <v>2076</v>
      </c>
    </row>
    <row r="473" spans="1:2">
      <c r="A473" s="35" t="s">
        <v>2077</v>
      </c>
      <c r="B473" s="34" t="s">
        <v>2078</v>
      </c>
    </row>
    <row r="474" spans="1:2">
      <c r="A474" s="35" t="s">
        <v>2079</v>
      </c>
      <c r="B474" s="34" t="s">
        <v>2080</v>
      </c>
    </row>
    <row r="475" spans="1:2">
      <c r="A475" s="35" t="s">
        <v>2081</v>
      </c>
      <c r="B475" s="34" t="s">
        <v>2082</v>
      </c>
    </row>
    <row r="476" spans="1:2">
      <c r="A476" s="35" t="s">
        <v>2083</v>
      </c>
      <c r="B476" s="34" t="s">
        <v>2084</v>
      </c>
    </row>
    <row r="477" spans="1:2">
      <c r="A477" s="35">
        <v>50162</v>
      </c>
      <c r="B477" s="34" t="s">
        <v>2085</v>
      </c>
    </row>
    <row r="478" spans="1:2">
      <c r="A478" s="35" t="s">
        <v>2086</v>
      </c>
      <c r="B478" s="34" t="s">
        <v>2087</v>
      </c>
    </row>
    <row r="479" spans="1:2">
      <c r="A479" s="35" t="s">
        <v>2088</v>
      </c>
      <c r="B479" s="34" t="s">
        <v>390</v>
      </c>
    </row>
    <row r="480" spans="1:2">
      <c r="A480" s="35" t="s">
        <v>2089</v>
      </c>
      <c r="B480" s="34" t="s">
        <v>2090</v>
      </c>
    </row>
    <row r="481" spans="1:2">
      <c r="A481" s="35" t="s">
        <v>2091</v>
      </c>
      <c r="B481" s="34" t="s">
        <v>285</v>
      </c>
    </row>
    <row r="482" spans="1:2">
      <c r="A482" s="35" t="s">
        <v>2092</v>
      </c>
      <c r="B482" s="34" t="s">
        <v>2093</v>
      </c>
    </row>
    <row r="483" spans="1:2">
      <c r="A483" s="35" t="s">
        <v>2094</v>
      </c>
      <c r="B483" s="34" t="s">
        <v>2095</v>
      </c>
    </row>
    <row r="484" spans="1:2">
      <c r="A484" s="35" t="s">
        <v>2096</v>
      </c>
      <c r="B484" s="34" t="s">
        <v>2097</v>
      </c>
    </row>
    <row r="485" spans="1:2">
      <c r="A485" s="35" t="s">
        <v>2098</v>
      </c>
      <c r="B485" s="34" t="s">
        <v>2099</v>
      </c>
    </row>
    <row r="486" spans="1:2">
      <c r="A486" s="35" t="s">
        <v>2100</v>
      </c>
      <c r="B486" s="34" t="s">
        <v>437</v>
      </c>
    </row>
    <row r="487" spans="1:2">
      <c r="A487" s="35" t="s">
        <v>2101</v>
      </c>
      <c r="B487" s="34" t="s">
        <v>2102</v>
      </c>
    </row>
    <row r="488" spans="1:2">
      <c r="A488" s="35" t="s">
        <v>2103</v>
      </c>
      <c r="B488" s="34" t="s">
        <v>2104</v>
      </c>
    </row>
    <row r="489" spans="1:2">
      <c r="A489" s="35" t="s">
        <v>2105</v>
      </c>
      <c r="B489" s="34" t="s">
        <v>2106</v>
      </c>
    </row>
    <row r="490" spans="1:2">
      <c r="A490" s="35" t="s">
        <v>2107</v>
      </c>
      <c r="B490" s="34" t="s">
        <v>2108</v>
      </c>
    </row>
    <row r="491" spans="1:2">
      <c r="A491" s="35" t="s">
        <v>2109</v>
      </c>
      <c r="B491" s="34" t="s">
        <v>374</v>
      </c>
    </row>
    <row r="492" spans="1:2">
      <c r="A492" s="35" t="s">
        <v>2110</v>
      </c>
      <c r="B492" s="34" t="s">
        <v>2111</v>
      </c>
    </row>
    <row r="493" spans="1:2">
      <c r="A493" s="35" t="s">
        <v>2112</v>
      </c>
      <c r="B493" s="34" t="s">
        <v>465</v>
      </c>
    </row>
    <row r="494" spans="1:2">
      <c r="A494" s="35" t="s">
        <v>2113</v>
      </c>
      <c r="B494" s="34" t="s">
        <v>2114</v>
      </c>
    </row>
    <row r="495" spans="1:2">
      <c r="A495" s="35" t="s">
        <v>2115</v>
      </c>
      <c r="B495" s="34" t="s">
        <v>534</v>
      </c>
    </row>
    <row r="496" spans="1:2">
      <c r="A496" s="35" t="s">
        <v>2116</v>
      </c>
      <c r="B496" s="34" t="s">
        <v>2117</v>
      </c>
    </row>
    <row r="497" spans="1:2">
      <c r="A497" s="35" t="s">
        <v>2118</v>
      </c>
      <c r="B497" s="34" t="s">
        <v>2119</v>
      </c>
    </row>
    <row r="498" spans="1:2">
      <c r="A498" s="35" t="s">
        <v>2120</v>
      </c>
      <c r="B498" s="34" t="s">
        <v>360</v>
      </c>
    </row>
    <row r="499" spans="1:2">
      <c r="A499" s="35" t="s">
        <v>2121</v>
      </c>
      <c r="B499" s="34" t="s">
        <v>440</v>
      </c>
    </row>
    <row r="500" spans="1:2">
      <c r="A500" s="35" t="s">
        <v>2122</v>
      </c>
      <c r="B500" s="34" t="s">
        <v>2123</v>
      </c>
    </row>
    <row r="501" spans="1:2">
      <c r="A501" s="35" t="s">
        <v>2124</v>
      </c>
      <c r="B501" s="34" t="s">
        <v>2125</v>
      </c>
    </row>
    <row r="502" spans="1:2">
      <c r="A502" s="35" t="s">
        <v>2126</v>
      </c>
      <c r="B502" s="34" t="s">
        <v>2127</v>
      </c>
    </row>
    <row r="503" spans="1:2">
      <c r="A503" s="35" t="s">
        <v>2128</v>
      </c>
      <c r="B503" s="34" t="s">
        <v>2129</v>
      </c>
    </row>
    <row r="504" spans="1:2">
      <c r="A504" s="35" t="s">
        <v>2130</v>
      </c>
      <c r="B504" s="34" t="s">
        <v>434</v>
      </c>
    </row>
    <row r="505" spans="1:2">
      <c r="A505" s="35" t="s">
        <v>2131</v>
      </c>
      <c r="B505" s="34" t="s">
        <v>257</v>
      </c>
    </row>
    <row r="506" spans="1:2">
      <c r="A506" s="35" t="s">
        <v>2132</v>
      </c>
      <c r="B506" s="34" t="s">
        <v>2133</v>
      </c>
    </row>
    <row r="507" spans="1:2">
      <c r="A507" s="35" t="s">
        <v>2134</v>
      </c>
      <c r="B507" s="34" t="s">
        <v>2135</v>
      </c>
    </row>
    <row r="508" spans="1:2">
      <c r="A508" s="35" t="s">
        <v>2136</v>
      </c>
      <c r="B508" s="34" t="s">
        <v>2137</v>
      </c>
    </row>
    <row r="509" spans="1:2">
      <c r="A509" s="35" t="s">
        <v>2138</v>
      </c>
      <c r="B509" s="34" t="s">
        <v>2139</v>
      </c>
    </row>
    <row r="510" spans="1:2">
      <c r="A510" s="35" t="s">
        <v>2140</v>
      </c>
      <c r="B510" s="34" t="s">
        <v>2141</v>
      </c>
    </row>
    <row r="511" spans="1:2">
      <c r="A511" s="35" t="s">
        <v>2142</v>
      </c>
      <c r="B511" s="34" t="s">
        <v>2143</v>
      </c>
    </row>
    <row r="512" spans="1:2">
      <c r="A512" s="35" t="s">
        <v>2144</v>
      </c>
      <c r="B512" s="34" t="s">
        <v>448</v>
      </c>
    </row>
    <row r="513" spans="1:2">
      <c r="A513" s="35" t="s">
        <v>2145</v>
      </c>
      <c r="B513" s="34" t="s">
        <v>2146</v>
      </c>
    </row>
    <row r="514" spans="1:2">
      <c r="A514" s="35" t="s">
        <v>2147</v>
      </c>
      <c r="B514" s="34" t="s">
        <v>2148</v>
      </c>
    </row>
    <row r="515" spans="1:2">
      <c r="A515" s="35" t="s">
        <v>2149</v>
      </c>
      <c r="B515" s="34" t="s">
        <v>2150</v>
      </c>
    </row>
    <row r="516" spans="1:2">
      <c r="A516" s="35" t="s">
        <v>2151</v>
      </c>
      <c r="B516" s="34" t="s">
        <v>2152</v>
      </c>
    </row>
    <row r="517" spans="1:2">
      <c r="A517" s="35" t="s">
        <v>2153</v>
      </c>
      <c r="B517" s="34" t="s">
        <v>2154</v>
      </c>
    </row>
    <row r="518" spans="1:2">
      <c r="A518" s="35" t="s">
        <v>2155</v>
      </c>
      <c r="B518" s="34" t="s">
        <v>2156</v>
      </c>
    </row>
    <row r="519" spans="1:2">
      <c r="A519" s="35" t="s">
        <v>2157</v>
      </c>
      <c r="B519" s="34" t="s">
        <v>2158</v>
      </c>
    </row>
    <row r="520" spans="1:2">
      <c r="A520" s="35" t="s">
        <v>2159</v>
      </c>
      <c r="B520" s="34" t="s">
        <v>414</v>
      </c>
    </row>
    <row r="521" spans="1:2">
      <c r="A521" s="35" t="s">
        <v>2160</v>
      </c>
      <c r="B521" s="34" t="s">
        <v>2161</v>
      </c>
    </row>
    <row r="522" spans="1:2">
      <c r="A522" s="35" t="s">
        <v>2162</v>
      </c>
      <c r="B522" s="34" t="s">
        <v>2163</v>
      </c>
    </row>
    <row r="523" spans="1:2">
      <c r="A523" s="35" t="s">
        <v>2164</v>
      </c>
      <c r="B523" s="34" t="s">
        <v>2165</v>
      </c>
    </row>
    <row r="524" spans="1:2">
      <c r="A524" s="35" t="s">
        <v>2166</v>
      </c>
      <c r="B524" s="34" t="s">
        <v>444</v>
      </c>
    </row>
    <row r="525" spans="1:2">
      <c r="A525" s="35" t="s">
        <v>2167</v>
      </c>
      <c r="B525" s="34" t="s">
        <v>2168</v>
      </c>
    </row>
    <row r="526" spans="1:2">
      <c r="A526" s="35" t="s">
        <v>2169</v>
      </c>
      <c r="B526" s="34" t="s">
        <v>2170</v>
      </c>
    </row>
    <row r="527" spans="1:2">
      <c r="A527" s="35" t="s">
        <v>2171</v>
      </c>
      <c r="B527" s="34" t="s">
        <v>2172</v>
      </c>
    </row>
    <row r="528" spans="1:2">
      <c r="A528" s="35" t="s">
        <v>2173</v>
      </c>
      <c r="B528" s="34" t="s">
        <v>2174</v>
      </c>
    </row>
    <row r="529" spans="1:2">
      <c r="A529" s="35" t="s">
        <v>2175</v>
      </c>
      <c r="B529" s="34" t="s">
        <v>2176</v>
      </c>
    </row>
    <row r="530" spans="1:2">
      <c r="A530" s="35" t="s">
        <v>2177</v>
      </c>
      <c r="B530" s="34" t="s">
        <v>2178</v>
      </c>
    </row>
    <row r="531" spans="1:2">
      <c r="A531" s="35" t="s">
        <v>2179</v>
      </c>
      <c r="B531" s="34" t="s">
        <v>2180</v>
      </c>
    </row>
    <row r="532" spans="1:2">
      <c r="A532" s="35" t="s">
        <v>2181</v>
      </c>
      <c r="B532" s="34" t="s">
        <v>2182</v>
      </c>
    </row>
    <row r="533" spans="1:2">
      <c r="A533" s="35" t="s">
        <v>2183</v>
      </c>
      <c r="B533" s="34" t="s">
        <v>2184</v>
      </c>
    </row>
    <row r="534" spans="1:2">
      <c r="A534" s="35" t="s">
        <v>2185</v>
      </c>
      <c r="B534" s="34" t="s">
        <v>383</v>
      </c>
    </row>
    <row r="535" spans="1:2">
      <c r="A535" s="35" t="s">
        <v>2186</v>
      </c>
      <c r="B535" s="34" t="s">
        <v>2187</v>
      </c>
    </row>
    <row r="536" spans="1:2">
      <c r="A536" s="35" t="s">
        <v>2188</v>
      </c>
      <c r="B536" s="34" t="s">
        <v>373</v>
      </c>
    </row>
    <row r="537" spans="1:2">
      <c r="A537" s="35" t="s">
        <v>2189</v>
      </c>
      <c r="B537" s="34" t="s">
        <v>2190</v>
      </c>
    </row>
    <row r="538" spans="1:2">
      <c r="A538" s="35" t="s">
        <v>2191</v>
      </c>
      <c r="B538" s="34" t="s">
        <v>928</v>
      </c>
    </row>
    <row r="539" spans="1:2">
      <c r="A539" s="35" t="s">
        <v>2192</v>
      </c>
      <c r="B539" s="34" t="s">
        <v>2193</v>
      </c>
    </row>
    <row r="540" spans="1:2">
      <c r="A540" s="35">
        <v>50337</v>
      </c>
      <c r="B540" s="34" t="s">
        <v>2194</v>
      </c>
    </row>
    <row r="541" spans="1:2">
      <c r="A541" s="35" t="s">
        <v>2195</v>
      </c>
      <c r="B541" s="34" t="s">
        <v>2196</v>
      </c>
    </row>
    <row r="542" spans="1:2">
      <c r="A542" s="35" t="s">
        <v>2197</v>
      </c>
      <c r="B542" s="34" t="s">
        <v>2198</v>
      </c>
    </row>
    <row r="543" spans="1:2">
      <c r="A543" s="35" t="s">
        <v>2199</v>
      </c>
      <c r="B543" s="34" t="s">
        <v>2200</v>
      </c>
    </row>
    <row r="544" spans="1:2">
      <c r="A544" s="35" t="s">
        <v>2201</v>
      </c>
      <c r="B544" s="34" t="s">
        <v>2202</v>
      </c>
    </row>
    <row r="545" spans="1:2">
      <c r="A545" s="35" t="s">
        <v>2203</v>
      </c>
      <c r="B545" s="34" t="s">
        <v>2204</v>
      </c>
    </row>
    <row r="546" spans="1:2">
      <c r="A546" s="35" t="s">
        <v>2205</v>
      </c>
      <c r="B546" s="34" t="s">
        <v>2206</v>
      </c>
    </row>
    <row r="547" spans="1:2">
      <c r="A547" s="35" t="s">
        <v>2207</v>
      </c>
      <c r="B547" s="34" t="s">
        <v>2208</v>
      </c>
    </row>
    <row r="548" spans="1:2">
      <c r="A548" s="35" t="s">
        <v>2209</v>
      </c>
      <c r="B548" s="34" t="s">
        <v>329</v>
      </c>
    </row>
    <row r="549" spans="1:2">
      <c r="A549" s="35" t="s">
        <v>2210</v>
      </c>
      <c r="B549" s="34" t="s">
        <v>2211</v>
      </c>
    </row>
    <row r="550" spans="1:2">
      <c r="A550" s="35" t="s">
        <v>2212</v>
      </c>
      <c r="B550" s="34" t="s">
        <v>2213</v>
      </c>
    </row>
    <row r="551" spans="1:2">
      <c r="A551" s="35" t="s">
        <v>2214</v>
      </c>
      <c r="B551" s="34" t="s">
        <v>2215</v>
      </c>
    </row>
    <row r="552" spans="1:2">
      <c r="A552" s="35" t="s">
        <v>2216</v>
      </c>
      <c r="B552" s="34" t="s">
        <v>2217</v>
      </c>
    </row>
    <row r="553" spans="1:2">
      <c r="A553" s="35" t="s">
        <v>2218</v>
      </c>
      <c r="B553" s="34" t="s">
        <v>2219</v>
      </c>
    </row>
    <row r="554" spans="1:2">
      <c r="A554" s="35" t="s">
        <v>2220</v>
      </c>
      <c r="B554" s="34" t="s">
        <v>2221</v>
      </c>
    </row>
    <row r="555" spans="1:2">
      <c r="A555" s="35" t="s">
        <v>2222</v>
      </c>
      <c r="B555" s="34" t="s">
        <v>357</v>
      </c>
    </row>
    <row r="556" spans="1:2">
      <c r="A556" s="35" t="s">
        <v>2223</v>
      </c>
      <c r="B556" s="34" t="s">
        <v>396</v>
      </c>
    </row>
    <row r="557" spans="1:2">
      <c r="A557" s="35" t="s">
        <v>2224</v>
      </c>
      <c r="B557" s="34" t="s">
        <v>2225</v>
      </c>
    </row>
    <row r="558" spans="1:2">
      <c r="A558" s="35" t="s">
        <v>2226</v>
      </c>
      <c r="B558" s="34" t="s">
        <v>2227</v>
      </c>
    </row>
    <row r="559" spans="1:2">
      <c r="A559" s="35" t="s">
        <v>2228</v>
      </c>
      <c r="B559" s="34" t="s">
        <v>2229</v>
      </c>
    </row>
    <row r="560" spans="1:2">
      <c r="A560" s="35" t="s">
        <v>2230</v>
      </c>
      <c r="B560" s="34" t="s">
        <v>2231</v>
      </c>
    </row>
    <row r="561" spans="1:2">
      <c r="A561" s="35" t="s">
        <v>2232</v>
      </c>
      <c r="B561" s="34" t="s">
        <v>2233</v>
      </c>
    </row>
    <row r="562" spans="1:2">
      <c r="A562" s="35" t="s">
        <v>2234</v>
      </c>
      <c r="B562" s="34" t="s">
        <v>2235</v>
      </c>
    </row>
    <row r="563" spans="1:2">
      <c r="A563" s="35" t="s">
        <v>2236</v>
      </c>
      <c r="B563" s="34" t="s">
        <v>303</v>
      </c>
    </row>
    <row r="564" spans="1:2">
      <c r="A564" s="35" t="s">
        <v>2237</v>
      </c>
      <c r="B564" s="34" t="s">
        <v>2238</v>
      </c>
    </row>
    <row r="565" spans="1:2">
      <c r="A565" s="35" t="s">
        <v>2239</v>
      </c>
      <c r="B565" s="34" t="s">
        <v>2240</v>
      </c>
    </row>
    <row r="566" spans="1:2">
      <c r="A566" s="35" t="s">
        <v>2241</v>
      </c>
      <c r="B566" s="34" t="s">
        <v>2242</v>
      </c>
    </row>
    <row r="567" spans="1:2">
      <c r="A567" s="35" t="s">
        <v>2243</v>
      </c>
      <c r="B567" s="34" t="s">
        <v>2244</v>
      </c>
    </row>
    <row r="568" spans="1:2">
      <c r="A568" s="35" t="s">
        <v>2245</v>
      </c>
      <c r="B568" s="34" t="s">
        <v>269</v>
      </c>
    </row>
    <row r="569" spans="1:2">
      <c r="A569" s="35" t="s">
        <v>2246</v>
      </c>
      <c r="B569" s="36" t="s">
        <v>311</v>
      </c>
    </row>
    <row r="570" spans="1:2">
      <c r="A570" s="35" t="s">
        <v>2247</v>
      </c>
      <c r="B570" s="34" t="s">
        <v>2248</v>
      </c>
    </row>
    <row r="571" spans="1:2">
      <c r="A571" s="35" t="s">
        <v>2249</v>
      </c>
      <c r="B571" s="34" t="s">
        <v>2250</v>
      </c>
    </row>
    <row r="572" spans="1:2">
      <c r="A572" s="35" t="s">
        <v>2251</v>
      </c>
      <c r="B572" s="34" t="s">
        <v>2252</v>
      </c>
    </row>
    <row r="573" spans="1:2">
      <c r="A573" s="35" t="s">
        <v>2253</v>
      </c>
      <c r="B573" s="34" t="s">
        <v>2254</v>
      </c>
    </row>
    <row r="574" spans="1:2">
      <c r="A574" s="35" t="s">
        <v>2255</v>
      </c>
      <c r="B574" s="34" t="s">
        <v>2256</v>
      </c>
    </row>
    <row r="575" spans="1:2">
      <c r="A575" s="35" t="s">
        <v>2257</v>
      </c>
      <c r="B575" s="34" t="s">
        <v>2258</v>
      </c>
    </row>
    <row r="576" spans="1:2">
      <c r="A576" s="35" t="s">
        <v>2259</v>
      </c>
      <c r="B576" s="34" t="s">
        <v>2260</v>
      </c>
    </row>
    <row r="577" spans="1:2">
      <c r="A577" s="35" t="s">
        <v>2261</v>
      </c>
      <c r="B577" s="36" t="s">
        <v>2262</v>
      </c>
    </row>
    <row r="578" spans="1:2">
      <c r="A578" s="35" t="s">
        <v>2263</v>
      </c>
      <c r="B578" s="34" t="s">
        <v>2264</v>
      </c>
    </row>
    <row r="579" spans="1:2">
      <c r="A579" s="35" t="s">
        <v>2265</v>
      </c>
      <c r="B579" s="34" t="s">
        <v>2266</v>
      </c>
    </row>
    <row r="580" spans="1:2">
      <c r="A580" s="35" t="s">
        <v>2267</v>
      </c>
      <c r="B580" s="34" t="s">
        <v>2268</v>
      </c>
    </row>
    <row r="581" spans="1:2">
      <c r="A581" s="35" t="s">
        <v>2269</v>
      </c>
      <c r="B581" s="34" t="s">
        <v>2270</v>
      </c>
    </row>
    <row r="582" spans="1:2">
      <c r="A582" s="35" t="s">
        <v>2271</v>
      </c>
      <c r="B582" s="34" t="s">
        <v>2272</v>
      </c>
    </row>
    <row r="583" spans="1:2">
      <c r="A583" s="35" t="s">
        <v>2273</v>
      </c>
      <c r="B583" s="34" t="s">
        <v>2274</v>
      </c>
    </row>
    <row r="584" spans="1:2">
      <c r="A584" s="35" t="s">
        <v>2275</v>
      </c>
      <c r="B584" s="34" t="s">
        <v>2276</v>
      </c>
    </row>
    <row r="585" spans="1:2">
      <c r="A585" s="35" t="s">
        <v>2277</v>
      </c>
      <c r="B585" s="34" t="s">
        <v>394</v>
      </c>
    </row>
    <row r="586" spans="1:2">
      <c r="A586" s="35" t="s">
        <v>2278</v>
      </c>
      <c r="B586" s="34" t="s">
        <v>2279</v>
      </c>
    </row>
    <row r="587" spans="1:2">
      <c r="A587" s="35" t="s">
        <v>2280</v>
      </c>
      <c r="B587" s="34" t="s">
        <v>2281</v>
      </c>
    </row>
    <row r="588" spans="1:2">
      <c r="A588" s="35" t="s">
        <v>2282</v>
      </c>
      <c r="B588" s="34" t="s">
        <v>401</v>
      </c>
    </row>
    <row r="589" spans="1:2">
      <c r="A589" s="35" t="s">
        <v>2283</v>
      </c>
      <c r="B589" s="34" t="s">
        <v>2284</v>
      </c>
    </row>
    <row r="590" spans="1:2">
      <c r="A590" s="35" t="s">
        <v>2285</v>
      </c>
      <c r="B590" s="34" t="s">
        <v>2286</v>
      </c>
    </row>
    <row r="591" spans="1:2">
      <c r="A591" s="35" t="s">
        <v>2287</v>
      </c>
      <c r="B591" s="34" t="s">
        <v>2288</v>
      </c>
    </row>
    <row r="592" spans="1:2">
      <c r="A592" s="35" t="s">
        <v>2289</v>
      </c>
      <c r="B592" s="34" t="s">
        <v>2290</v>
      </c>
    </row>
    <row r="593" spans="1:2">
      <c r="A593" s="35" t="s">
        <v>2291</v>
      </c>
      <c r="B593" s="34" t="s">
        <v>2292</v>
      </c>
    </row>
    <row r="594" spans="1:2">
      <c r="A594" s="35" t="s">
        <v>2293</v>
      </c>
      <c r="B594" s="34" t="s">
        <v>2294</v>
      </c>
    </row>
    <row r="595" spans="1:2">
      <c r="A595" s="35" t="s">
        <v>2295</v>
      </c>
      <c r="B595" s="34" t="s">
        <v>185</v>
      </c>
    </row>
    <row r="596" spans="1:2">
      <c r="A596" s="35" t="s">
        <v>2296</v>
      </c>
      <c r="B596" s="34" t="s">
        <v>912</v>
      </c>
    </row>
    <row r="597" spans="1:2">
      <c r="A597" s="35" t="s">
        <v>2297</v>
      </c>
      <c r="B597" s="34" t="s">
        <v>2298</v>
      </c>
    </row>
    <row r="598" spans="1:2">
      <c r="A598" s="35" t="s">
        <v>2299</v>
      </c>
      <c r="B598" s="34" t="s">
        <v>2300</v>
      </c>
    </row>
    <row r="599" spans="1:2">
      <c r="A599" s="34" t="s">
        <v>2301</v>
      </c>
      <c r="B599" s="34" t="s">
        <v>2302</v>
      </c>
    </row>
    <row r="600" spans="1:2">
      <c r="A600" s="34" t="s">
        <v>2303</v>
      </c>
      <c r="B600" s="34" t="s">
        <v>2304</v>
      </c>
    </row>
    <row r="601" spans="1:2">
      <c r="A601" s="34" t="s">
        <v>2253</v>
      </c>
      <c r="B601" s="34" t="s">
        <v>2305</v>
      </c>
    </row>
    <row r="602" spans="1:2">
      <c r="A602" s="34" t="s">
        <v>2255</v>
      </c>
      <c r="B602" s="34" t="s">
        <v>2306</v>
      </c>
    </row>
    <row r="603" spans="1:2">
      <c r="A603" s="34" t="s">
        <v>2257</v>
      </c>
      <c r="B603" s="34" t="s">
        <v>2307</v>
      </c>
    </row>
    <row r="604" spans="1:2">
      <c r="A604" s="34" t="s">
        <v>2259</v>
      </c>
      <c r="B604" s="34" t="s">
        <v>2308</v>
      </c>
    </row>
    <row r="605" spans="1:2">
      <c r="A605" s="34" t="s">
        <v>2263</v>
      </c>
      <c r="B605" s="34" t="s">
        <v>2309</v>
      </c>
    </row>
    <row r="606" spans="1:2">
      <c r="A606" s="34" t="s">
        <v>2265</v>
      </c>
      <c r="B606" s="34" t="s">
        <v>2310</v>
      </c>
    </row>
    <row r="607" spans="1:2">
      <c r="A607" s="34" t="s">
        <v>2267</v>
      </c>
      <c r="B607" s="34" t="s">
        <v>2311</v>
      </c>
    </row>
    <row r="608" spans="1:2">
      <c r="A608" s="34" t="s">
        <v>2269</v>
      </c>
      <c r="B608" s="34" t="s">
        <v>2312</v>
      </c>
    </row>
    <row r="609" spans="1:2">
      <c r="A609" s="34" t="s">
        <v>2271</v>
      </c>
      <c r="B609" s="34" t="s">
        <v>2313</v>
      </c>
    </row>
    <row r="610" spans="1:2">
      <c r="A610" s="34" t="s">
        <v>2273</v>
      </c>
      <c r="B610" s="34" t="s">
        <v>2314</v>
      </c>
    </row>
    <row r="611" spans="1:2">
      <c r="A611" s="34" t="s">
        <v>2275</v>
      </c>
      <c r="B611" s="34" t="s">
        <v>2315</v>
      </c>
    </row>
    <row r="612" spans="1:2">
      <c r="A612" s="34" t="s">
        <v>2277</v>
      </c>
      <c r="B612" s="34" t="s">
        <v>2316</v>
      </c>
    </row>
    <row r="613" spans="1:2">
      <c r="A613" s="34" t="s">
        <v>2317</v>
      </c>
      <c r="B613" s="34" t="s">
        <v>2318</v>
      </c>
    </row>
    <row r="614" spans="1:2">
      <c r="A614" s="34" t="s">
        <v>2278</v>
      </c>
      <c r="B614" s="34" t="s">
        <v>2279</v>
      </c>
    </row>
    <row r="615" spans="1:2">
      <c r="A615" s="34" t="s">
        <v>2280</v>
      </c>
      <c r="B615" s="34" t="s">
        <v>2319</v>
      </c>
    </row>
    <row r="616" spans="1:2">
      <c r="A616" s="34" t="s">
        <v>2282</v>
      </c>
      <c r="B616" s="34" t="s">
        <v>2320</v>
      </c>
    </row>
    <row r="617" spans="1:2">
      <c r="A617" s="34" t="s">
        <v>2283</v>
      </c>
      <c r="B617" s="34" t="s">
        <v>2321</v>
      </c>
    </row>
    <row r="618" spans="1:2">
      <c r="A618" s="34" t="s">
        <v>2285</v>
      </c>
      <c r="B618" s="34" t="s">
        <v>2322</v>
      </c>
    </row>
    <row r="619" spans="1:2">
      <c r="A619" s="34" t="s">
        <v>2287</v>
      </c>
      <c r="B619" s="34" t="s">
        <v>2323</v>
      </c>
    </row>
    <row r="620" spans="1:2">
      <c r="A620" s="34" t="s">
        <v>2289</v>
      </c>
      <c r="B620" s="34" t="s">
        <v>2324</v>
      </c>
    </row>
    <row r="621" spans="1:2">
      <c r="A621" s="34" t="s">
        <v>2291</v>
      </c>
      <c r="B621" s="34" t="s">
        <v>2325</v>
      </c>
    </row>
    <row r="622" spans="1:2">
      <c r="A622" s="34" t="s">
        <v>2293</v>
      </c>
      <c r="B622" s="34" t="s">
        <v>2294</v>
      </c>
    </row>
    <row r="623" spans="1:2">
      <c r="A623" s="34" t="s">
        <v>2295</v>
      </c>
      <c r="B623" s="34" t="s">
        <v>185</v>
      </c>
    </row>
    <row r="624" spans="1:2">
      <c r="A624" s="34" t="s">
        <v>2296</v>
      </c>
      <c r="B624" s="34" t="s">
        <v>2326</v>
      </c>
    </row>
    <row r="625" spans="1:2">
      <c r="A625" s="34" t="s">
        <v>2297</v>
      </c>
      <c r="B625" s="34" t="s">
        <v>2327</v>
      </c>
    </row>
    <row r="626" spans="1:2">
      <c r="A626" s="34" t="s">
        <v>2299</v>
      </c>
      <c r="B626" s="34" t="s">
        <v>2328</v>
      </c>
    </row>
    <row r="627" spans="1:2">
      <c r="A627" s="34" t="s">
        <v>2329</v>
      </c>
      <c r="B627" s="34" t="s">
        <v>531</v>
      </c>
    </row>
  </sheetData>
  <conditionalFormatting sqref="A2:A598">
    <cfRule type="duplicateValues" dxfId="6" priority="4"/>
  </conditionalFormatting>
  <conditionalFormatting sqref="B2:B598">
    <cfRule type="duplicateValues" dxfId="5" priority="5"/>
  </conditionalFormatting>
  <conditionalFormatting sqref="R16:R49">
    <cfRule type="containsText" dxfId="4" priority="1" operator="containsText" text="Solicitado">
      <formula>NOT(ISERROR(SEARCH("Solicitado",R16)))</formula>
    </cfRule>
    <cfRule type="containsText" dxfId="3" priority="2" operator="containsText" text="Revisión">
      <formula>NOT(ISERROR(SEARCH("Revisión",R16)))</formula>
    </cfRule>
    <cfRule type="containsText" dxfId="2" priority="3" operator="containsText" text="Entregado">
      <formula>NOT(ISERROR(SEARCH("Entregado",R16)))</formula>
    </cfRule>
  </conditionalFormatting>
  <dataValidations count="5">
    <dataValidation type="list" allowBlank="1" showInputMessage="1" showErrorMessage="1" sqref="Q16:Q49" xr:uid="{ACEE8C0E-07A5-423A-8451-898C55416AC5}">
      <formula1>$N$11:$N$12</formula1>
    </dataValidation>
    <dataValidation type="list" allowBlank="1" showInputMessage="1" showErrorMessage="1" sqref="P16:P49" xr:uid="{B17B275A-AB8B-41C5-A749-55ECABEA1797}">
      <formula1>$L$11:$L$12</formula1>
    </dataValidation>
    <dataValidation type="list" allowBlank="1" showInputMessage="1" showErrorMessage="1" sqref="O16:O49" xr:uid="{3E9E9EB7-4982-4C34-8A66-AE5A4BF5897F}">
      <formula1>$J$11:$J$12</formula1>
    </dataValidation>
    <dataValidation type="list" allowBlank="1" showInputMessage="1" showErrorMessage="1" sqref="R16:R49" xr:uid="{419EBC50-33ED-4EC8-8E6B-3DEE0636616E}">
      <formula1>$G$3:$G$6</formula1>
    </dataValidation>
    <dataValidation type="list" allowBlank="1" showInputMessage="1" showErrorMessage="1" sqref="T16:T26 T28:T29 T44:T49" xr:uid="{372F6A29-C3F6-43F0-B7FD-B21319EE7814}">
      <formula1>$G$9:$G$24</formula1>
    </dataValidation>
  </dataValidations>
  <pageMargins left="0.7" right="0.7" top="0.75" bottom="0.75" header="0.3" footer="0.3"/>
  <headerFooter>
    <oddFooter>&amp;C_x000D_&amp;1#&amp;"Calibri"&amp;10&amp;K000000 OXXO | Uso Interno</oddFooter>
  </headerFooter>
  <tableParts count="1">
    <tablePart r:id="rId1"/>
  </tableParts>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ROJAS ALVAREZ JUAN PABLO</dc:creator>
  <cp:keywords/>
  <dc:description/>
  <cp:lastModifiedBy/>
  <cp:revision/>
  <dcterms:created xsi:type="dcterms:W3CDTF">2025-07-16T13:55:42Z</dcterms:created>
  <dcterms:modified xsi:type="dcterms:W3CDTF">2026-08-20T14:15:17Z</dcterms:modified>
  <cp:category/>
  <cp:contentStatus/>
</cp:coreProperties>
</file>